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yi\Nutstore\1\Paper Writing\Yeast Sensor\202608\"/>
    </mc:Choice>
  </mc:AlternateContent>
  <xr:revisionPtr revIDLastSave="0" documentId="13_ncr:1_{3AA63F34-15C2-4CEB-BC3B-51477E1A9E91}" xr6:coauthVersionLast="47" xr6:coauthVersionMax="47" xr10:uidLastSave="{00000000-0000-0000-0000-000000000000}"/>
  <bookViews>
    <workbookView xWindow="-120" yWindow="-120" windowWidth="38640" windowHeight="21120" activeTab="4" xr2:uid="{36FFF88E-3A71-46FA-8332-DB592E707DEA}"/>
  </bookViews>
  <sheets>
    <sheet name="Figure 2" sheetId="1" r:id="rId1"/>
    <sheet name="Figure 3" sheetId="2" r:id="rId2"/>
    <sheet name="Figure 4" sheetId="3" r:id="rId3"/>
    <sheet name="Figure 5" sheetId="4" r:id="rId4"/>
    <sheet name="Figure 6" sheetId="5" r:id="rId5"/>
    <sheet name="Figure 7" sheetId="6" r:id="rId6"/>
    <sheet name="Supplementary figure 2" sheetId="7" r:id="rId7"/>
    <sheet name="Supplementary Figure 3" sheetId="8" r:id="rId8"/>
    <sheet name="Supplementary Figure 4" sheetId="11" r:id="rId9"/>
    <sheet name="Supplementary Figure 5" sheetId="13" r:id="rId10"/>
    <sheet name="Supplementary Figure 6" sheetId="9" r:id="rId11"/>
    <sheet name="Supplementary Figure 7" sheetId="10" r:id="rId12"/>
    <sheet name="Supplementary Figure 8" sheetId="17" r:id="rId13"/>
    <sheet name="Supplementary Figure 11" sheetId="15" r:id="rId14"/>
    <sheet name="Supplementary Figure 13" sheetId="16" r:id="rId15"/>
    <sheet name="Supplementary Figure 14" sheetId="18" r:id="rId16"/>
    <sheet name="Supplementary Figure 15" sheetId="24" r:id="rId17"/>
    <sheet name="SI-note activator" sheetId="25" r:id="rId18"/>
    <sheet name="SI-note repressor" sheetId="21" r:id="rId19"/>
    <sheet name="SI-note-hybrid" sheetId="22" r:id="rId20"/>
    <sheet name="SI-note-12sensor" sheetId="23" r:id="rId2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1" i="7" l="1"/>
  <c r="AE124" i="5"/>
  <c r="AD124" i="5"/>
  <c r="AC124" i="5"/>
  <c r="AH124" i="5" s="1"/>
  <c r="AB124" i="5"/>
  <c r="AA124" i="5"/>
  <c r="Z124" i="5"/>
  <c r="AG124" i="5" s="1"/>
  <c r="Y124" i="5"/>
  <c r="X124" i="5"/>
  <c r="W124" i="5"/>
  <c r="AF124" i="5" s="1"/>
  <c r="AE123" i="5"/>
  <c r="AE126" i="5" s="1"/>
  <c r="AD123" i="5"/>
  <c r="AD126" i="5" s="1"/>
  <c r="AC123" i="5"/>
  <c r="AC126" i="5" s="1"/>
  <c r="AB123" i="5"/>
  <c r="AB126" i="5" s="1"/>
  <c r="AA123" i="5"/>
  <c r="AA126" i="5" s="1"/>
  <c r="Z123" i="5"/>
  <c r="Z126" i="5" s="1"/>
  <c r="Y123" i="5"/>
  <c r="Y126" i="5" s="1"/>
  <c r="X123" i="5"/>
  <c r="X126" i="5" s="1"/>
  <c r="W123" i="5"/>
  <c r="W126" i="5" s="1"/>
  <c r="AE111" i="5"/>
  <c r="AD111" i="5"/>
  <c r="AC111" i="5"/>
  <c r="AH111" i="5" s="1"/>
  <c r="AB111" i="5"/>
  <c r="AA111" i="5"/>
  <c r="Z111" i="5"/>
  <c r="AG111" i="5" s="1"/>
  <c r="Y111" i="5"/>
  <c r="X111" i="5"/>
  <c r="W111" i="5"/>
  <c r="AF111" i="5" s="1"/>
  <c r="AE110" i="5"/>
  <c r="AE113" i="5" s="1"/>
  <c r="AD110" i="5"/>
  <c r="AD113" i="5" s="1"/>
  <c r="AC110" i="5"/>
  <c r="AC113" i="5" s="1"/>
  <c r="AB110" i="5"/>
  <c r="AB113" i="5" s="1"/>
  <c r="AA110" i="5"/>
  <c r="AA113" i="5" s="1"/>
  <c r="Z110" i="5"/>
  <c r="Z113" i="5" s="1"/>
  <c r="Y110" i="5"/>
  <c r="Y113" i="5" s="1"/>
  <c r="X110" i="5"/>
  <c r="X113" i="5" s="1"/>
  <c r="W110" i="5"/>
  <c r="W113" i="5" s="1"/>
  <c r="AG99" i="5"/>
  <c r="AE99" i="5"/>
  <c r="AD99" i="5"/>
  <c r="AC99" i="5"/>
  <c r="AH99" i="5" s="1"/>
  <c r="AB99" i="5"/>
  <c r="AA99" i="5"/>
  <c r="Z99" i="5"/>
  <c r="Y99" i="5"/>
  <c r="X99" i="5"/>
  <c r="W99" i="5"/>
  <c r="AF99" i="5" s="1"/>
  <c r="AE98" i="5"/>
  <c r="AE101" i="5" s="1"/>
  <c r="AD98" i="5"/>
  <c r="AD101" i="5" s="1"/>
  <c r="AC98" i="5"/>
  <c r="AC101" i="5" s="1"/>
  <c r="AB98" i="5"/>
  <c r="AB101" i="5" s="1"/>
  <c r="AA98" i="5"/>
  <c r="AA101" i="5" s="1"/>
  <c r="Z98" i="5"/>
  <c r="Z101" i="5" s="1"/>
  <c r="Y98" i="5"/>
  <c r="Y101" i="5" s="1"/>
  <c r="X98" i="5"/>
  <c r="X101" i="5" s="1"/>
  <c r="W98" i="5"/>
  <c r="W101" i="5" s="1"/>
  <c r="AD89" i="5"/>
  <c r="AE87" i="5"/>
  <c r="AD87" i="5"/>
  <c r="AC87" i="5"/>
  <c r="AH87" i="5" s="1"/>
  <c r="AB87" i="5"/>
  <c r="AA87" i="5"/>
  <c r="Z87" i="5"/>
  <c r="AG87" i="5" s="1"/>
  <c r="Y87" i="5"/>
  <c r="X87" i="5"/>
  <c r="W87" i="5"/>
  <c r="AF87" i="5" s="1"/>
  <c r="AE86" i="5"/>
  <c r="AE89" i="5" s="1"/>
  <c r="AD86" i="5"/>
  <c r="AC86" i="5"/>
  <c r="AC89" i="5" s="1"/>
  <c r="AB86" i="5"/>
  <c r="AB89" i="5" s="1"/>
  <c r="AA86" i="5"/>
  <c r="AA89" i="5" s="1"/>
  <c r="Z86" i="5"/>
  <c r="Z89" i="5" s="1"/>
  <c r="Y86" i="5"/>
  <c r="Y89" i="5" s="1"/>
  <c r="X86" i="5"/>
  <c r="X89" i="5" s="1"/>
  <c r="W86" i="5"/>
  <c r="W89" i="5" s="1"/>
  <c r="AE76" i="5"/>
  <c r="AD76" i="5"/>
  <c r="AC76" i="5"/>
  <c r="AH76" i="5" s="1"/>
  <c r="AB76" i="5"/>
  <c r="AA76" i="5"/>
  <c r="Z76" i="5"/>
  <c r="AG76" i="5" s="1"/>
  <c r="Y76" i="5"/>
  <c r="X76" i="5"/>
  <c r="W76" i="5"/>
  <c r="AF76" i="5" s="1"/>
  <c r="AE75" i="5"/>
  <c r="AE78" i="5" s="1"/>
  <c r="AD75" i="5"/>
  <c r="AD78" i="5" s="1"/>
  <c r="AC75" i="5"/>
  <c r="AC78" i="5" s="1"/>
  <c r="AB75" i="5"/>
  <c r="AB78" i="5" s="1"/>
  <c r="AA75" i="5"/>
  <c r="AA78" i="5" s="1"/>
  <c r="Z75" i="5"/>
  <c r="Z78" i="5" s="1"/>
  <c r="Y75" i="5"/>
  <c r="Y78" i="5" s="1"/>
  <c r="X75" i="5"/>
  <c r="X78" i="5" s="1"/>
  <c r="W75" i="5"/>
  <c r="W78" i="5" s="1"/>
  <c r="AG66" i="21"/>
  <c r="M65" i="16"/>
  <c r="AW76" i="17"/>
  <c r="AV76" i="17"/>
  <c r="AW75" i="17"/>
  <c r="AV75" i="17"/>
  <c r="AW74" i="17"/>
  <c r="AV74" i="17"/>
  <c r="AW73" i="17"/>
  <c r="AV73" i="17"/>
  <c r="AW72" i="17"/>
  <c r="AV72" i="17"/>
  <c r="AW71" i="17"/>
  <c r="AV71" i="17"/>
  <c r="AP76" i="17"/>
  <c r="AO76" i="17"/>
  <c r="AP75" i="17"/>
  <c r="AO75" i="17"/>
  <c r="AP74" i="17"/>
  <c r="AO74" i="17"/>
  <c r="AP73" i="17"/>
  <c r="AO73" i="17"/>
  <c r="AP72" i="17"/>
  <c r="AO72" i="17"/>
  <c r="AP71" i="17"/>
  <c r="AO71" i="17"/>
  <c r="AI76" i="17"/>
  <c r="AH76" i="17"/>
  <c r="AI75" i="17"/>
  <c r="AH75" i="17"/>
  <c r="AI74" i="17"/>
  <c r="AH74" i="17"/>
  <c r="AI73" i="17"/>
  <c r="AH73" i="17"/>
  <c r="AI72" i="17"/>
  <c r="AH72" i="17"/>
  <c r="AI71" i="17"/>
  <c r="AH71" i="17"/>
  <c r="AB76" i="17"/>
  <c r="AA76" i="17"/>
  <c r="AB75" i="17"/>
  <c r="AA75" i="17"/>
  <c r="AB74" i="17"/>
  <c r="AA74" i="17"/>
  <c r="AB73" i="17"/>
  <c r="AA73" i="17"/>
  <c r="AB72" i="17"/>
  <c r="AA72" i="17"/>
  <c r="AB71" i="17"/>
  <c r="AA71" i="17"/>
  <c r="U76" i="17"/>
  <c r="T76" i="17"/>
  <c r="U75" i="17"/>
  <c r="T75" i="17"/>
  <c r="U74" i="17"/>
  <c r="T74" i="17"/>
  <c r="U73" i="17"/>
  <c r="T73" i="17"/>
  <c r="U72" i="17"/>
  <c r="T72" i="17"/>
  <c r="U71" i="17"/>
  <c r="T71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F72" i="17"/>
  <c r="G72" i="17"/>
  <c r="F73" i="17"/>
  <c r="G73" i="17"/>
  <c r="F74" i="17"/>
  <c r="G74" i="17"/>
  <c r="F75" i="17"/>
  <c r="G75" i="17"/>
  <c r="F76" i="17"/>
  <c r="G76" i="17"/>
  <c r="G71" i="17"/>
  <c r="F71" i="17"/>
  <c r="AU76" i="17"/>
  <c r="AT76" i="17"/>
  <c r="AU75" i="17"/>
  <c r="AT75" i="17"/>
  <c r="AU74" i="17"/>
  <c r="AT74" i="17"/>
  <c r="AU73" i="17"/>
  <c r="AT73" i="17"/>
  <c r="AU72" i="17"/>
  <c r="AT72" i="17"/>
  <c r="AU71" i="17"/>
  <c r="AT71" i="17"/>
  <c r="AN76" i="17"/>
  <c r="AM76" i="17"/>
  <c r="AN75" i="17"/>
  <c r="AM75" i="17"/>
  <c r="AN74" i="17"/>
  <c r="AM74" i="17"/>
  <c r="AN73" i="17"/>
  <c r="AM73" i="17"/>
  <c r="AN72" i="17"/>
  <c r="AM72" i="17"/>
  <c r="AN71" i="17"/>
  <c r="AM71" i="17"/>
  <c r="AG76" i="17"/>
  <c r="AF76" i="17"/>
  <c r="AG75" i="17"/>
  <c r="AF75" i="17"/>
  <c r="AG74" i="17"/>
  <c r="AF74" i="17"/>
  <c r="AG73" i="17"/>
  <c r="AF73" i="17"/>
  <c r="AG72" i="17"/>
  <c r="AF72" i="17"/>
  <c r="AG71" i="17"/>
  <c r="AF71" i="17"/>
  <c r="Z76" i="17"/>
  <c r="Y76" i="17"/>
  <c r="Z75" i="17"/>
  <c r="Y75" i="17"/>
  <c r="Z74" i="17"/>
  <c r="Y74" i="17"/>
  <c r="Z73" i="17"/>
  <c r="Y73" i="17"/>
  <c r="Z72" i="17"/>
  <c r="Y72" i="17"/>
  <c r="Z71" i="17"/>
  <c r="Y71" i="17"/>
  <c r="S76" i="17"/>
  <c r="R76" i="17"/>
  <c r="S75" i="17"/>
  <c r="R75" i="17"/>
  <c r="S74" i="17"/>
  <c r="R74" i="17"/>
  <c r="S73" i="17"/>
  <c r="R73" i="17"/>
  <c r="S72" i="17"/>
  <c r="R72" i="17"/>
  <c r="S71" i="17"/>
  <c r="R71" i="17"/>
  <c r="L76" i="17"/>
  <c r="K76" i="17"/>
  <c r="L75" i="17"/>
  <c r="K75" i="17"/>
  <c r="L74" i="17"/>
  <c r="K74" i="17"/>
  <c r="L73" i="17"/>
  <c r="K73" i="17"/>
  <c r="L72" i="17"/>
  <c r="K72" i="17"/>
  <c r="L71" i="17"/>
  <c r="K71" i="17"/>
  <c r="D72" i="17"/>
  <c r="E72" i="17"/>
  <c r="D73" i="17"/>
  <c r="E73" i="17"/>
  <c r="D74" i="17"/>
  <c r="E74" i="17"/>
  <c r="D75" i="17"/>
  <c r="E75" i="17"/>
  <c r="D76" i="17"/>
  <c r="E76" i="17"/>
  <c r="E71" i="17"/>
  <c r="D71" i="17"/>
  <c r="AS76" i="17"/>
  <c r="AR76" i="17"/>
  <c r="AS75" i="17"/>
  <c r="AR75" i="17"/>
  <c r="AS74" i="17"/>
  <c r="AR74" i="17"/>
  <c r="AS73" i="17"/>
  <c r="AR73" i="17"/>
  <c r="AS72" i="17"/>
  <c r="AR72" i="17"/>
  <c r="AS71" i="17"/>
  <c r="AR71" i="17"/>
  <c r="AL76" i="17"/>
  <c r="AK76" i="17"/>
  <c r="AL75" i="17"/>
  <c r="AK75" i="17"/>
  <c r="AL74" i="17"/>
  <c r="AK74" i="17"/>
  <c r="AL73" i="17"/>
  <c r="AK73" i="17"/>
  <c r="AL72" i="17"/>
  <c r="AK72" i="17"/>
  <c r="AL71" i="17"/>
  <c r="AK71" i="17"/>
  <c r="AE76" i="17"/>
  <c r="AD76" i="17"/>
  <c r="AE75" i="17"/>
  <c r="AD75" i="17"/>
  <c r="AE74" i="17"/>
  <c r="AD74" i="17"/>
  <c r="AE73" i="17"/>
  <c r="AD73" i="17"/>
  <c r="AE72" i="17"/>
  <c r="AD72" i="17"/>
  <c r="AE71" i="17"/>
  <c r="AD71" i="17"/>
  <c r="X76" i="17"/>
  <c r="W76" i="17"/>
  <c r="X75" i="17"/>
  <c r="W75" i="17"/>
  <c r="X74" i="17"/>
  <c r="W74" i="17"/>
  <c r="X73" i="17"/>
  <c r="W73" i="17"/>
  <c r="X72" i="17"/>
  <c r="W72" i="17"/>
  <c r="X71" i="17"/>
  <c r="W71" i="17"/>
  <c r="Q76" i="17"/>
  <c r="P76" i="17"/>
  <c r="Q75" i="17"/>
  <c r="P75" i="17"/>
  <c r="Q74" i="17"/>
  <c r="P74" i="17"/>
  <c r="Q73" i="17"/>
  <c r="P73" i="17"/>
  <c r="Q72" i="17"/>
  <c r="P72" i="17"/>
  <c r="Q71" i="17"/>
  <c r="P71" i="17"/>
  <c r="J71" i="17"/>
  <c r="J76" i="17"/>
  <c r="I76" i="17"/>
  <c r="J75" i="17"/>
  <c r="I75" i="17"/>
  <c r="J74" i="17"/>
  <c r="I74" i="17"/>
  <c r="J73" i="17"/>
  <c r="I73" i="17"/>
  <c r="J72" i="17"/>
  <c r="I72" i="17"/>
  <c r="I71" i="17"/>
  <c r="B72" i="17"/>
  <c r="C72" i="17"/>
  <c r="B73" i="17"/>
  <c r="C73" i="17"/>
  <c r="B74" i="17"/>
  <c r="C74" i="17"/>
  <c r="B75" i="17"/>
  <c r="C75" i="17"/>
  <c r="B76" i="17"/>
  <c r="C76" i="17"/>
  <c r="C71" i="17"/>
  <c r="B71" i="17"/>
  <c r="C35" i="18"/>
  <c r="T35" i="18"/>
  <c r="S35" i="18"/>
  <c r="R35" i="18"/>
  <c r="Q35" i="18"/>
  <c r="P35" i="18"/>
  <c r="O35" i="18"/>
  <c r="N35" i="18"/>
  <c r="M35" i="18"/>
  <c r="L35" i="18"/>
  <c r="I35" i="18"/>
  <c r="J35" i="18"/>
  <c r="H35" i="18"/>
  <c r="F35" i="18"/>
  <c r="G35" i="18"/>
  <c r="E35" i="18"/>
  <c r="D35" i="18"/>
  <c r="T36" i="18"/>
  <c r="S36" i="18"/>
  <c r="R36" i="18"/>
  <c r="Q36" i="18"/>
  <c r="P36" i="18"/>
  <c r="O36" i="18"/>
  <c r="N36" i="18"/>
  <c r="M36" i="18"/>
  <c r="L36" i="18"/>
  <c r="I36" i="18"/>
  <c r="J36" i="18"/>
  <c r="H36" i="18"/>
  <c r="F36" i="18"/>
  <c r="G36" i="18"/>
  <c r="E36" i="18"/>
  <c r="C36" i="18"/>
  <c r="D36" i="18"/>
  <c r="B36" i="18"/>
  <c r="AB33" i="18"/>
  <c r="Y33" i="18"/>
  <c r="V33" i="18"/>
  <c r="AB32" i="18"/>
  <c r="Y32" i="18"/>
  <c r="V32" i="18"/>
  <c r="AH24" i="1"/>
  <c r="H118" i="6"/>
  <c r="I118" i="6" s="1"/>
  <c r="G118" i="6"/>
  <c r="H117" i="6"/>
  <c r="I117" i="6" s="1"/>
  <c r="G117" i="6"/>
  <c r="H116" i="6"/>
  <c r="I116" i="6" s="1"/>
  <c r="G116" i="6"/>
  <c r="H109" i="7"/>
  <c r="P109" i="7"/>
  <c r="X109" i="7"/>
  <c r="H110" i="7"/>
  <c r="P110" i="7"/>
  <c r="X110" i="7"/>
  <c r="H111" i="7"/>
  <c r="P111" i="7"/>
  <c r="X111" i="7"/>
  <c r="H112" i="7"/>
  <c r="P112" i="7"/>
  <c r="X112" i="7"/>
  <c r="H113" i="7"/>
  <c r="P113" i="7"/>
  <c r="X113" i="7"/>
  <c r="H114" i="7"/>
  <c r="P114" i="7"/>
  <c r="X114" i="7"/>
  <c r="H115" i="7"/>
  <c r="P115" i="7"/>
  <c r="X115" i="7"/>
  <c r="H116" i="7"/>
  <c r="P116" i="7"/>
  <c r="X116" i="7"/>
  <c r="H117" i="7"/>
  <c r="P117" i="7"/>
  <c r="X117" i="7"/>
  <c r="H118" i="7"/>
  <c r="P118" i="7"/>
  <c r="X118" i="7"/>
  <c r="H119" i="7"/>
  <c r="P119" i="7"/>
  <c r="X119" i="7"/>
  <c r="H120" i="7"/>
  <c r="P120" i="7"/>
  <c r="X120" i="7"/>
  <c r="H121" i="7"/>
  <c r="X121" i="7"/>
  <c r="H122" i="7"/>
  <c r="P122" i="7"/>
  <c r="X122" i="7"/>
  <c r="H123" i="7"/>
  <c r="P123" i="7"/>
  <c r="X123" i="7"/>
  <c r="H124" i="7"/>
  <c r="P124" i="7"/>
  <c r="X124" i="7"/>
  <c r="H125" i="7"/>
  <c r="P125" i="7"/>
  <c r="X125" i="7"/>
  <c r="H126" i="7"/>
  <c r="P126" i="7"/>
  <c r="X126" i="7"/>
  <c r="H127" i="7"/>
  <c r="P127" i="7"/>
  <c r="X127" i="7"/>
  <c r="H128" i="7"/>
  <c r="P128" i="7"/>
  <c r="X128" i="7"/>
  <c r="H129" i="7"/>
  <c r="P129" i="7"/>
  <c r="X129" i="7"/>
  <c r="H130" i="7"/>
  <c r="P130" i="7"/>
  <c r="X130" i="7"/>
  <c r="H131" i="7"/>
  <c r="P131" i="7"/>
  <c r="X131" i="7"/>
  <c r="H132" i="7"/>
  <c r="P132" i="7"/>
  <c r="X132" i="7"/>
  <c r="H133" i="7"/>
  <c r="P133" i="7"/>
  <c r="X133" i="7"/>
  <c r="H134" i="7"/>
  <c r="P134" i="7"/>
  <c r="X134" i="7"/>
  <c r="P135" i="7"/>
  <c r="X135" i="7"/>
  <c r="P136" i="7"/>
  <c r="X136" i="7"/>
  <c r="P137" i="7"/>
  <c r="X137" i="7"/>
  <c r="P138" i="7"/>
  <c r="H3" i="2"/>
  <c r="H4" i="2"/>
  <c r="H5" i="2"/>
  <c r="H6" i="2"/>
  <c r="H7" i="2"/>
  <c r="H2" i="2"/>
  <c r="R75" i="6"/>
  <c r="R82" i="6"/>
  <c r="S82" i="6" s="1"/>
  <c r="AD76" i="6"/>
  <c r="AD82" i="6"/>
  <c r="AE82" i="6"/>
  <c r="F82" i="6"/>
  <c r="G82" i="6" s="1"/>
  <c r="F75" i="6"/>
  <c r="B35" i="18" l="1"/>
  <c r="AH41" i="5"/>
  <c r="AH40" i="5"/>
  <c r="AH39" i="5"/>
  <c r="AH36" i="5"/>
  <c r="AH35" i="5"/>
  <c r="AH34" i="5"/>
  <c r="AH31" i="5"/>
  <c r="AH30" i="5"/>
  <c r="AH29" i="5"/>
  <c r="AH26" i="5"/>
  <c r="AH25" i="5"/>
  <c r="AH24" i="5"/>
  <c r="AH21" i="5"/>
  <c r="AH20" i="5"/>
  <c r="AH19" i="5"/>
  <c r="AH16" i="5"/>
  <c r="AH15" i="5"/>
  <c r="AH14" i="5"/>
  <c r="AH11" i="5"/>
  <c r="AH10" i="5"/>
  <c r="AH9" i="5"/>
  <c r="AH5" i="5"/>
  <c r="AH6" i="5"/>
  <c r="AH4" i="5"/>
  <c r="AE6" i="5"/>
  <c r="AE5" i="5"/>
  <c r="AE4" i="5"/>
  <c r="AE11" i="5"/>
  <c r="AE10" i="5"/>
  <c r="AE9" i="5"/>
  <c r="AE16" i="5"/>
  <c r="AE15" i="5"/>
  <c r="AE14" i="5"/>
  <c r="AE21" i="5"/>
  <c r="AE20" i="5"/>
  <c r="AE19" i="5"/>
  <c r="AE26" i="5"/>
  <c r="AE25" i="5"/>
  <c r="AE24" i="5"/>
  <c r="AE31" i="5"/>
  <c r="AE30" i="5"/>
  <c r="AE29" i="5"/>
  <c r="AE36" i="5"/>
  <c r="AE35" i="5"/>
  <c r="AE34" i="5"/>
  <c r="AE40" i="5"/>
  <c r="AE41" i="5"/>
  <c r="AE39" i="5"/>
  <c r="AB44" i="5"/>
  <c r="AB46" i="5"/>
  <c r="AB45" i="5"/>
  <c r="AB41" i="5"/>
  <c r="AB40" i="5"/>
  <c r="AB39" i="5"/>
  <c r="AB36" i="5"/>
  <c r="AB35" i="5"/>
  <c r="AB34" i="5"/>
  <c r="AB31" i="5"/>
  <c r="AB30" i="5"/>
  <c r="AB29" i="5"/>
  <c r="AB26" i="5"/>
  <c r="AB25" i="5"/>
  <c r="AB24" i="5"/>
  <c r="AB21" i="5"/>
  <c r="AB20" i="5"/>
  <c r="AB19" i="5"/>
  <c r="AB16" i="5"/>
  <c r="AB15" i="5"/>
  <c r="AB14" i="5"/>
  <c r="AB11" i="5"/>
  <c r="AB10" i="5"/>
  <c r="AB9" i="5"/>
  <c r="AB5" i="5"/>
  <c r="AB6" i="5"/>
  <c r="AB4" i="5"/>
  <c r="I56" i="22"/>
  <c r="K46" i="22"/>
  <c r="M46" i="22"/>
  <c r="I46" i="22"/>
  <c r="F76" i="22"/>
  <c r="D76" i="22"/>
  <c r="B76" i="22"/>
  <c r="F66" i="22"/>
  <c r="D66" i="22"/>
  <c r="B66" i="22"/>
  <c r="F56" i="22"/>
  <c r="D56" i="22"/>
  <c r="B56" i="22"/>
  <c r="F46" i="22"/>
  <c r="D46" i="22"/>
  <c r="B46" i="22"/>
  <c r="M76" i="22"/>
  <c r="K76" i="22"/>
  <c r="I76" i="22"/>
  <c r="K66" i="22"/>
  <c r="M66" i="22"/>
  <c r="I66" i="22"/>
  <c r="M56" i="22"/>
  <c r="K56" i="22"/>
  <c r="AB12" i="22"/>
  <c r="Z12" i="22"/>
  <c r="X12" i="22"/>
  <c r="AB42" i="22"/>
  <c r="Z42" i="22"/>
  <c r="X42" i="22"/>
  <c r="Z32" i="22"/>
  <c r="AB32" i="22"/>
  <c r="X32" i="22"/>
  <c r="Z22" i="22"/>
  <c r="AB22" i="22"/>
  <c r="X22" i="22"/>
  <c r="V192" i="16" l="1"/>
  <c r="S142" i="16"/>
  <c r="U192" i="16"/>
  <c r="U180" i="16"/>
  <c r="U154" i="16"/>
  <c r="U167" i="16"/>
  <c r="U142" i="16"/>
  <c r="M141" i="16"/>
  <c r="T142" i="16"/>
  <c r="R142" i="16"/>
  <c r="Q142" i="16"/>
  <c r="P142" i="16"/>
  <c r="O142" i="16"/>
  <c r="N142" i="16"/>
  <c r="M142" i="16"/>
  <c r="U141" i="16"/>
  <c r="T141" i="16"/>
  <c r="S141" i="16"/>
  <c r="R141" i="16"/>
  <c r="Q141" i="16"/>
  <c r="P141" i="16"/>
  <c r="O141" i="16"/>
  <c r="N141" i="16"/>
  <c r="T154" i="16"/>
  <c r="S154" i="16"/>
  <c r="R154" i="16"/>
  <c r="Q154" i="16"/>
  <c r="P154" i="16"/>
  <c r="O154" i="16"/>
  <c r="N154" i="16"/>
  <c r="M154" i="16"/>
  <c r="U153" i="16"/>
  <c r="T153" i="16"/>
  <c r="S153" i="16"/>
  <c r="R153" i="16"/>
  <c r="Q153" i="16"/>
  <c r="P153" i="16"/>
  <c r="O153" i="16"/>
  <c r="N153" i="16"/>
  <c r="M153" i="16"/>
  <c r="T167" i="16"/>
  <c r="S167" i="16"/>
  <c r="R167" i="16"/>
  <c r="Q167" i="16"/>
  <c r="P167" i="16"/>
  <c r="O167" i="16"/>
  <c r="N167" i="16"/>
  <c r="M167" i="16"/>
  <c r="U166" i="16"/>
  <c r="T166" i="16"/>
  <c r="S166" i="16"/>
  <c r="R166" i="16"/>
  <c r="Q166" i="16"/>
  <c r="P166" i="16"/>
  <c r="O166" i="16"/>
  <c r="N166" i="16"/>
  <c r="M166" i="16"/>
  <c r="N179" i="16"/>
  <c r="O179" i="16"/>
  <c r="P179" i="16"/>
  <c r="Q179" i="16"/>
  <c r="R179" i="16"/>
  <c r="S179" i="16"/>
  <c r="T179" i="16"/>
  <c r="U179" i="16"/>
  <c r="M179" i="16"/>
  <c r="M180" i="16"/>
  <c r="N180" i="16"/>
  <c r="O180" i="16"/>
  <c r="P180" i="16"/>
  <c r="Q180" i="16"/>
  <c r="R180" i="16"/>
  <c r="S180" i="16"/>
  <c r="T180" i="16"/>
  <c r="T192" i="16"/>
  <c r="S192" i="16"/>
  <c r="R192" i="16"/>
  <c r="Q192" i="16"/>
  <c r="P192" i="16"/>
  <c r="O192" i="16"/>
  <c r="N192" i="16"/>
  <c r="M192" i="16"/>
  <c r="U191" i="16"/>
  <c r="T191" i="16"/>
  <c r="S191" i="16"/>
  <c r="R191" i="16"/>
  <c r="Q191" i="16"/>
  <c r="P191" i="16"/>
  <c r="O191" i="16"/>
  <c r="O194" i="16" s="1"/>
  <c r="N191" i="16"/>
  <c r="N194" i="16" s="1"/>
  <c r="M191" i="16"/>
  <c r="M194" i="16" s="1"/>
  <c r="AV111" i="6"/>
  <c r="H127" i="6" s="1"/>
  <c r="I127" i="6" s="1"/>
  <c r="AG111" i="6"/>
  <c r="H126" i="6" s="1"/>
  <c r="I126" i="6" s="1"/>
  <c r="AG103" i="6"/>
  <c r="G126" i="6" s="1"/>
  <c r="L110" i="6"/>
  <c r="H124" i="6" s="1"/>
  <c r="I124" i="6" s="1"/>
  <c r="L103" i="6"/>
  <c r="G124" i="6" s="1"/>
  <c r="X110" i="6"/>
  <c r="H125" i="6" s="1"/>
  <c r="X103" i="6"/>
  <c r="G125" i="6" s="1"/>
  <c r="AV110" i="6"/>
  <c r="AV103" i="6"/>
  <c r="G127" i="6" s="1"/>
  <c r="AV95" i="6"/>
  <c r="AV88" i="6"/>
  <c r="G123" i="6" s="1"/>
  <c r="AJ95" i="6"/>
  <c r="H122" i="6" s="1"/>
  <c r="I122" i="6" s="1"/>
  <c r="AJ88" i="6"/>
  <c r="G122" i="6" s="1"/>
  <c r="X95" i="6"/>
  <c r="H121" i="6" s="1"/>
  <c r="X88" i="6"/>
  <c r="G121" i="6" s="1"/>
  <c r="L95" i="6"/>
  <c r="H120" i="6" s="1"/>
  <c r="L88" i="6"/>
  <c r="G120" i="6" s="1"/>
  <c r="AP75" i="6"/>
  <c r="G119" i="6" s="1"/>
  <c r="AP82" i="6"/>
  <c r="H119" i="6" s="1"/>
  <c r="I119" i="6" s="1"/>
  <c r="AH36" i="1"/>
  <c r="AH25" i="1"/>
  <c r="AH45" i="1"/>
  <c r="AH44" i="1"/>
  <c r="AH43" i="1"/>
  <c r="AH42" i="1"/>
  <c r="AH41" i="1"/>
  <c r="AH40" i="1"/>
  <c r="AH39" i="1"/>
  <c r="AH38" i="1"/>
  <c r="AH37" i="1"/>
  <c r="AH35" i="1"/>
  <c r="AH34" i="1"/>
  <c r="AH33" i="1"/>
  <c r="AH32" i="1"/>
  <c r="AH31" i="1"/>
  <c r="AH30" i="1"/>
  <c r="AH29" i="1"/>
  <c r="AH28" i="1"/>
  <c r="AH27" i="1"/>
  <c r="AH26" i="1"/>
  <c r="AH23" i="1"/>
  <c r="M10" i="16"/>
  <c r="M21" i="16"/>
  <c r="M32" i="16"/>
  <c r="M43" i="16"/>
  <c r="N53" i="16"/>
  <c r="O53" i="16"/>
  <c r="P53" i="16"/>
  <c r="Q53" i="16"/>
  <c r="R53" i="16"/>
  <c r="S53" i="16"/>
  <c r="T53" i="16"/>
  <c r="U53" i="16"/>
  <c r="M53" i="16"/>
  <c r="U65" i="16"/>
  <c r="T65" i="16"/>
  <c r="S65" i="16"/>
  <c r="R65" i="16"/>
  <c r="Q65" i="16"/>
  <c r="P65" i="16"/>
  <c r="O65" i="16"/>
  <c r="N65" i="16"/>
  <c r="U76" i="16"/>
  <c r="T76" i="16"/>
  <c r="S76" i="16"/>
  <c r="R76" i="16"/>
  <c r="Q76" i="16"/>
  <c r="P76" i="16"/>
  <c r="O76" i="16"/>
  <c r="N76" i="16"/>
  <c r="M76" i="16"/>
  <c r="U87" i="16"/>
  <c r="T87" i="16"/>
  <c r="S87" i="16"/>
  <c r="R87" i="16"/>
  <c r="Q87" i="16"/>
  <c r="P87" i="16"/>
  <c r="O87" i="16"/>
  <c r="N87" i="16"/>
  <c r="M87" i="16"/>
  <c r="N98" i="16"/>
  <c r="O98" i="16"/>
  <c r="P98" i="16"/>
  <c r="Q98" i="16"/>
  <c r="R98" i="16"/>
  <c r="S98" i="16"/>
  <c r="T98" i="16"/>
  <c r="U98" i="16"/>
  <c r="M98" i="16"/>
  <c r="M108" i="16"/>
  <c r="U108" i="16"/>
  <c r="T108" i="16"/>
  <c r="S108" i="16"/>
  <c r="R108" i="16"/>
  <c r="Q108" i="16"/>
  <c r="P108" i="16"/>
  <c r="O108" i="16"/>
  <c r="N108" i="16"/>
  <c r="N119" i="16"/>
  <c r="O119" i="16"/>
  <c r="P119" i="16"/>
  <c r="Q119" i="16"/>
  <c r="R119" i="16"/>
  <c r="S119" i="16"/>
  <c r="T119" i="16"/>
  <c r="U119" i="16"/>
  <c r="M119" i="16"/>
  <c r="U43" i="16"/>
  <c r="T43" i="16"/>
  <c r="S43" i="16"/>
  <c r="R43" i="16"/>
  <c r="Q43" i="16"/>
  <c r="P43" i="16"/>
  <c r="O43" i="16"/>
  <c r="N43" i="16"/>
  <c r="U32" i="16"/>
  <c r="T32" i="16"/>
  <c r="S32" i="16"/>
  <c r="R32" i="16"/>
  <c r="Q32" i="16"/>
  <c r="P32" i="16"/>
  <c r="O32" i="16"/>
  <c r="N32" i="16"/>
  <c r="U21" i="16"/>
  <c r="T21" i="16"/>
  <c r="S21" i="16"/>
  <c r="R21" i="16"/>
  <c r="Q21" i="16"/>
  <c r="P21" i="16"/>
  <c r="O21" i="16"/>
  <c r="N21" i="16"/>
  <c r="N10" i="16"/>
  <c r="O10" i="16"/>
  <c r="P10" i="16"/>
  <c r="Q10" i="16"/>
  <c r="R10" i="16"/>
  <c r="S10" i="16"/>
  <c r="T10" i="16"/>
  <c r="U10" i="16"/>
  <c r="N54" i="16"/>
  <c r="O54" i="16"/>
  <c r="P54" i="16"/>
  <c r="Q54" i="16"/>
  <c r="R54" i="16"/>
  <c r="S54" i="16"/>
  <c r="T54" i="16"/>
  <c r="U54" i="16"/>
  <c r="M54" i="16"/>
  <c r="U109" i="16"/>
  <c r="T109" i="16"/>
  <c r="S109" i="16"/>
  <c r="R109" i="16"/>
  <c r="Q109" i="16"/>
  <c r="P109" i="16"/>
  <c r="O109" i="16"/>
  <c r="N109" i="16"/>
  <c r="M109" i="16"/>
  <c r="N120" i="16"/>
  <c r="O120" i="16"/>
  <c r="P120" i="16"/>
  <c r="Q120" i="16"/>
  <c r="R120" i="16"/>
  <c r="S120" i="16"/>
  <c r="T120" i="16"/>
  <c r="U120" i="16"/>
  <c r="M120" i="16"/>
  <c r="U99" i="16"/>
  <c r="T99" i="16"/>
  <c r="S99" i="16"/>
  <c r="R99" i="16"/>
  <c r="Q99" i="16"/>
  <c r="P99" i="16"/>
  <c r="O99" i="16"/>
  <c r="N99" i="16"/>
  <c r="M99" i="16"/>
  <c r="U88" i="16"/>
  <c r="T88" i="16"/>
  <c r="S88" i="16"/>
  <c r="R88" i="16"/>
  <c r="Q88" i="16"/>
  <c r="P88" i="16"/>
  <c r="O88" i="16"/>
  <c r="N88" i="16"/>
  <c r="M88" i="16"/>
  <c r="U77" i="16"/>
  <c r="T77" i="16"/>
  <c r="S77" i="16"/>
  <c r="R77" i="16"/>
  <c r="Q77" i="16"/>
  <c r="P77" i="16"/>
  <c r="O77" i="16"/>
  <c r="N77" i="16"/>
  <c r="M77" i="16"/>
  <c r="U66" i="16"/>
  <c r="T66" i="16"/>
  <c r="S66" i="16"/>
  <c r="R66" i="16"/>
  <c r="Q66" i="16"/>
  <c r="P66" i="16"/>
  <c r="O66" i="16"/>
  <c r="N66" i="16"/>
  <c r="M66" i="16"/>
  <c r="U44" i="16"/>
  <c r="T44" i="16"/>
  <c r="S44" i="16"/>
  <c r="R44" i="16"/>
  <c r="Q44" i="16"/>
  <c r="P44" i="16"/>
  <c r="O44" i="16"/>
  <c r="N44" i="16"/>
  <c r="M44" i="16"/>
  <c r="U33" i="16"/>
  <c r="T33" i="16"/>
  <c r="S33" i="16"/>
  <c r="R33" i="16"/>
  <c r="Q33" i="16"/>
  <c r="P33" i="16"/>
  <c r="O33" i="16"/>
  <c r="N33" i="16"/>
  <c r="M33" i="16"/>
  <c r="U22" i="16"/>
  <c r="T22" i="16"/>
  <c r="S22" i="16"/>
  <c r="R22" i="16"/>
  <c r="Q22" i="16"/>
  <c r="P22" i="16"/>
  <c r="O22" i="16"/>
  <c r="N22" i="16"/>
  <c r="M22" i="16"/>
  <c r="N11" i="16"/>
  <c r="O11" i="16"/>
  <c r="P11" i="16"/>
  <c r="Q11" i="16"/>
  <c r="R11" i="16"/>
  <c r="S11" i="16"/>
  <c r="T11" i="16"/>
  <c r="U11" i="16"/>
  <c r="M11" i="16"/>
  <c r="F29" i="3"/>
  <c r="B29" i="3"/>
  <c r="D29" i="3"/>
  <c r="AH100" i="21"/>
  <c r="AG100" i="21"/>
  <c r="AH99" i="21"/>
  <c r="AG99" i="21"/>
  <c r="AH98" i="21"/>
  <c r="AG98" i="21"/>
  <c r="AH97" i="21"/>
  <c r="AG97" i="21"/>
  <c r="AH96" i="21"/>
  <c r="AG96" i="21"/>
  <c r="AH95" i="21"/>
  <c r="AG95" i="21"/>
  <c r="AH94" i="21"/>
  <c r="AG94" i="21"/>
  <c r="AH93" i="21"/>
  <c r="AG93" i="21"/>
  <c r="AB100" i="21"/>
  <c r="AA100" i="21"/>
  <c r="AB99" i="21"/>
  <c r="AA99" i="21"/>
  <c r="AB98" i="21"/>
  <c r="AA98" i="21"/>
  <c r="AB97" i="21"/>
  <c r="AA97" i="21"/>
  <c r="AB96" i="21"/>
  <c r="AA96" i="21"/>
  <c r="AB95" i="21"/>
  <c r="AA95" i="21"/>
  <c r="AB94" i="21"/>
  <c r="AA94" i="21"/>
  <c r="AB93" i="21"/>
  <c r="AA93" i="21"/>
  <c r="V100" i="21"/>
  <c r="U100" i="21"/>
  <c r="V99" i="21"/>
  <c r="U99" i="21"/>
  <c r="V98" i="21"/>
  <c r="U98" i="21"/>
  <c r="V97" i="21"/>
  <c r="U97" i="21"/>
  <c r="V96" i="21"/>
  <c r="U96" i="21"/>
  <c r="V95" i="21"/>
  <c r="U95" i="21"/>
  <c r="V94" i="21"/>
  <c r="U94" i="21"/>
  <c r="V93" i="21"/>
  <c r="U93" i="21"/>
  <c r="P100" i="21"/>
  <c r="O100" i="21"/>
  <c r="P99" i="21"/>
  <c r="O99" i="21"/>
  <c r="P98" i="21"/>
  <c r="O98" i="21"/>
  <c r="P97" i="21"/>
  <c r="O97" i="21"/>
  <c r="P96" i="21"/>
  <c r="O96" i="21"/>
  <c r="P95" i="21"/>
  <c r="O95" i="21"/>
  <c r="P94" i="21"/>
  <c r="O94" i="21"/>
  <c r="P93" i="21"/>
  <c r="O93" i="21"/>
  <c r="J100" i="21"/>
  <c r="I100" i="21"/>
  <c r="J99" i="21"/>
  <c r="I99" i="21"/>
  <c r="J98" i="21"/>
  <c r="I98" i="21"/>
  <c r="J97" i="21"/>
  <c r="I97" i="21"/>
  <c r="J96" i="21"/>
  <c r="I96" i="21"/>
  <c r="J95" i="21"/>
  <c r="I95" i="21"/>
  <c r="J94" i="21"/>
  <c r="I94" i="21"/>
  <c r="J93" i="21"/>
  <c r="I93" i="21"/>
  <c r="D94" i="21"/>
  <c r="D95" i="21"/>
  <c r="D96" i="21"/>
  <c r="D97" i="21"/>
  <c r="D98" i="21"/>
  <c r="D99" i="21"/>
  <c r="D100" i="21"/>
  <c r="D93" i="21"/>
  <c r="C94" i="21"/>
  <c r="C95" i="21"/>
  <c r="C96" i="21"/>
  <c r="C97" i="21"/>
  <c r="C98" i="21"/>
  <c r="C99" i="21"/>
  <c r="C100" i="21"/>
  <c r="C93" i="21"/>
  <c r="AH91" i="21"/>
  <c r="AG91" i="21"/>
  <c r="AH90" i="21"/>
  <c r="AG90" i="21"/>
  <c r="AH89" i="21"/>
  <c r="AG89" i="21"/>
  <c r="AH88" i="21"/>
  <c r="AG88" i="21"/>
  <c r="AH87" i="21"/>
  <c r="AG87" i="21"/>
  <c r="AH86" i="21"/>
  <c r="AG86" i="21"/>
  <c r="AH85" i="21"/>
  <c r="AG85" i="21"/>
  <c r="AH84" i="21"/>
  <c r="AG84" i="21"/>
  <c r="AB91" i="21"/>
  <c r="AA91" i="21"/>
  <c r="AB90" i="21"/>
  <c r="AA90" i="21"/>
  <c r="AB89" i="21"/>
  <c r="AA89" i="21"/>
  <c r="AB88" i="21"/>
  <c r="AA88" i="21"/>
  <c r="AB87" i="21"/>
  <c r="AA87" i="21"/>
  <c r="AB86" i="21"/>
  <c r="AA86" i="21"/>
  <c r="AB85" i="21"/>
  <c r="AA85" i="21"/>
  <c r="AB84" i="21"/>
  <c r="AA84" i="21"/>
  <c r="V91" i="21"/>
  <c r="U91" i="21"/>
  <c r="V90" i="21"/>
  <c r="U90" i="21"/>
  <c r="V89" i="21"/>
  <c r="U89" i="21"/>
  <c r="V88" i="21"/>
  <c r="U88" i="21"/>
  <c r="V87" i="21"/>
  <c r="U87" i="21"/>
  <c r="V86" i="21"/>
  <c r="U86" i="21"/>
  <c r="V85" i="21"/>
  <c r="U85" i="21"/>
  <c r="V84" i="21"/>
  <c r="U84" i="21"/>
  <c r="P91" i="21"/>
  <c r="O91" i="21"/>
  <c r="P90" i="21"/>
  <c r="O90" i="21"/>
  <c r="P89" i="21"/>
  <c r="O89" i="21"/>
  <c r="P88" i="21"/>
  <c r="O88" i="21"/>
  <c r="P87" i="21"/>
  <c r="O87" i="21"/>
  <c r="P86" i="21"/>
  <c r="O86" i="21"/>
  <c r="P85" i="21"/>
  <c r="O85" i="21"/>
  <c r="P84" i="21"/>
  <c r="O84" i="21"/>
  <c r="J91" i="21"/>
  <c r="I91" i="21"/>
  <c r="J90" i="21"/>
  <c r="I90" i="21"/>
  <c r="J89" i="21"/>
  <c r="I89" i="21"/>
  <c r="J88" i="21"/>
  <c r="I88" i="21"/>
  <c r="J87" i="21"/>
  <c r="I87" i="21"/>
  <c r="J86" i="21"/>
  <c r="I86" i="21"/>
  <c r="J85" i="21"/>
  <c r="I85" i="21"/>
  <c r="J84" i="21"/>
  <c r="I84" i="21"/>
  <c r="C85" i="21"/>
  <c r="C86" i="21"/>
  <c r="C87" i="21"/>
  <c r="C88" i="21"/>
  <c r="C89" i="21"/>
  <c r="C90" i="21"/>
  <c r="C91" i="21"/>
  <c r="D85" i="21"/>
  <c r="D86" i="21"/>
  <c r="D87" i="21"/>
  <c r="D88" i="21"/>
  <c r="D89" i="21"/>
  <c r="D90" i="21"/>
  <c r="D91" i="21"/>
  <c r="D84" i="21"/>
  <c r="C84" i="21"/>
  <c r="AH82" i="21"/>
  <c r="AG82" i="21"/>
  <c r="AH81" i="21"/>
  <c r="AG81" i="21"/>
  <c r="AH80" i="21"/>
  <c r="AG80" i="21"/>
  <c r="AH79" i="21"/>
  <c r="AG79" i="21"/>
  <c r="AH78" i="21"/>
  <c r="AG78" i="21"/>
  <c r="AH77" i="21"/>
  <c r="AG77" i="21"/>
  <c r="AH76" i="21"/>
  <c r="AG76" i="21"/>
  <c r="AH75" i="21"/>
  <c r="AG75" i="21"/>
  <c r="AB82" i="21"/>
  <c r="AA82" i="21"/>
  <c r="AB81" i="21"/>
  <c r="AA81" i="21"/>
  <c r="AB80" i="21"/>
  <c r="AA80" i="21"/>
  <c r="AB79" i="21"/>
  <c r="AA79" i="21"/>
  <c r="AB78" i="21"/>
  <c r="AA78" i="21"/>
  <c r="AB77" i="21"/>
  <c r="AA77" i="21"/>
  <c r="AB76" i="21"/>
  <c r="AA76" i="21"/>
  <c r="AB75" i="21"/>
  <c r="AA75" i="21"/>
  <c r="V82" i="21"/>
  <c r="U82" i="21"/>
  <c r="V81" i="21"/>
  <c r="U81" i="21"/>
  <c r="V80" i="21"/>
  <c r="U80" i="21"/>
  <c r="V79" i="21"/>
  <c r="U79" i="21"/>
  <c r="V78" i="21"/>
  <c r="U78" i="21"/>
  <c r="V77" i="21"/>
  <c r="U77" i="21"/>
  <c r="V76" i="21"/>
  <c r="U76" i="21"/>
  <c r="V75" i="21"/>
  <c r="U75" i="21"/>
  <c r="P82" i="21"/>
  <c r="O82" i="21"/>
  <c r="P81" i="21"/>
  <c r="O81" i="21"/>
  <c r="P80" i="21"/>
  <c r="O80" i="21"/>
  <c r="P79" i="21"/>
  <c r="O79" i="21"/>
  <c r="P78" i="21"/>
  <c r="O78" i="21"/>
  <c r="P77" i="21"/>
  <c r="O77" i="21"/>
  <c r="P76" i="21"/>
  <c r="O76" i="21"/>
  <c r="P75" i="21"/>
  <c r="O75" i="21"/>
  <c r="J82" i="21"/>
  <c r="I82" i="21"/>
  <c r="J81" i="21"/>
  <c r="I81" i="21"/>
  <c r="J80" i="21"/>
  <c r="I80" i="21"/>
  <c r="J79" i="21"/>
  <c r="I79" i="21"/>
  <c r="J78" i="21"/>
  <c r="I78" i="21"/>
  <c r="J77" i="21"/>
  <c r="I77" i="21"/>
  <c r="J76" i="21"/>
  <c r="I76" i="21"/>
  <c r="J75" i="21"/>
  <c r="I75" i="21"/>
  <c r="D76" i="21"/>
  <c r="D77" i="21"/>
  <c r="D78" i="21"/>
  <c r="D79" i="21"/>
  <c r="D80" i="21"/>
  <c r="D81" i="21"/>
  <c r="D82" i="21"/>
  <c r="D75" i="21"/>
  <c r="C76" i="21"/>
  <c r="C77" i="21"/>
  <c r="C78" i="21"/>
  <c r="C79" i="21"/>
  <c r="C80" i="21"/>
  <c r="C81" i="21"/>
  <c r="C82" i="21"/>
  <c r="C75" i="21"/>
  <c r="C66" i="21"/>
  <c r="AH73" i="21"/>
  <c r="AG73" i="21"/>
  <c r="AH72" i="21"/>
  <c r="AG72" i="21"/>
  <c r="AH71" i="21"/>
  <c r="AG71" i="21"/>
  <c r="AH70" i="21"/>
  <c r="AG70" i="21"/>
  <c r="AH69" i="21"/>
  <c r="AG69" i="21"/>
  <c r="AH68" i="21"/>
  <c r="AG68" i="21"/>
  <c r="AH67" i="21"/>
  <c r="AG67" i="21"/>
  <c r="AH66" i="21"/>
  <c r="AB73" i="21"/>
  <c r="AA73" i="21"/>
  <c r="AB72" i="21"/>
  <c r="AA72" i="21"/>
  <c r="AB71" i="21"/>
  <c r="AA71" i="21"/>
  <c r="AB70" i="21"/>
  <c r="AA70" i="21"/>
  <c r="AB69" i="21"/>
  <c r="AA69" i="21"/>
  <c r="AB68" i="21"/>
  <c r="AA68" i="21"/>
  <c r="AB67" i="21"/>
  <c r="AA67" i="21"/>
  <c r="AB66" i="21"/>
  <c r="AA66" i="21"/>
  <c r="V73" i="21"/>
  <c r="U73" i="21"/>
  <c r="V72" i="21"/>
  <c r="U72" i="21"/>
  <c r="V71" i="21"/>
  <c r="U71" i="21"/>
  <c r="V70" i="21"/>
  <c r="U70" i="21"/>
  <c r="V69" i="21"/>
  <c r="U69" i="21"/>
  <c r="V68" i="21"/>
  <c r="U68" i="21"/>
  <c r="V67" i="21"/>
  <c r="U67" i="21"/>
  <c r="V66" i="21"/>
  <c r="U66" i="21"/>
  <c r="P73" i="21"/>
  <c r="O73" i="21"/>
  <c r="P72" i="21"/>
  <c r="O72" i="21"/>
  <c r="P71" i="21"/>
  <c r="O71" i="21"/>
  <c r="P70" i="21"/>
  <c r="O70" i="21"/>
  <c r="P69" i="21"/>
  <c r="O69" i="21"/>
  <c r="P68" i="21"/>
  <c r="O68" i="21"/>
  <c r="P67" i="21"/>
  <c r="O67" i="21"/>
  <c r="P66" i="21"/>
  <c r="O66" i="21"/>
  <c r="J73" i="21"/>
  <c r="I73" i="21"/>
  <c r="J72" i="21"/>
  <c r="I72" i="21"/>
  <c r="J71" i="21"/>
  <c r="I71" i="21"/>
  <c r="J70" i="21"/>
  <c r="I70" i="21"/>
  <c r="J69" i="21"/>
  <c r="I69" i="21"/>
  <c r="J68" i="21"/>
  <c r="I68" i="21"/>
  <c r="J67" i="21"/>
  <c r="I67" i="21"/>
  <c r="J66" i="21"/>
  <c r="I66" i="21"/>
  <c r="C67" i="21"/>
  <c r="D67" i="21"/>
  <c r="C68" i="21"/>
  <c r="D68" i="21"/>
  <c r="C69" i="21"/>
  <c r="D69" i="21"/>
  <c r="C70" i="21"/>
  <c r="D70" i="21"/>
  <c r="C71" i="21"/>
  <c r="D71" i="21"/>
  <c r="C72" i="21"/>
  <c r="D72" i="21"/>
  <c r="C73" i="21"/>
  <c r="D73" i="21"/>
  <c r="D66" i="21"/>
  <c r="AW110" i="6" l="1"/>
  <c r="M95" i="6"/>
  <c r="Y95" i="6"/>
  <c r="AW95" i="6"/>
  <c r="H123" i="6"/>
  <c r="I123" i="6" s="1"/>
  <c r="I125" i="6"/>
  <c r="I121" i="6"/>
  <c r="I120" i="6"/>
  <c r="J116" i="6" s="1"/>
  <c r="X180" i="16"/>
  <c r="W180" i="16"/>
  <c r="V180" i="16"/>
  <c r="X167" i="16"/>
  <c r="W167" i="16"/>
  <c r="V167" i="16"/>
  <c r="X154" i="16"/>
  <c r="W154" i="16"/>
  <c r="V154" i="16"/>
  <c r="X142" i="16"/>
  <c r="W142" i="16"/>
  <c r="V142" i="16"/>
  <c r="X120" i="16"/>
  <c r="W120" i="16"/>
  <c r="X109" i="16"/>
  <c r="V109" i="16"/>
  <c r="W88" i="16"/>
  <c r="X77" i="16"/>
  <c r="V77" i="16"/>
  <c r="W66" i="16"/>
  <c r="V66" i="16"/>
  <c r="X54" i="16"/>
  <c r="V54" i="16"/>
  <c r="X44" i="16"/>
  <c r="W44" i="16"/>
  <c r="V44" i="16"/>
  <c r="X33" i="16"/>
  <c r="W33" i="16"/>
  <c r="V33" i="16"/>
  <c r="X22" i="16"/>
  <c r="W22" i="16"/>
  <c r="V22" i="16"/>
  <c r="W11" i="16"/>
  <c r="V11" i="16"/>
  <c r="X192" i="16"/>
  <c r="W192" i="16"/>
  <c r="S144" i="16"/>
  <c r="U194" i="16"/>
  <c r="T194" i="16"/>
  <c r="S194" i="16"/>
  <c r="R194" i="16"/>
  <c r="Q194" i="16"/>
  <c r="P194" i="16"/>
  <c r="U182" i="16"/>
  <c r="T182" i="16"/>
  <c r="S182" i="16"/>
  <c r="R182" i="16"/>
  <c r="Q182" i="16"/>
  <c r="P182" i="16"/>
  <c r="O182" i="16"/>
  <c r="N182" i="16"/>
  <c r="M182" i="16"/>
  <c r="U169" i="16"/>
  <c r="S169" i="16"/>
  <c r="O169" i="16"/>
  <c r="U156" i="16"/>
  <c r="R156" i="16"/>
  <c r="P156" i="16"/>
  <c r="N156" i="16"/>
  <c r="Q144" i="16"/>
  <c r="M144" i="16"/>
  <c r="M110" i="6"/>
  <c r="AK95" i="6"/>
  <c r="Q122" i="16"/>
  <c r="O122" i="16"/>
  <c r="S111" i="16"/>
  <c r="R101" i="16"/>
  <c r="R90" i="16"/>
  <c r="N90" i="16"/>
  <c r="M90" i="16"/>
  <c r="N79" i="16"/>
  <c r="U68" i="16"/>
  <c r="U56" i="16"/>
  <c r="T46" i="16"/>
  <c r="O46" i="16"/>
  <c r="Q35" i="16"/>
  <c r="Q24" i="16"/>
  <c r="S13" i="16"/>
  <c r="X11" i="16"/>
  <c r="M156" i="16"/>
  <c r="U144" i="16"/>
  <c r="T122" i="16"/>
  <c r="U122" i="16"/>
  <c r="P111" i="16"/>
  <c r="U90" i="16"/>
  <c r="R79" i="16"/>
  <c r="M79" i="16"/>
  <c r="R68" i="16"/>
  <c r="S56" i="16"/>
  <c r="M56" i="16"/>
  <c r="S46" i="16"/>
  <c r="U35" i="16"/>
  <c r="M35" i="16"/>
  <c r="P24" i="16"/>
  <c r="U13" i="16"/>
  <c r="M122" i="16"/>
  <c r="Q111" i="16"/>
  <c r="S101" i="16"/>
  <c r="M101" i="16"/>
  <c r="Q90" i="16"/>
  <c r="O79" i="16"/>
  <c r="N56" i="16"/>
  <c r="Q46" i="16"/>
  <c r="S35" i="16"/>
  <c r="N24" i="16"/>
  <c r="Q13" i="16"/>
  <c r="W99" i="16"/>
  <c r="W77" i="16"/>
  <c r="X66" i="16"/>
  <c r="U101" i="16"/>
  <c r="U79" i="16"/>
  <c r="O68" i="16"/>
  <c r="T56" i="16"/>
  <c r="U46" i="16"/>
  <c r="N46" i="16"/>
  <c r="O35" i="16"/>
  <c r="P13" i="16"/>
  <c r="X88" i="16"/>
  <c r="Y110" i="6"/>
  <c r="S122" i="16"/>
  <c r="P122" i="16"/>
  <c r="U111" i="16"/>
  <c r="O111" i="16"/>
  <c r="Q101" i="16"/>
  <c r="T90" i="16"/>
  <c r="Q79" i="16"/>
  <c r="P68" i="16"/>
  <c r="P56" i="16"/>
  <c r="M46" i="16"/>
  <c r="P35" i="16"/>
  <c r="T24" i="16"/>
  <c r="N13" i="16"/>
  <c r="X99" i="16"/>
  <c r="T169" i="16"/>
  <c r="Q169" i="16"/>
  <c r="P169" i="16"/>
  <c r="M169" i="16"/>
  <c r="Q156" i="16"/>
  <c r="T144" i="16"/>
  <c r="P144" i="16"/>
  <c r="N144" i="16"/>
  <c r="AQ82" i="6"/>
  <c r="T111" i="16"/>
  <c r="N111" i="16"/>
  <c r="P101" i="16"/>
  <c r="P90" i="16"/>
  <c r="T79" i="16"/>
  <c r="Q68" i="16"/>
  <c r="M68" i="16"/>
  <c r="R56" i="16"/>
  <c r="N35" i="16"/>
  <c r="U24" i="16"/>
  <c r="T13" i="16"/>
  <c r="V88" i="16"/>
  <c r="V99" i="16"/>
  <c r="W54" i="16"/>
  <c r="V120" i="16"/>
  <c r="R169" i="16"/>
  <c r="N169" i="16"/>
  <c r="T156" i="16"/>
  <c r="S156" i="16"/>
  <c r="O156" i="16"/>
  <c r="R144" i="16"/>
  <c r="O144" i="16"/>
  <c r="AW111" i="6"/>
  <c r="R122" i="16"/>
  <c r="N122" i="16"/>
  <c r="R111" i="16"/>
  <c r="T101" i="16"/>
  <c r="N101" i="16"/>
  <c r="S90" i="16"/>
  <c r="P79" i="16"/>
  <c r="S68" i="16"/>
  <c r="N68" i="16"/>
  <c r="O56" i="16"/>
  <c r="R46" i="16"/>
  <c r="T35" i="16"/>
  <c r="R24" i="16"/>
  <c r="M24" i="16"/>
  <c r="R13" i="16"/>
  <c r="W109" i="16"/>
  <c r="M111" i="16"/>
  <c r="O101" i="16"/>
  <c r="O90" i="16"/>
  <c r="S79" i="16"/>
  <c r="T68" i="16"/>
  <c r="Q56" i="16"/>
  <c r="P46" i="16"/>
  <c r="R35" i="16"/>
  <c r="S24" i="16"/>
  <c r="O24" i="16"/>
  <c r="O13" i="16"/>
  <c r="M13" i="16"/>
  <c r="AH111" i="6"/>
  <c r="AH110" i="6"/>
</calcChain>
</file>

<file path=xl/sharedStrings.xml><?xml version="1.0" encoding="utf-8"?>
<sst xmlns="http://schemas.openxmlformats.org/spreadsheetml/2006/main" count="15846" uniqueCount="3500">
  <si>
    <t>-inducer</t>
  </si>
  <si>
    <t>+inducer</t>
  </si>
  <si>
    <t>Fig.2b</t>
    <phoneticPr fontId="3" type="noConversion"/>
  </si>
  <si>
    <t>spA4</t>
  </si>
  <si>
    <t>spA5</t>
  </si>
  <si>
    <t>spA3</t>
  </si>
  <si>
    <t>spA10</t>
  </si>
  <si>
    <t>spA20</t>
  </si>
  <si>
    <t>spA14</t>
  </si>
  <si>
    <t>spA24</t>
  </si>
  <si>
    <t>spA25</t>
  </si>
  <si>
    <t>spA18</t>
  </si>
  <si>
    <t>spA1</t>
  </si>
  <si>
    <t>spA22</t>
  </si>
  <si>
    <t>spA21</t>
  </si>
  <si>
    <t>spA12</t>
  </si>
  <si>
    <t>spA9</t>
  </si>
  <si>
    <t>spA0</t>
  </si>
  <si>
    <t>spA2</t>
  </si>
  <si>
    <t>spA23</t>
  </si>
  <si>
    <t>spA19</t>
  </si>
  <si>
    <t>spA11</t>
  </si>
  <si>
    <t>spA13</t>
  </si>
  <si>
    <t>spA16</t>
  </si>
  <si>
    <t>spA6</t>
  </si>
  <si>
    <t>spA17</t>
  </si>
  <si>
    <t>spA7</t>
  </si>
  <si>
    <t>spA8</t>
  </si>
  <si>
    <t>spA15</t>
  </si>
  <si>
    <t>-</t>
  </si>
  <si>
    <t>+</t>
  </si>
  <si>
    <t>spb25</t>
  </si>
  <si>
    <t>spb7</t>
  </si>
  <si>
    <t>spb1</t>
  </si>
  <si>
    <t>spb23</t>
  </si>
  <si>
    <t>spb8</t>
  </si>
  <si>
    <t>spb27</t>
  </si>
  <si>
    <t>spb5</t>
  </si>
  <si>
    <t>spb6</t>
  </si>
  <si>
    <t>spb11</t>
  </si>
  <si>
    <t>spb26</t>
  </si>
  <si>
    <t>spb4</t>
  </si>
  <si>
    <t>spb30</t>
  </si>
  <si>
    <t>spb13</t>
  </si>
  <si>
    <t>spb17</t>
  </si>
  <si>
    <t>spb0</t>
  </si>
  <si>
    <t>spb12</t>
  </si>
  <si>
    <t>spb14</t>
  </si>
  <si>
    <t>spb10</t>
  </si>
  <si>
    <t>spb15</t>
  </si>
  <si>
    <t>spb9</t>
  </si>
  <si>
    <t>spb29</t>
  </si>
  <si>
    <t>spb16</t>
  </si>
  <si>
    <t>spb18</t>
  </si>
  <si>
    <t>spb24</t>
  </si>
  <si>
    <t>spb2</t>
  </si>
  <si>
    <t>spb19</t>
  </si>
  <si>
    <t>spb20</t>
  </si>
  <si>
    <t>spb3</t>
  </si>
  <si>
    <t>spb21</t>
  </si>
  <si>
    <t>spb22</t>
  </si>
  <si>
    <t>spc20</t>
  </si>
  <si>
    <t>spc18</t>
  </si>
  <si>
    <t>spc19</t>
  </si>
  <si>
    <t>spc0</t>
  </si>
  <si>
    <t>spc21</t>
  </si>
  <si>
    <t>spc22</t>
  </si>
  <si>
    <t>spc13</t>
  </si>
  <si>
    <t>spc15</t>
  </si>
  <si>
    <t>spc17</t>
  </si>
  <si>
    <t>spc16</t>
  </si>
  <si>
    <t>spc24</t>
  </si>
  <si>
    <t>spc23</t>
  </si>
  <si>
    <t>spc6</t>
  </si>
  <si>
    <t>spc14</t>
  </si>
  <si>
    <t>spc12</t>
  </si>
  <si>
    <t>spc3</t>
  </si>
  <si>
    <t>spc27</t>
  </si>
  <si>
    <t>spc4</t>
  </si>
  <si>
    <t>spc11</t>
  </si>
  <si>
    <t>spc2</t>
  </si>
  <si>
    <t>spc9</t>
  </si>
  <si>
    <t>spc5</t>
  </si>
  <si>
    <t>spc25</t>
  </si>
  <si>
    <t>spc8</t>
  </si>
  <si>
    <t>spc26</t>
  </si>
  <si>
    <t>spc28</t>
  </si>
  <si>
    <t>spc10</t>
  </si>
  <si>
    <t>spc1</t>
  </si>
  <si>
    <t>spc7</t>
  </si>
  <si>
    <t>spA</t>
    <phoneticPr fontId="3" type="noConversion"/>
  </si>
  <si>
    <t>spB</t>
    <phoneticPr fontId="3" type="noConversion"/>
  </si>
  <si>
    <t>spC</t>
    <phoneticPr fontId="3" type="noConversion"/>
  </si>
  <si>
    <t>RPU</t>
    <phoneticPr fontId="3" type="noConversion"/>
  </si>
  <si>
    <t>-inducer</t>
    <phoneticPr fontId="3" type="noConversion"/>
  </si>
  <si>
    <t>+inducer</t>
    <phoneticPr fontId="3" type="noConversion"/>
  </si>
  <si>
    <t>spa0</t>
    <phoneticPr fontId="3" type="noConversion"/>
  </si>
  <si>
    <t>spb1</t>
    <phoneticPr fontId="3" type="noConversion"/>
  </si>
  <si>
    <t>spc0</t>
    <phoneticPr fontId="3" type="noConversion"/>
  </si>
  <si>
    <t>spa20</t>
    <phoneticPr fontId="3" type="noConversion"/>
  </si>
  <si>
    <t>spa10</t>
    <phoneticPr fontId="3" type="noConversion"/>
  </si>
  <si>
    <t>spa9</t>
    <phoneticPr fontId="3" type="noConversion"/>
  </si>
  <si>
    <t>spa14</t>
    <phoneticPr fontId="3" type="noConversion"/>
  </si>
  <si>
    <t>spa24</t>
    <phoneticPr fontId="3" type="noConversion"/>
  </si>
  <si>
    <t>spa18</t>
    <phoneticPr fontId="3" type="noConversion"/>
  </si>
  <si>
    <t>spa22</t>
    <phoneticPr fontId="3" type="noConversion"/>
  </si>
  <si>
    <t>spa21</t>
    <phoneticPr fontId="3" type="noConversion"/>
  </si>
  <si>
    <t>spa12</t>
    <phoneticPr fontId="3" type="noConversion"/>
  </si>
  <si>
    <t>spa6</t>
    <phoneticPr fontId="3" type="noConversion"/>
  </si>
  <si>
    <t>spa7</t>
    <phoneticPr fontId="3" type="noConversion"/>
  </si>
  <si>
    <t>spb25</t>
    <phoneticPr fontId="3" type="noConversion"/>
  </si>
  <si>
    <t>spb7</t>
    <phoneticPr fontId="3" type="noConversion"/>
  </si>
  <si>
    <t>spb5</t>
    <phoneticPr fontId="3" type="noConversion"/>
  </si>
  <si>
    <t>spb23</t>
    <phoneticPr fontId="3" type="noConversion"/>
  </si>
  <si>
    <t>spb8</t>
    <phoneticPr fontId="3" type="noConversion"/>
  </si>
  <si>
    <t>spb27</t>
    <phoneticPr fontId="3" type="noConversion"/>
  </si>
  <si>
    <t>spb11</t>
    <phoneticPr fontId="3" type="noConversion"/>
  </si>
  <si>
    <t>spb17</t>
    <phoneticPr fontId="3" type="noConversion"/>
  </si>
  <si>
    <t>spb14</t>
    <phoneticPr fontId="3" type="noConversion"/>
  </si>
  <si>
    <t>spb15</t>
    <phoneticPr fontId="3" type="noConversion"/>
  </si>
  <si>
    <t>spb26</t>
    <phoneticPr fontId="3" type="noConversion"/>
  </si>
  <si>
    <t>spc20</t>
    <phoneticPr fontId="3" type="noConversion"/>
  </si>
  <si>
    <t>spc18</t>
    <phoneticPr fontId="3" type="noConversion"/>
  </si>
  <si>
    <t>spc19</t>
    <phoneticPr fontId="3" type="noConversion"/>
  </si>
  <si>
    <t>spc21</t>
    <phoneticPr fontId="3" type="noConversion"/>
  </si>
  <si>
    <t>spc22</t>
    <phoneticPr fontId="3" type="noConversion"/>
  </si>
  <si>
    <t>spc15</t>
    <phoneticPr fontId="3" type="noConversion"/>
  </si>
  <si>
    <t>spc16</t>
    <phoneticPr fontId="3" type="noConversion"/>
  </si>
  <si>
    <t>spc23</t>
    <phoneticPr fontId="3" type="noConversion"/>
  </si>
  <si>
    <t>spc24</t>
    <phoneticPr fontId="3" type="noConversion"/>
  </si>
  <si>
    <t>spc7</t>
    <phoneticPr fontId="3" type="noConversion"/>
  </si>
  <si>
    <t>spc8</t>
    <phoneticPr fontId="3" type="noConversion"/>
  </si>
  <si>
    <t>spc6</t>
    <phoneticPr fontId="3" type="noConversion"/>
  </si>
  <si>
    <t>CI434</t>
  </si>
  <si>
    <t>HKCI</t>
  </si>
  <si>
    <t>RecApact</t>
  </si>
  <si>
    <t>DeoR</t>
  </si>
  <si>
    <t>PurR</t>
  </si>
  <si>
    <t>DBP35</t>
  </si>
  <si>
    <r>
      <t>P</t>
    </r>
    <r>
      <rPr>
        <vertAlign val="subscript"/>
        <sz val="11"/>
        <rFont val="Arial"/>
        <family val="2"/>
      </rPr>
      <t>S.a0b1c0</t>
    </r>
  </si>
  <si>
    <r>
      <t>P</t>
    </r>
    <r>
      <rPr>
        <vertAlign val="subscript"/>
        <sz val="11"/>
        <rFont val="Arial"/>
        <family val="2"/>
      </rPr>
      <t>S.a0b0c0Δ89k_4×rpaO</t>
    </r>
  </si>
  <si>
    <r>
      <t>P</t>
    </r>
    <r>
      <rPr>
        <vertAlign val="subscript"/>
        <sz val="11"/>
        <rFont val="Arial"/>
        <family val="2"/>
      </rPr>
      <t>S.a0b0c0Δ89k_4×kb</t>
    </r>
  </si>
  <si>
    <r>
      <t>P</t>
    </r>
    <r>
      <rPr>
        <vertAlign val="subscript"/>
        <sz val="11"/>
        <rFont val="Arial"/>
        <family val="2"/>
      </rPr>
      <t>S.a0b0c0Δ89</t>
    </r>
  </si>
  <si>
    <r>
      <t>P</t>
    </r>
    <r>
      <rPr>
        <vertAlign val="subscript"/>
        <sz val="11"/>
        <rFont val="Arial"/>
        <family val="2"/>
      </rPr>
      <t>S.a0b0c0Δmig1</t>
    </r>
  </si>
  <si>
    <r>
      <t>P</t>
    </r>
    <r>
      <rPr>
        <vertAlign val="subscript"/>
        <sz val="11"/>
        <rFont val="Arial"/>
        <family val="2"/>
      </rPr>
      <t>S.a0b0c0mig1m</t>
    </r>
  </si>
  <si>
    <r>
      <t>P</t>
    </r>
    <r>
      <rPr>
        <vertAlign val="subscript"/>
        <sz val="11"/>
        <rFont val="Arial"/>
        <family val="2"/>
      </rPr>
      <t>S.a0b0c0(adr1)2m</t>
    </r>
  </si>
  <si>
    <r>
      <t>P</t>
    </r>
    <r>
      <rPr>
        <vertAlign val="subscript"/>
        <sz val="11"/>
        <rFont val="Arial"/>
        <family val="2"/>
      </rPr>
      <t>S.a0b0c0(adr1)1m</t>
    </r>
  </si>
  <si>
    <r>
      <t>P</t>
    </r>
    <r>
      <rPr>
        <vertAlign val="subscript"/>
        <sz val="11"/>
        <rFont val="Arial"/>
        <family val="2"/>
      </rPr>
      <t>S.a0b0c0</t>
    </r>
  </si>
  <si>
    <t>fold=455.8</t>
  </si>
  <si>
    <t>fold=8.1</t>
  </si>
  <si>
    <t>fold=5.5</t>
  </si>
  <si>
    <t>fold=6.6</t>
  </si>
  <si>
    <t>fold=236.6</t>
  </si>
  <si>
    <t>fold=Φ</t>
  </si>
  <si>
    <t>lexAec87</t>
  </si>
  <si>
    <t>lexAvp91</t>
  </si>
  <si>
    <t>lexApa93</t>
  </si>
  <si>
    <t>lexApp91</t>
  </si>
  <si>
    <t>lexAxa101</t>
  </si>
  <si>
    <t>lexAxf99</t>
  </si>
  <si>
    <t>lexAxa90</t>
  </si>
  <si>
    <t>lexApm92</t>
  </si>
  <si>
    <t>lexAbs94</t>
  </si>
  <si>
    <t>lexAlm93</t>
  </si>
  <si>
    <t>lexAsa96</t>
  </si>
  <si>
    <t>lexApd114</t>
  </si>
  <si>
    <t>lexAmt127</t>
  </si>
  <si>
    <t>lexAcg145</t>
  </si>
  <si>
    <t>lexAgs91</t>
  </si>
  <si>
    <t>lexAfs104</t>
  </si>
  <si>
    <t>lexAmx100</t>
  </si>
  <si>
    <t>lexAac89</t>
  </si>
  <si>
    <t>lexAsm126</t>
  </si>
  <si>
    <t>lexAcc123</t>
  </si>
  <si>
    <t>lexAmm115</t>
  </si>
  <si>
    <t>lexAsp87</t>
  </si>
  <si>
    <t>DeoR DBD</t>
  </si>
  <si>
    <t>0.573266*</t>
  </si>
  <si>
    <t>AllR DBD</t>
  </si>
  <si>
    <t>MhpR DBD</t>
  </si>
  <si>
    <t>DgoR DBD</t>
  </si>
  <si>
    <t>NanR DBD</t>
  </si>
  <si>
    <t>PdhR DBD</t>
  </si>
  <si>
    <t>ArgR DBD</t>
  </si>
  <si>
    <t>RecApact DBD</t>
  </si>
  <si>
    <t>TreR DBD</t>
  </si>
  <si>
    <t>FruR DBD</t>
  </si>
  <si>
    <t>PurR DBD</t>
  </si>
  <si>
    <t>RbsR DBD</t>
  </si>
  <si>
    <t>RutR DBD</t>
  </si>
  <si>
    <t>BetI DBD</t>
  </si>
  <si>
    <t>ArgP DBD</t>
  </si>
  <si>
    <t>Murepc DBD</t>
  </si>
  <si>
    <t>CI DBD</t>
  </si>
  <si>
    <t>CI434 DBD</t>
  </si>
  <si>
    <t>HKCI DBD</t>
  </si>
  <si>
    <t>LexAec87</t>
  </si>
  <si>
    <t>CI</t>
  </si>
  <si>
    <t>DBP57</t>
  </si>
  <si>
    <t>DBP60</t>
  </si>
  <si>
    <t>yeast,RPU</t>
    <phoneticPr fontId="3" type="noConversion"/>
  </si>
  <si>
    <t>e.coli, RPU</t>
    <phoneticPr fontId="3" type="noConversion"/>
  </si>
  <si>
    <t>none</t>
  </si>
  <si>
    <t>express</t>
  </si>
  <si>
    <t>induce</t>
  </si>
  <si>
    <t>acVHH</t>
  </si>
  <si>
    <t>RpaR</t>
  </si>
  <si>
    <t>BjaR</t>
  </si>
  <si>
    <t>CinRori</t>
  </si>
  <si>
    <t>LasR</t>
  </si>
  <si>
    <t>TraR</t>
  </si>
  <si>
    <t>CarRecc</t>
  </si>
  <si>
    <t>0.526871*</t>
  </si>
  <si>
    <t>ER</t>
  </si>
  <si>
    <t>DHBR</t>
  </si>
  <si>
    <t>PR</t>
  </si>
  <si>
    <t>GR</t>
  </si>
  <si>
    <t>MR</t>
  </si>
  <si>
    <t>Fig.3f</t>
    <phoneticPr fontId="3" type="noConversion"/>
  </si>
  <si>
    <t>Yeast, RPU</t>
    <phoneticPr fontId="3" type="noConversion"/>
  </si>
  <si>
    <t>DBD quality</t>
    <phoneticPr fontId="3" type="noConversion"/>
  </si>
  <si>
    <t>plexO1</t>
  </si>
  <si>
    <t>plexOs5</t>
  </si>
  <si>
    <t>pCI</t>
  </si>
  <si>
    <t>pCI434</t>
  </si>
  <si>
    <t>pHKCI</t>
  </si>
  <si>
    <t>pPurR</t>
  </si>
  <si>
    <t>pDeoR</t>
  </si>
  <si>
    <t>plexOs14</t>
  </si>
  <si>
    <t>plexOs15</t>
  </si>
  <si>
    <t>plexOs17</t>
  </si>
  <si>
    <t>plexOs23</t>
  </si>
  <si>
    <t>pRecApact</t>
  </si>
  <si>
    <t>lexAs14</t>
  </si>
  <si>
    <t>lexAs15</t>
  </si>
  <si>
    <t>lexAs17</t>
  </si>
  <si>
    <t>lexAs23</t>
  </si>
  <si>
    <t>1uM caffeine</t>
  </si>
  <si>
    <t>1uM β-estradiol</t>
  </si>
  <si>
    <t>10uM DHB</t>
  </si>
  <si>
    <t>100uM pC</t>
  </si>
  <si>
    <t>100uM IV</t>
  </si>
  <si>
    <t>1uM 3OC14</t>
  </si>
  <si>
    <t>1uM 3OC12</t>
  </si>
  <si>
    <t>100uM 3OC8</t>
  </si>
  <si>
    <t>1uM 3OC6</t>
  </si>
  <si>
    <t>100uM C4</t>
  </si>
  <si>
    <t>10uM RU486</t>
  </si>
  <si>
    <t>100uM dexa</t>
  </si>
  <si>
    <t>1uM aldo</t>
  </si>
  <si>
    <t>acVHH</t>
    <phoneticPr fontId="3" type="noConversion"/>
  </si>
  <si>
    <t>PR</t>
    <phoneticPr fontId="3" type="noConversion"/>
  </si>
  <si>
    <t>DBD</t>
  </si>
  <si>
    <t>non-induced</t>
  </si>
  <si>
    <t>induced</t>
  </si>
  <si>
    <t>G-5</t>
  </si>
  <si>
    <t>1F9</t>
  </si>
  <si>
    <t>1F11</t>
  </si>
  <si>
    <t>1F10</t>
  </si>
  <si>
    <t>1H8</t>
  </si>
  <si>
    <t>1C7</t>
  </si>
  <si>
    <t>1C12</t>
  </si>
  <si>
    <t>1B5</t>
  </si>
  <si>
    <t>1C2</t>
  </si>
  <si>
    <t>1B7</t>
  </si>
  <si>
    <t>1H7</t>
  </si>
  <si>
    <t>1H4</t>
  </si>
  <si>
    <t>1B6</t>
  </si>
  <si>
    <t>1A9</t>
  </si>
  <si>
    <t>1D12</t>
  </si>
  <si>
    <t>1F4</t>
  </si>
  <si>
    <t>1G2</t>
  </si>
  <si>
    <t>1H3</t>
  </si>
  <si>
    <t>1A4</t>
  </si>
  <si>
    <t>1A11</t>
  </si>
  <si>
    <t>1C11</t>
  </si>
  <si>
    <t>1G3</t>
  </si>
  <si>
    <t>1G5</t>
  </si>
  <si>
    <t>1G9</t>
  </si>
  <si>
    <t>1A7</t>
  </si>
  <si>
    <t>1G7</t>
  </si>
  <si>
    <t>1H2</t>
  </si>
  <si>
    <t>1G1</t>
  </si>
  <si>
    <t>1G12</t>
  </si>
  <si>
    <t>1C10</t>
  </si>
  <si>
    <t>1A12</t>
  </si>
  <si>
    <t>1C5</t>
  </si>
  <si>
    <t>1A6</t>
  </si>
  <si>
    <t>1B10</t>
  </si>
  <si>
    <t>1D6</t>
  </si>
  <si>
    <t>1D2</t>
  </si>
  <si>
    <t>1B11</t>
  </si>
  <si>
    <t>1C4</t>
  </si>
  <si>
    <t>1C9</t>
  </si>
  <si>
    <t>1F5</t>
  </si>
  <si>
    <t>1C3</t>
  </si>
  <si>
    <t>1B4</t>
  </si>
  <si>
    <t>1B1</t>
  </si>
  <si>
    <t>1F8</t>
  </si>
  <si>
    <t>1F3</t>
  </si>
  <si>
    <t>1D4</t>
  </si>
  <si>
    <t>1F12</t>
  </si>
  <si>
    <t>1B8</t>
  </si>
  <si>
    <t>1D8</t>
  </si>
  <si>
    <t>1G4</t>
  </si>
  <si>
    <t>1F7</t>
  </si>
  <si>
    <t>1B2</t>
  </si>
  <si>
    <t>1B9</t>
  </si>
  <si>
    <t>1H1</t>
  </si>
  <si>
    <t>1C1</t>
  </si>
  <si>
    <t>1C8</t>
  </si>
  <si>
    <t>1D1</t>
  </si>
  <si>
    <t>1G11</t>
  </si>
  <si>
    <t>1A10</t>
  </si>
  <si>
    <t>1A3</t>
  </si>
  <si>
    <t>1F1</t>
  </si>
  <si>
    <t>1C6</t>
  </si>
  <si>
    <t>1D9</t>
  </si>
  <si>
    <t>1F6</t>
  </si>
  <si>
    <t>1G10</t>
  </si>
  <si>
    <t>1A1</t>
  </si>
  <si>
    <t>1A5</t>
  </si>
  <si>
    <t>1D10</t>
  </si>
  <si>
    <t>1G6</t>
  </si>
  <si>
    <t>1F2</t>
  </si>
  <si>
    <t>1D11</t>
  </si>
  <si>
    <t>1H5</t>
  </si>
  <si>
    <t>1B3</t>
  </si>
  <si>
    <t>1A8</t>
  </si>
  <si>
    <t>1D7</t>
  </si>
  <si>
    <t>1D5</t>
  </si>
  <si>
    <t>1H6</t>
  </si>
  <si>
    <t>1A2</t>
  </si>
  <si>
    <t>1B12</t>
  </si>
  <si>
    <t>1G8</t>
  </si>
  <si>
    <t>D10</t>
  </si>
  <si>
    <t>D12</t>
  </si>
  <si>
    <t>B5</t>
  </si>
  <si>
    <t>B10</t>
  </si>
  <si>
    <t>D4</t>
  </si>
  <si>
    <t>spacerD1</t>
  </si>
  <si>
    <t>A11</t>
  </si>
  <si>
    <t>F11</t>
  </si>
  <si>
    <t>E9</t>
  </si>
  <si>
    <t>G9</t>
  </si>
  <si>
    <t>H7</t>
  </si>
  <si>
    <t>F5</t>
  </si>
  <si>
    <t>H6</t>
  </si>
  <si>
    <t>B9</t>
  </si>
  <si>
    <t>G7</t>
  </si>
  <si>
    <t>H11</t>
  </si>
  <si>
    <t>F7</t>
  </si>
  <si>
    <t>H9</t>
  </si>
  <si>
    <t>C5</t>
  </si>
  <si>
    <t>B2</t>
  </si>
  <si>
    <t>C1</t>
  </si>
  <si>
    <t>G10</t>
  </si>
  <si>
    <t>B11</t>
  </si>
  <si>
    <t>E4</t>
  </si>
  <si>
    <t>F9</t>
  </si>
  <si>
    <t>H8</t>
  </si>
  <si>
    <t>A5</t>
  </si>
  <si>
    <t>F4</t>
  </si>
  <si>
    <t>D2</t>
  </si>
  <si>
    <t>D1</t>
  </si>
  <si>
    <t>E2</t>
  </si>
  <si>
    <t>D11</t>
  </si>
  <si>
    <t>G11</t>
  </si>
  <si>
    <t>A9</t>
  </si>
  <si>
    <t>F8</t>
  </si>
  <si>
    <t>spacerPlmj</t>
  </si>
  <si>
    <t>F3</t>
  </si>
  <si>
    <t>C8</t>
  </si>
  <si>
    <t>C7</t>
  </si>
  <si>
    <t>H4</t>
  </si>
  <si>
    <t>A6</t>
  </si>
  <si>
    <t>C9</t>
  </si>
  <si>
    <t>A4</t>
  </si>
  <si>
    <t>D5</t>
  </si>
  <si>
    <t>H12</t>
  </si>
  <si>
    <t>D8</t>
  </si>
  <si>
    <t>A1</t>
  </si>
  <si>
    <t>D6</t>
  </si>
  <si>
    <t>C2</t>
  </si>
  <si>
    <t>F1</t>
  </si>
  <si>
    <t>E8</t>
  </si>
  <si>
    <t>F12</t>
  </si>
  <si>
    <t>F6</t>
  </si>
  <si>
    <t>A8</t>
  </si>
  <si>
    <t>G8</t>
  </si>
  <si>
    <t>C11</t>
  </si>
  <si>
    <t>A2</t>
  </si>
  <si>
    <t>B12</t>
  </si>
  <si>
    <t>B7</t>
  </si>
  <si>
    <t>A7</t>
  </si>
  <si>
    <t>F2</t>
  </si>
  <si>
    <t>G4</t>
  </si>
  <si>
    <t>C10</t>
  </si>
  <si>
    <t>E5</t>
  </si>
  <si>
    <t>H1</t>
  </si>
  <si>
    <t>A3</t>
  </si>
  <si>
    <t>A12</t>
  </si>
  <si>
    <t>B6</t>
  </si>
  <si>
    <t>H2</t>
  </si>
  <si>
    <t>C12</t>
  </si>
  <si>
    <t>F10</t>
  </si>
  <si>
    <t>E1</t>
  </si>
  <si>
    <t>G1</t>
  </si>
  <si>
    <t>G5</t>
  </si>
  <si>
    <t>B4</t>
  </si>
  <si>
    <t>E12</t>
  </si>
  <si>
    <t>G3</t>
  </si>
  <si>
    <t>B3</t>
  </si>
  <si>
    <t>H5</t>
  </si>
  <si>
    <t>E11</t>
  </si>
  <si>
    <t>A10</t>
  </si>
  <si>
    <t>G2</t>
  </si>
  <si>
    <t>G12</t>
  </si>
  <si>
    <t>E3</t>
  </si>
  <si>
    <t>B8</t>
  </si>
  <si>
    <t>E10</t>
  </si>
  <si>
    <t>E6</t>
  </si>
  <si>
    <t>D7</t>
  </si>
  <si>
    <t>G6</t>
  </si>
  <si>
    <t>H10</t>
  </si>
  <si>
    <t>E7</t>
  </si>
  <si>
    <t>C3</t>
  </si>
  <si>
    <t>D3</t>
  </si>
  <si>
    <t>C6</t>
  </si>
  <si>
    <t>B1</t>
  </si>
  <si>
    <t>D9</t>
  </si>
  <si>
    <t>H3</t>
  </si>
  <si>
    <t>C4</t>
  </si>
  <si>
    <t>RPU-</t>
  </si>
  <si>
    <t>RPU+</t>
  </si>
  <si>
    <t>operator</t>
  </si>
  <si>
    <t>spA</t>
  </si>
  <si>
    <t>polyA</t>
  </si>
  <si>
    <t>spB</t>
  </si>
  <si>
    <t>TATA box</t>
  </si>
  <si>
    <t>spC</t>
  </si>
  <si>
    <t>TSS</t>
  </si>
  <si>
    <t>kozak</t>
  </si>
  <si>
    <t xml:space="preserve"> RPU(I-)</t>
    <phoneticPr fontId="3" type="noConversion"/>
  </si>
  <si>
    <t>RPU(I+)</t>
    <phoneticPr fontId="3" type="noConversion"/>
  </si>
  <si>
    <t>different length of spA: nucleosome occupancy vs RPU(I-) or RPU(I+)</t>
    <phoneticPr fontId="3" type="noConversion"/>
  </si>
  <si>
    <t>Pearson_r</t>
    <phoneticPr fontId="3" type="noConversion"/>
  </si>
  <si>
    <t>different length of spB: nucleosome occupancy vs RPU(I-) or RPU(I+)</t>
  </si>
  <si>
    <t>different length of spB: nucleosome occupancy vs RPU(I-) or RPU(I+)</t>
    <phoneticPr fontId="3" type="noConversion"/>
  </si>
  <si>
    <t>different length of spC: nucleosome occupancy vs RPU(I-) or RPU(I+)</t>
  </si>
  <si>
    <t>different length of spC: nucleosome occupancy vs RPU(I-) or RPU(I+)</t>
    <phoneticPr fontId="3" type="noConversion"/>
  </si>
  <si>
    <t>different sequenceof spA(24bp): nucleosome occupancy vs RPU(I-) or RPU(I+)</t>
    <phoneticPr fontId="3" type="noConversion"/>
  </si>
  <si>
    <t>different sequenceof spB (61bp): nucleosome occupancy vs RPU(I-) or RPU(I+)</t>
  </si>
  <si>
    <t>different sequenceof spB (61bp): nucleosome occupancy vs RPU(I-) or RPU(I+)</t>
    <phoneticPr fontId="3" type="noConversion"/>
  </si>
  <si>
    <t>different sequenceof spC (90bp): nucleosome occupancy vs RPU(I-) or RPU(I+)</t>
  </si>
  <si>
    <t>different sequenceof spC (90bp): nucleosome occupancy vs RPU(I-) or RPU(I+)</t>
    <phoneticPr fontId="3" type="noConversion"/>
  </si>
  <si>
    <t>ID</t>
  </si>
  <si>
    <t>m78</t>
  </si>
  <si>
    <t>m77</t>
  </si>
  <si>
    <t>m189</t>
  </si>
  <si>
    <t>m76</t>
  </si>
  <si>
    <t>m199</t>
  </si>
  <si>
    <t>m193</t>
  </si>
  <si>
    <t>m203</t>
  </si>
  <si>
    <t>m197</t>
  </si>
  <si>
    <t>m204</t>
  </si>
  <si>
    <t>m74</t>
  </si>
  <si>
    <t>m201</t>
  </si>
  <si>
    <t>m200</t>
  </si>
  <si>
    <t>m191</t>
  </si>
  <si>
    <t>m188</t>
  </si>
  <si>
    <t>origin</t>
  </si>
  <si>
    <t>m75</t>
  </si>
  <si>
    <t>m202</t>
  </si>
  <si>
    <t>m198</t>
  </si>
  <si>
    <t>m190</t>
  </si>
  <si>
    <t>m192</t>
  </si>
  <si>
    <t>m195</t>
  </si>
  <si>
    <t>m185</t>
  </si>
  <si>
    <t>m196</t>
  </si>
  <si>
    <t>m186</t>
  </si>
  <si>
    <t>m187</t>
  </si>
  <si>
    <t>m194</t>
  </si>
  <si>
    <t>m42_G-5_</t>
  </si>
  <si>
    <t>m179</t>
  </si>
  <si>
    <t>m158</t>
  </si>
  <si>
    <t>m177</t>
  </si>
  <si>
    <t>m181</t>
  </si>
  <si>
    <t>m156</t>
  </si>
  <si>
    <t>m159</t>
  </si>
  <si>
    <t>m157</t>
  </si>
  <si>
    <t>m162</t>
  </si>
  <si>
    <t>m180</t>
  </si>
  <si>
    <t>m155</t>
  </si>
  <si>
    <t>m164</t>
  </si>
  <si>
    <t>m168</t>
  </si>
  <si>
    <t>m184</t>
  </si>
  <si>
    <t>m163</t>
  </si>
  <si>
    <t>m165</t>
  </si>
  <si>
    <t>m161</t>
  </si>
  <si>
    <t>m160</t>
  </si>
  <si>
    <t>m166</t>
  </si>
  <si>
    <t>m183</t>
  </si>
  <si>
    <t>m167</t>
  </si>
  <si>
    <t>spacer1HT6</t>
  </si>
  <si>
    <t>m178</t>
  </si>
  <si>
    <t>m145_1F9_</t>
  </si>
  <si>
    <t>spacer1HT7</t>
  </si>
  <si>
    <t>spacer1HT10</t>
  </si>
  <si>
    <t>m146_P4-9_</t>
  </si>
  <si>
    <t>spacer1HT13</t>
  </si>
  <si>
    <t>spacer1HT14</t>
  </si>
  <si>
    <t>m154</t>
  </si>
  <si>
    <t>m152</t>
  </si>
  <si>
    <t>m42</t>
  </si>
  <si>
    <t>m153</t>
  </si>
  <si>
    <t>m169</t>
  </si>
  <si>
    <t>m170</t>
  </si>
  <si>
    <t>m149</t>
  </si>
  <si>
    <t>m151</t>
  </si>
  <si>
    <t>m147</t>
  </si>
  <si>
    <t>m150</t>
  </si>
  <si>
    <t>m171</t>
  </si>
  <si>
    <t>m172</t>
  </si>
  <si>
    <t>m138</t>
  </si>
  <si>
    <t>m148</t>
  </si>
  <si>
    <t>m144</t>
  </si>
  <si>
    <t>m135</t>
  </si>
  <si>
    <t>m175</t>
  </si>
  <si>
    <t>m143</t>
  </si>
  <si>
    <t>m136</t>
  </si>
  <si>
    <t>m134</t>
  </si>
  <si>
    <t>m141</t>
  </si>
  <si>
    <t>m140</t>
  </si>
  <si>
    <t>m137</t>
  </si>
  <si>
    <t>m173</t>
  </si>
  <si>
    <t>m174</t>
  </si>
  <si>
    <t>m142</t>
  </si>
  <si>
    <t>m133</t>
  </si>
  <si>
    <t>m176</t>
  </si>
  <si>
    <t>m139</t>
  </si>
  <si>
    <t>--</t>
  </si>
  <si>
    <t>+-</t>
  </si>
  <si>
    <t>++</t>
  </si>
  <si>
    <t>A1+</t>
  </si>
  <si>
    <t>B1+</t>
  </si>
  <si>
    <t>B2+</t>
  </si>
  <si>
    <t>C2+</t>
  </si>
  <si>
    <t>D1+</t>
  </si>
  <si>
    <t>D2+</t>
  </si>
  <si>
    <t>E1+</t>
  </si>
  <si>
    <t>haB112</t>
  </si>
  <si>
    <t>GAL4</t>
  </si>
  <si>
    <t>rTA</t>
  </si>
  <si>
    <t>GCN4</t>
  </si>
  <si>
    <t>Msn2</t>
  </si>
  <si>
    <t>VP16</t>
  </si>
  <si>
    <t>LXR240</t>
    <phoneticPr fontId="3" type="noConversion"/>
  </si>
  <si>
    <t>LXR241</t>
  </si>
  <si>
    <t>LXR242</t>
  </si>
  <si>
    <t>LXR243</t>
  </si>
  <si>
    <t>LXR244</t>
  </si>
  <si>
    <t>LXR245</t>
  </si>
  <si>
    <t>LXR246</t>
  </si>
  <si>
    <t>LXR247</t>
  </si>
  <si>
    <t>LXR248</t>
  </si>
  <si>
    <t>LXR252</t>
  </si>
  <si>
    <t>LXR249</t>
    <phoneticPr fontId="3" type="noConversion"/>
  </si>
  <si>
    <t>LXR251</t>
    <phoneticPr fontId="3" type="noConversion"/>
  </si>
  <si>
    <t>LXR250</t>
    <phoneticPr fontId="3" type="noConversion"/>
  </si>
  <si>
    <t>Yield</t>
  </si>
  <si>
    <t>Scilv2</t>
    <phoneticPr fontId="3" type="noConversion"/>
  </si>
  <si>
    <t>Round1</t>
    <phoneticPr fontId="3" type="noConversion"/>
  </si>
  <si>
    <t>0.7022*</t>
  </si>
  <si>
    <t>6.79827*</t>
  </si>
  <si>
    <t>0.4144*</t>
  </si>
  <si>
    <t>8.68723*</t>
  </si>
  <si>
    <t>0.4418*</t>
  </si>
  <si>
    <t>0.60828*</t>
  </si>
  <si>
    <t>Round2</t>
    <phoneticPr fontId="3" type="noConversion"/>
  </si>
  <si>
    <t>0.71181*</t>
  </si>
  <si>
    <t>0.1869*</t>
  </si>
  <si>
    <t>0.9334*</t>
  </si>
  <si>
    <t>Scilv6</t>
    <phoneticPr fontId="3" type="noConversion"/>
  </si>
  <si>
    <t>spA-length</t>
  </si>
  <si>
    <t>spA-sequence</t>
  </si>
  <si>
    <t>spB-length</t>
  </si>
  <si>
    <t>spB-sequence</t>
  </si>
  <si>
    <t>spC-length</t>
  </si>
  <si>
    <t>spC-sequence</t>
  </si>
  <si>
    <t>pearson_r</t>
    <phoneticPr fontId="3" type="noConversion"/>
  </si>
  <si>
    <t>Sequence</t>
  </si>
  <si>
    <t>Expression</t>
  </si>
  <si>
    <t>Expression (percentile)</t>
  </si>
  <si>
    <t>AATGAAAAAAAAAAAAAAAAAAAA</t>
  </si>
  <si>
    <t>AATAAGAG</t>
  </si>
  <si>
    <t>AATATCAGATTGAGAG</t>
  </si>
  <si>
    <t>AATAAGAGAATTTCAGATTGAGAG</t>
  </si>
  <si>
    <t>AATAAGAGAATGAACTCTGTGTTCAGATTGAGAG</t>
  </si>
  <si>
    <t>AATAAGAGAATGAACTCTGTGTTCGAGCACATTCAGATTGAGAG</t>
  </si>
  <si>
    <t>AATAAGAGAATGAACTCTGTGTTCGAGCACACACTGTGTTGTTCAGATTGAGAG</t>
  </si>
  <si>
    <t>GGCACACA</t>
  </si>
  <si>
    <t>GGCAGTCTTTGCCACA</t>
  </si>
  <si>
    <t>GGCAGTCTTGGACGGAGACTGCCACA</t>
  </si>
  <si>
    <t>GGCAGTCTTGGACAATGTGGAGACTGCCACA</t>
  </si>
  <si>
    <t>GGCAGTCTTGGACAATAGTTGGTGGAGACTGCCACA</t>
  </si>
  <si>
    <t>GGCAGTCTTGGACAATAGTTATGGTGGTGGAGACTGCCACA</t>
  </si>
  <si>
    <t>GGCAGTCTTGGACAATAGTTATATTGTGGTGGTGGAGACTGCCACA</t>
  </si>
  <si>
    <t>GGCAGTCTTGGACAATAGTTATATCACGTTGTGGTGGTGGAGACTGCCACA</t>
  </si>
  <si>
    <t>GGCAGTCTTGGACAATAGTTATATCACGTTGACTCAGGAAGTGGTGGTGGAGACTGCCACA</t>
  </si>
  <si>
    <t>GGCAGTCTTGGACAATAGTTATATCACGTTGACTCAGAAACGCAGCAGAAGTGGTGGTGGAGACTGCCACA</t>
  </si>
  <si>
    <t>GGCAGTCTTGGACAAAAACGCAGCAGGCTTGAAACTAGTTATATCACGTTGACTCAGGAAGTGGTGGTGGAGACTGCCACA</t>
  </si>
  <si>
    <t>GGCAGTCTTGGACAAAAACGCAGCAGGCTTGAAACAGAACGTTACTAGTTATATCACGTTGACTCAGGAAGTGGTGGTGGAGACTGCCACA</t>
  </si>
  <si>
    <t>GGCAGTCTTGGACAAAAACGCAGCAGGCTTGAAACAGAACGTTACGTGAAGTACCTAGTTATATCACGTTGACTCAGGAAGTGGTGGTGGAGACTGCCACA</t>
  </si>
  <si>
    <t>GGCAGTCTTGGACAAAAACGCAGCAGGCTTGAAACAGAACGTTACGTGAAGTACCTGTTGAACGCTAGTTATATCACGTTGACTCAGGAAGTGGTGGTGGAGACTGCCACA</t>
  </si>
  <si>
    <t>GGCAGTCTTGGACAAAAACGCAGCAGGCTTGAAACAGAACGTTACGTGAAGTACCTGTTGAACGCAACCAGAGCTTAGTTATATCACGTTGACTCAGGAAGTGGTGGTGGAGACTGCCACA</t>
  </si>
  <si>
    <t>GGCAGTCTTGGACAAAAACGCAGCAGGCTTGAAACAGAACGTTACGTGAAGTACCTGTTGAACGCAACCAGAGCTGAAGTGGATCTGTAATGCATTAGTTATATCACGTTGACTCAGGAAGTGGTGGTGGAGACTGCCACA</t>
  </si>
  <si>
    <t>GGCAGTCTTGGACAAAAACGCAGCAGGCTTGAAACAGAACGTTACGTGAAGTACCTGTTGAACGCAACCAGAGCTGAAGTGGATCTGTAATGCATGTTAGGTCGAGCAAGTGTGATAGTTATATCACGTTGACTCAGGAAGTGGTGGTGGAGACTGCCACA</t>
  </si>
  <si>
    <t>GGCAGTCTTGGACAAAAACGCAGCAGGCTTGAAACAGAACGTTACGTGAAGTACCTGTTGAACGCAACCAGAGCTGAAGTGGATCTGTAATGCATGTTAGGTCGAGCAAGTGTGATTGGCAGTAACCTGGTCCCATAGTTATATCACGTTGACTCAGGAAGTGGTGGTGGAGACTGCCACA</t>
  </si>
  <si>
    <t>GGCAGTCTTGGACAAAAACGCAGCAGGCTTGAAACAGAACGTTACGTGAAGTACCTGTTGAACGCAACCAGAGCTGAAGTGGATCTGTAATGCATGTTAGGTCGAGCAAGTGTGATTGGCAGTAACCTGGTCCCATACGCTTAACTGCTCATTGCTAGTTATATCACGTTGACTCAGGAAGTGGTGGTGGAGACTGCCACA</t>
  </si>
  <si>
    <t>GGCAGTCTTGGACAAAAACGCAGCAGGCTTGAAACAGAACGTTACGTGAAGTACCTGTTGAACGCAACCAGAGCTGAAGTGGATCTGTAATGCATGTTAGGTCGAGCAAGTGTGATTGGCAGTAACCTGGTCCCATACGCTTAACTGCTCATTGCGTCAAGGAGAACACACTATATAGTTATATCACGTTGACTCAGGAAGTGGTGGTGGAGACTGCCACA</t>
  </si>
  <si>
    <t>GGCAGTCTTGGACAAAAACGCAGCAGGCTTGAAACAGAACGTTACGTGAAGTACCTGTTGAACGCAACCAGAGCTGAAGTGGATCTGTAATGCATGTTAGGTCGAGCAAGTGTGATTGGCAGTAACCTGGTCCCATACGCTTAACTGCTCATTGCGTCAAGGAGAACACACTATACTTGGAGCTGTAGTCATTTCTAGTTATATCACGTTGACTCAGGAAGTGGTGGTGGAGACTGCCACA</t>
  </si>
  <si>
    <t>GAGTAGCACTGTTGGGCGTGAGTGGAGGCGCCGGTAAAT</t>
  </si>
  <si>
    <t>GAGTCGTAGGAGTACTCGATGGTACAGATGAGCATAAAT</t>
  </si>
  <si>
    <t>ACTCTTGTTTTCTTCTTTTCTCTAAATATTCTTTCCTTATACATTAGGACCTTTGCAGCATAAATTACTATAC</t>
  </si>
  <si>
    <t>TGTAATAAGAAGTTTGGTAATATTCAATTCGAAGTGTTCAGTCTTTTACTTCTCTTGTTTTATAGAAGAAAAAACATCAAGA</t>
  </si>
  <si>
    <t>GACGGTAGGTATTGATTGTAATTCTGTAAATCTATTTCTTAAACTTCTTAAATTCTACTTTTATAGTTAGTCTTTTTTTTAGTT</t>
  </si>
  <si>
    <t>GACGGTAGGTATTGATTGTAATTCTGTAAATCTATTTCTTAAACTTGCTCTCTTGTTGTTTTTATCACTTCTTGTTTCTTCTTGGTAAAT</t>
  </si>
  <si>
    <t>GGAGCTAATATTTCATTGTTGGAAAATTACTCTACCATAATTGAATGCTCTCTTGTTGTTTTTATCACTTCTTGTTTCTTCTTGGTAAAT</t>
  </si>
  <si>
    <t>GAGTGCCAGTAGCGACTTTTTTCACACTCGAAATACTCTTACTACTGCTCTCTTGTTGTTTTTATCACTTCTTGTTTCTTCTTGGTAAAT</t>
  </si>
  <si>
    <t>GGAGCTAATATTTCATTGTTGGAAAATTACTCTACCATAATTGAAGCATATCTCATCCTTTTCATCCTTTTCAACGCAAGAGAGACACCAA</t>
  </si>
  <si>
    <t>AAGGACCTATTGTTTTTTCCAATAGGTGGTTAGCAATCGTCTTACTTTCTAACTTTTCTTACCTTTTACATTTCAGCAATATATATATATATATTTCAAGG</t>
  </si>
  <si>
    <t>TTCTCTTGCATTTTCTATTTTTCTCTCTATCTATTCTACTTGTTTATTCCCTTCAAGGTTTTTTTTTAAGGAGTACTTGTTTTTAGAATATACGGTCAACGA</t>
  </si>
  <si>
    <t>CTTTCCCATGGTTCAGTTACCTCAGACTCCGTACATAGTATTCCATTTCATTAGGTCCTATAGTACCATATTTCTTCCTTAGTCAAAATT</t>
  </si>
  <si>
    <t>CCTGTGACATATGCTAGTGTCTACACGGTGGAGTTCATGTTCACAATATACGTTGATTAGCTTTTTACATAGTAGACTTCTAATCTATTG</t>
  </si>
  <si>
    <t>CTGTAGGTTTCGATTCACTCTCACCTGTGGTGTTCCGTCTTTATAGTGTATTAGTTATCCGTTATTTACTTTATCTCGATGCTACTTTAA</t>
  </si>
  <si>
    <t>TGGGTGTTGCTGCTGATCTCTTCACTTTCTAATCCACCTTAATTCAGATATCTCTGTCATTATCATTTAGTAACTGCATCTTAACAATTT</t>
  </si>
  <si>
    <t>TGGGTGTTGCTGCTGATCTCTTCACTTTCTAATCCACCTTAATTCAGATATCTCTGTCATTTCTATTCGTTAACTGGCTTCTTGCTTCAA</t>
  </si>
  <si>
    <t>GGCCCGCTGGAGCGACTTTTTACAATTCGAAATTCACTTCTTGTAATCCGGCCCTCTTTTTTCTTATCTTTTATTGGCTTCTTGTAACTT</t>
  </si>
  <si>
    <t>TCTGCTCCTTGAAGGCGGTATTCCCCAATTTAGAGTTCTTCCGAGTAATTGTATTGATAAGTTCTCCTTTAGTCTAATTGATGTTAAATT</t>
  </si>
  <si>
    <t>GAGTGCCAGTACTCCACTTTTACAATTCGAAAATACTCTTTTGTAATCCGGCCCTCTTTTTTTATCACTTTTATTGGCTTCTTGTAACTT</t>
  </si>
  <si>
    <t>GGCCCGCTGGACTCCACTTTTTCACACTCGAATTCACTTCTTGTAATCCGTCTTGTTGTTTTCTTATCTTTTATTGGCTTCTTGGTAAAT</t>
  </si>
  <si>
    <t>TGGGTGTTGCTGCTGATCTCTTCACTTTCTTTACTTCCTATCTTTGCGTTGTTTACTCTATATCATTTAGTAACTGCATCTTAACAATTT</t>
  </si>
  <si>
    <t>TGGGTGTTGCTGCTGATCTCTTCACTTTCTTTACTTCCTATCTTTGCGTTGTTTACTCTATTCTATTCGTTAACTGGCTTCTTGCTTCAA</t>
  </si>
  <si>
    <t>GGCCCGCTGGACTCCACTTTTACAATTCGATCGTTTCCTCTTGTAATCCGCTTTTTGTCTCTTTTCTTATCTTTTATTGGCTTCTTGTAACTT</t>
  </si>
  <si>
    <t>GGCCCGCTGGACTCCACTTTTTCACACTCGTCGTTTCCTCTGTTTACTTGTCTTGTTGTTTTCTTATCTTTTATTGGCTTCTTGGTAAAT</t>
  </si>
  <si>
    <t>GGCCCGCTGGACTCCACTTTTACAATTCGAAATTCACTTCTGTTTACTTGGCCCTCTTTTTTCTTATCTTTTATTGGCTTCTTGTAACTT</t>
  </si>
  <si>
    <t>GGCCCGCTGGACTCCACTTTTACAATTCGAATACCTTTGCTCTTTTCCTATTCGACTTTTTTCTTATCTTTTATTGGCTTCTTGTAACTT</t>
  </si>
  <si>
    <t>GGAGCGTTCGAGTCGTCTTTAATAGATCATTTACTTCCTATCTTTGCGTTGTTTACTCTATATCATTTAGTAACTGCATCTTAACAATTT</t>
  </si>
  <si>
    <t>GGCCCGCTGGACTCCACTTTTACAATTCGAAATTCACTTCTGTTTACTTGGCCCTCTTTTATCCATTTTGAATTTACAGTCATCCAACTT</t>
  </si>
  <si>
    <t>GGCCCGCTGGACTCCACTTTTACAATTCGATCGTTTCCTCTTGTAATCCGCTTTTTGTCTCTTTTCTTTTCCGTTTTTAAAACTTAAGTATTT</t>
  </si>
  <si>
    <t>GGCCCGCTGGACTCCACTTTTACAATTCGAATACCTTTGCTCTTTTCCTATTCGACTTTTATCCATTTTGAATTTACAGTCATCCAACTT</t>
  </si>
  <si>
    <t>GGCCCGCTGGACTCCACTTTTACAATTCGATTTCTTTTAGATTCTGGTTCTTTGATATTTTTCTTATCTTTTATTGGCTTCTTGTAACTT</t>
  </si>
  <si>
    <t>GGCCCGCTGGACTCCACTTTTACAATTCGATTTCTTTTAGATTCTGGTTCTTTGATATTTATCCATTTTGAATTTACAGTCATCCAACTT</t>
  </si>
  <si>
    <t>GGCCCGCTGGACTCCACTTTTACAATTCGATCGTTTCCTCTTGTAATCCGCTTTTTGTCTCTTATCCATTTTGAATTTACAGTCATCCAACTT</t>
  </si>
  <si>
    <t>GGAGCGTTCGAGTCGTCTTTAATAGATCATAATCCACCTTAATTCAGATATCTCTGTCATTATCATTTAGTAACTGCATCTTAACAATTT</t>
  </si>
  <si>
    <t>GGAGCGTTCGAGTCGTCTTTAATAGATCATAATCCACCTTAATTCAGATATCTCTGTCATTTCTATTCGTTAACTGGCTTCTTGCTTCAA</t>
  </si>
  <si>
    <t>GGCCCGCTGGACTCCACTTTTACAATTCGAAATTCACTTCTGTTTACTTGGCCCTCTTTTTTCTTTTCCGTTTTTAAAACTTAAGTATTT</t>
  </si>
  <si>
    <t>GGCCCGCTGGACTCCACTTTTACAATTCGAATACCTTTGCTCTTTTCCTATTCGACTTTTTTCTTTTCCGTTTTTAAAACTTAAGTATTT</t>
  </si>
  <si>
    <t>GGAGCGTTCGAGTCGTCTTTAATAGATCATTTACTTCCTATCTTTGCGTTGTTTACTCTATTCTATTCGTTAACTGGCTTCTTGCTTCAA</t>
  </si>
  <si>
    <t>GGCCCGCTGGACTCCACTTTTACAATTCGATTTCTTTTAGATTCTGGTTCTTTGATATTTTTCTTTTCCGTTTTTAAAACTTAAGTATTT</t>
  </si>
  <si>
    <t>GGCAGACTAGATGAAGAGCTGATACACTAGGACTCAGGAAGTGGTACACCATCGGGGCACA</t>
  </si>
  <si>
    <t>GTGTCACTAGATGAAGAGATGCATACCCTTATACAGAACCCTCATAGTTGTAAGTTGCACA</t>
  </si>
  <si>
    <t>GGCAGTCTTGGACAATAGTGCAATTAATGAATACAGAACCCTCATCACCACTTGTAACACA</t>
  </si>
  <si>
    <t>GGCAGTCTTGGACAATAGCTGATACACTAGGTACAGAACCCTCATACACCATCGGGGCACA</t>
  </si>
  <si>
    <t>TCGTTGCCAGAAGCTCTGTGCAATTAATGAAGGACTCATGTCACTACACCATCGGGGATGA</t>
  </si>
  <si>
    <t>AGCATAGTGTCAATTACACTGATACACTAGGTTTTAACCTACCTTCACCACTTGTAAAGGA</t>
  </si>
  <si>
    <t>GGGACCTTTAGCAAACGTCGGTTCCGCAGAGAATGACGTCAAGACGATAGCGCCGCGGGAC</t>
  </si>
  <si>
    <t>AGACTACTGGTAGGCTAGCTGTTAGTACTCCTCCTACTGCCAAACTACTATGACAGTGTTC</t>
  </si>
  <si>
    <t>GGCAGAGTGTCAATTACATTATATCACGTTGGGACTCATGTCACTAGTTGTAAGTTGCACA</t>
  </si>
  <si>
    <t>TGCGTACCCTTATACCCTTCTTTGCATCTGTCCAATCCTTAGTGAACAATGATGGGTAAGC</t>
  </si>
  <si>
    <t>GGCAAGTAACAAGTAGTTTGTTCGATCAGTCCCTGGTCGCAAGCAAGTGGAGGGCGATCACA</t>
  </si>
  <si>
    <t>GGCAATCGGCAAGAAAGATTTCTATCACTAATGCTCAAGAGAAGCTTCCACGGCATGTCACA</t>
  </si>
  <si>
    <t>GGCAGAGTGTCAATTACAATGCATACCCTTAGGACTCATGTCACTGGTGGAGACTGCCACA</t>
  </si>
  <si>
    <t>GGCAGAGGAGAGCATAGAAATGGGGTTCACTTTTTGGTAAAGCTATAGCATGCCTATCACA</t>
  </si>
  <si>
    <t>GGCAATCCCCACAATGGGTCCCTGAAGGCGTTTGACGAAGTTGTCTGCAGAGCTGTTTCACA</t>
  </si>
  <si>
    <t>GGCAATCTGCTACAGGAACTTATTACGGCAACGGCCTGAAGCTCCGATGAGCACTAATCACA</t>
  </si>
  <si>
    <t>AAATGTTAACATGGCGCCCAGTATCTACCGCACGCGGCTGCTTGGTTTAGCCGCTTGAGAAT</t>
  </si>
  <si>
    <t>CTTCGGCTGGGATACTCCATGCTCGATTATCAAATCTGCCTCCACACTTGTTCAGTTGGGC</t>
  </si>
  <si>
    <t>GGCAAAATGTAGTCCGCTTCTTGGCGAAAGGTACTGCACTTCAACCATTGCACAAGATCACA</t>
  </si>
  <si>
    <t>GGCAGACTAGATGAAGAGTTATATCACGTTGTTTTAACCTACCTTACACCATCGGGGCACA</t>
  </si>
  <si>
    <t>GGCAAATGCTCATCGGGTCCGTCAGGCCATGTGGAGTACGCAGGCCTCTCGGGCAGATTCACA</t>
  </si>
  <si>
    <t>GGCAATTGCAGACGCAAAGTACGGAGTCATCTTCCAGGACCCGCAACGATGGGGAGATCACA</t>
  </si>
  <si>
    <t>GGCAGGCCAGAAGCTCTGATGCATACCCTTATTTTAACCTACCTTGGTGGAGACTGCCACA</t>
  </si>
  <si>
    <t>GGCAGCGCGTTTCTTTCCCTGCCCTAGCATGAAGACCTAGCCTTTGTATCTGTCGTACACA</t>
  </si>
  <si>
    <t>GGCAATATCGCACGCCGATCCTACCACACAAACTCCTAGTTGATGAACTGCCCGAAGTCACA</t>
  </si>
  <si>
    <t>GGCAATCGATTCTCGACGGAGACACGGCGTTGAGCAGAGGGCACCAAGGCTTGAGGGTCACA</t>
  </si>
  <si>
    <t>GGCAGCTTTCGATCCGAGTGCCTCAACTGTTCACCCCTTGCTATAACACCCAGTCTACACA</t>
  </si>
  <si>
    <t>GGCAACCGGTACAAAAAACGCCGCATTCGGATGAGGAGATTGTTTATCACGCGGGGCTCACA</t>
  </si>
  <si>
    <t>GGCAAGTATCCGTAGATTATACCCTCCGGTCGCGGGGATAAACAGCCAGCCCCGTTCTCACA</t>
  </si>
  <si>
    <t>ATAATAGGCATCGAATTAACTATT</t>
  </si>
  <si>
    <t>AACTAATGCATCGAATACAAGAAT</t>
  </si>
  <si>
    <t>AATCAACCACTACACTACAAGAAT</t>
  </si>
  <si>
    <t>ATAATAGGTTGAACGAACAAGAAT</t>
  </si>
  <si>
    <t>ATAATAGGGCTACAATACAAGAAT</t>
  </si>
  <si>
    <t>ATAATAGGGCTACAATGCATGAAC</t>
  </si>
  <si>
    <t>AATCAACCGCTACAATTAACTATT</t>
  </si>
  <si>
    <t>AACTAATGACTACACTTAACTATT</t>
  </si>
  <si>
    <t>AACTAATGGCTACAATGAGTCTAG</t>
  </si>
  <si>
    <t>CAAGGTAATTGAACGAGCATGAAC</t>
  </si>
  <si>
    <t>AATCAACCCATCGAATGAGTCTAG</t>
  </si>
  <si>
    <t>ATAATAGGACTACACTGAGTCTAG</t>
  </si>
  <si>
    <t>AAAGTTCCTCGAAGGATAGCAGAA</t>
  </si>
  <si>
    <t>ATGGTTGTGTGAAGGTTGATCCAA</t>
  </si>
  <si>
    <t>GTCATGAGTATATGATGAGTGATA</t>
  </si>
  <si>
    <t>CACCTTCTATTGGATGGGAATGAT</t>
  </si>
  <si>
    <t>AGGATTATGAGAAGAACCTAGTGG</t>
  </si>
  <si>
    <t>AACATATGAGGAAAGGCCCCAAAA</t>
  </si>
  <si>
    <t>TCCAAAGTCACAAGTCCCAAAGAA</t>
  </si>
  <si>
    <t>GAGTTATACTGAGAGCATATGATA</t>
  </si>
  <si>
    <t>different length of spA: prediction vs experimental RPU(I-) or RPU(I+)</t>
    <phoneticPr fontId="3" type="noConversion"/>
  </si>
  <si>
    <t>different length of spB: prediction vs experimental RPU(I-) or RPU(I+)</t>
    <phoneticPr fontId="3" type="noConversion"/>
  </si>
  <si>
    <t>different length of spC: prediction vs experimental RPU(I-) or RPU(I+)</t>
    <phoneticPr fontId="3" type="noConversion"/>
  </si>
  <si>
    <t>different sequence of spA(24bp): nucleosome occupancy vs RPU(I-) or RPU(I+)</t>
    <phoneticPr fontId="3" type="noConversion"/>
  </si>
  <si>
    <t>different sequence of spA(24bp): model prediction vs experimental RPU(I-) or RPU(I+)</t>
    <phoneticPr fontId="3" type="noConversion"/>
  </si>
  <si>
    <t>different sequence of spB(61bp): model prediction vs experimental RPU(I-) or RPU(I+)</t>
    <phoneticPr fontId="3" type="noConversion"/>
  </si>
  <si>
    <t>different sequence of spC(90bp): model prediction vs experimental RPU(I-) or RPU(I+)</t>
    <phoneticPr fontId="3" type="noConversion"/>
  </si>
  <si>
    <t>-</t>
    <phoneticPr fontId="3" type="noConversion"/>
  </si>
  <si>
    <t>DBD orthogonality</t>
  </si>
  <si>
    <t>LBD orthogonality</t>
    <phoneticPr fontId="3" type="noConversion"/>
  </si>
  <si>
    <t>lexO1</t>
  </si>
  <si>
    <t>lexOmt</t>
  </si>
  <si>
    <t>lexOsm</t>
  </si>
  <si>
    <t>lexOsa</t>
  </si>
  <si>
    <t>lexObs</t>
  </si>
  <si>
    <t>lexOlm</t>
  </si>
  <si>
    <t>lexOcc</t>
  </si>
  <si>
    <t>3OC12(nM)</t>
  </si>
  <si>
    <t>3OC14(nM)</t>
  </si>
  <si>
    <t>IV-HSL(uM)</t>
  </si>
  <si>
    <t>3OC12(uM)</t>
    <phoneticPr fontId="3" type="noConversion"/>
  </si>
  <si>
    <t>[TF] = 0.011855467</t>
    <phoneticPr fontId="3" type="noConversion"/>
  </si>
  <si>
    <t>[TF] = 0.123687361</t>
    <phoneticPr fontId="3" type="noConversion"/>
  </si>
  <si>
    <t>[TF] = 0.782812757</t>
    <phoneticPr fontId="3" type="noConversion"/>
  </si>
  <si>
    <t>[TF] = 2.036350173</t>
    <phoneticPr fontId="3" type="noConversion"/>
  </si>
  <si>
    <t>[TF] = 4.641370673</t>
    <phoneticPr fontId="3" type="noConversion"/>
  </si>
  <si>
    <t>[TF] = 7.648516866</t>
    <phoneticPr fontId="3" type="noConversion"/>
  </si>
  <si>
    <t>1.116978*</t>
  </si>
  <si>
    <t>0.363636*</t>
  </si>
  <si>
    <t>0.525352*</t>
  </si>
  <si>
    <t>0.499433*</t>
  </si>
  <si>
    <t>[TF] =0.011855467</t>
    <phoneticPr fontId="3" type="noConversion"/>
  </si>
  <si>
    <t>[TF] =0.123687361</t>
    <phoneticPr fontId="3" type="noConversion"/>
  </si>
  <si>
    <t>[TF] =0.782812757</t>
    <phoneticPr fontId="3" type="noConversion"/>
  </si>
  <si>
    <t>[TF] =2.036350173</t>
    <phoneticPr fontId="3" type="noConversion"/>
  </si>
  <si>
    <t>[TF] =4.641370673</t>
    <phoneticPr fontId="3" type="noConversion"/>
  </si>
  <si>
    <t>[TF] =7.648516866</t>
    <phoneticPr fontId="3" type="noConversion"/>
  </si>
  <si>
    <t>1.151755*</t>
  </si>
  <si>
    <t>1.289972*</t>
  </si>
  <si>
    <t>0.282327*</t>
  </si>
  <si>
    <t>0.294973*</t>
  </si>
  <si>
    <t>0.205501*</t>
  </si>
  <si>
    <t>0.21056*</t>
  </si>
  <si>
    <t>0.155549*</t>
  </si>
  <si>
    <t>0.159026*</t>
  </si>
  <si>
    <t>mean</t>
    <phoneticPr fontId="3" type="noConversion"/>
  </si>
  <si>
    <t>SD</t>
    <phoneticPr fontId="3" type="noConversion"/>
  </si>
  <si>
    <t>pC</t>
  </si>
  <si>
    <t>0</t>
  </si>
  <si>
    <t>1</t>
  </si>
  <si>
    <t>10</t>
  </si>
  <si>
    <t>pC(uM)</t>
    <phoneticPr fontId="3" type="noConversion"/>
  </si>
  <si>
    <t>0.6 mM xyl+1mM IPTG LXR419</t>
  </si>
  <si>
    <t>10mM xyl+1mM IPTG LXR419</t>
  </si>
  <si>
    <t>100</t>
  </si>
  <si>
    <t>3OC12(nM)</t>
    <phoneticPr fontId="3" type="noConversion"/>
  </si>
  <si>
    <t>0.6 mM xyl+10 mM IPTG  LXR419</t>
  </si>
  <si>
    <t>10 mM xyl+10 mM IPTG  LXR419</t>
  </si>
  <si>
    <t>beta-estradiol</t>
  </si>
  <si>
    <t>1000</t>
  </si>
  <si>
    <t>0.007965*</t>
  </si>
  <si>
    <t>0.000275*</t>
  </si>
  <si>
    <t>beta-estradiol(nM)</t>
    <phoneticPr fontId="3" type="noConversion"/>
  </si>
  <si>
    <t>0.000824*</t>
  </si>
  <si>
    <t>0.6 mM xyl+1mM IPTG LXR414</t>
    <phoneticPr fontId="3" type="noConversion"/>
  </si>
  <si>
    <t>10mM xyl+1mM IPTG LXR414</t>
    <phoneticPr fontId="3" type="noConversion"/>
  </si>
  <si>
    <t>0.6 mM xyl+10 mM IPTG  LXR414</t>
    <phoneticPr fontId="3" type="noConversion"/>
  </si>
  <si>
    <t>10 mM xyl+10 mM IPTG  LXR414</t>
    <phoneticPr fontId="3" type="noConversion"/>
  </si>
  <si>
    <t>0.6 mM xyl+1mM IPTG LXR417</t>
    <phoneticPr fontId="3" type="noConversion"/>
  </si>
  <si>
    <t>10mM xyl+1mM IPTG LXR417</t>
    <phoneticPr fontId="3" type="noConversion"/>
  </si>
  <si>
    <t>0.6 mM xyl+10 mM IPTG  LXR417</t>
    <phoneticPr fontId="3" type="noConversion"/>
  </si>
  <si>
    <t>10 mM xyl+10 mM IPTG  LXR417</t>
    <phoneticPr fontId="3" type="noConversion"/>
  </si>
  <si>
    <t>caffeine(nM)</t>
  </si>
  <si>
    <t>RPU=0.01</t>
  </si>
  <si>
    <t>β-estradiol(nM)</t>
  </si>
  <si>
    <t>402 rtTA</t>
  </si>
  <si>
    <t>RPU(sensor)</t>
  </si>
  <si>
    <t>IPTG(uM)</t>
  </si>
  <si>
    <t>Inducer(uM)</t>
  </si>
  <si>
    <t>Inducer(nM)</t>
  </si>
  <si>
    <t>uM</t>
  </si>
  <si>
    <t>LacI sensor</t>
  </si>
  <si>
    <t>0.15</t>
  </si>
  <si>
    <t>0.418403*</t>
  </si>
  <si>
    <t>0.673032*</t>
  </si>
  <si>
    <t>20.34028*</t>
  </si>
  <si>
    <t>21.69155*</t>
  </si>
  <si>
    <t>27.13359*</t>
  </si>
  <si>
    <t>26.80333*</t>
  </si>
  <si>
    <t>24.38058*</t>
  </si>
  <si>
    <t>22.24124*</t>
  </si>
  <si>
    <t>0.00027*</t>
  </si>
  <si>
    <t>-0.0027*</t>
  </si>
  <si>
    <t>-0.00357*</t>
  </si>
  <si>
    <t>-0.00298*</t>
  </si>
  <si>
    <t>0.000746*</t>
  </si>
  <si>
    <t>-0.00104*</t>
  </si>
  <si>
    <t>-0.00238*</t>
  </si>
  <si>
    <t>0.002083*</t>
  </si>
  <si>
    <t>0.004463*</t>
  </si>
  <si>
    <t>-0.00243*</t>
  </si>
  <si>
    <t>-0.00541*</t>
  </si>
  <si>
    <t>-0.00506*</t>
  </si>
  <si>
    <t>-0.00387*</t>
  </si>
  <si>
    <t>-0.00714*</t>
  </si>
  <si>
    <t>-0.00216*</t>
  </si>
  <si>
    <t>-0.00446*</t>
  </si>
  <si>
    <t>0.000595*</t>
  </si>
  <si>
    <t>0.00119*</t>
  </si>
  <si>
    <t>0.000893*</t>
  </si>
  <si>
    <t>-0.00081*</t>
  </si>
  <si>
    <t>-0.00649*</t>
  </si>
  <si>
    <t>0.001351*</t>
  </si>
  <si>
    <t>-0.01216*</t>
  </si>
  <si>
    <t>-0.00268*</t>
  </si>
  <si>
    <t>0.004923*</t>
  </si>
  <si>
    <t>-0.00432*</t>
  </si>
  <si>
    <t>-0.00838*</t>
  </si>
  <si>
    <t>-0.00684*</t>
  </si>
  <si>
    <t>-0.00568*</t>
  </si>
  <si>
    <t>-0.00459*</t>
  </si>
  <si>
    <t>-0.01389*</t>
  </si>
  <si>
    <t>-0.01446*</t>
  </si>
  <si>
    <t>-0.03203*</t>
  </si>
  <si>
    <t>-0.04053*</t>
  </si>
  <si>
    <t>0.520975*</t>
  </si>
  <si>
    <t>9.304054*</t>
  </si>
  <si>
    <t>10.26892*</t>
  </si>
  <si>
    <t>7.274049*</t>
  </si>
  <si>
    <t>6.307681*</t>
  </si>
  <si>
    <t>9.8322*</t>
  </si>
  <si>
    <t>9.741497*</t>
  </si>
  <si>
    <t>-0.00955*</t>
  </si>
  <si>
    <t>-0.00839*</t>
  </si>
  <si>
    <t>-0.00808*</t>
  </si>
  <si>
    <t>-0.01777*</t>
  </si>
  <si>
    <t>-0.01247*</t>
  </si>
  <si>
    <t>-0.01304*</t>
  </si>
  <si>
    <t>-0.00868*</t>
  </si>
  <si>
    <t>-0.00347*</t>
  </si>
  <si>
    <t>-0.0025*</t>
  </si>
  <si>
    <t>-0.00984*</t>
  </si>
  <si>
    <t>-0.00652*</t>
  </si>
  <si>
    <t>-0.00482*</t>
  </si>
  <si>
    <t>-0.0081*</t>
  </si>
  <si>
    <t>-0.00666*</t>
  </si>
  <si>
    <t>-0.01186*</t>
  </si>
  <si>
    <t>-0.02112*</t>
  </si>
  <si>
    <t>-0.01013*</t>
  </si>
  <si>
    <t>-0.011*</t>
  </si>
  <si>
    <t>-0.00454*</t>
  </si>
  <si>
    <t>-0.01128*</t>
  </si>
  <si>
    <t>-0.01534*</t>
  </si>
  <si>
    <t>-0.01273*</t>
  </si>
  <si>
    <t>-0.00637*</t>
  </si>
  <si>
    <t>-0.01157*</t>
  </si>
  <si>
    <t>-0.00723*</t>
  </si>
  <si>
    <t>-0.01215*</t>
  </si>
  <si>
    <t>-0.01505*</t>
  </si>
  <si>
    <t>-0.0136*</t>
  </si>
  <si>
    <t>-0.00044*</t>
  </si>
  <si>
    <t>-0.01447*</t>
  </si>
  <si>
    <t>-0.01563*</t>
  </si>
  <si>
    <t>-0.0191*</t>
  </si>
  <si>
    <t>-0.00492*</t>
  </si>
  <si>
    <t>-0.00781*</t>
  </si>
  <si>
    <t>0.001157*</t>
  </si>
  <si>
    <t>-0.0055*</t>
  </si>
  <si>
    <t>0.004259*</t>
  </si>
  <si>
    <t>0.003965*</t>
  </si>
  <si>
    <t>-0.0051*</t>
  </si>
  <si>
    <t>35.07118*</t>
  </si>
  <si>
    <t>33.90645*</t>
  </si>
  <si>
    <t>34.85225*</t>
  </si>
  <si>
    <t>39.78968*</t>
  </si>
  <si>
    <t>37.89059*</t>
  </si>
  <si>
    <t>-0.00029*</t>
  </si>
  <si>
    <t>-0.02141*</t>
  </si>
  <si>
    <t>-0.02054*</t>
  </si>
  <si>
    <t>0.001736*</t>
  </si>
  <si>
    <t>-0.00116*</t>
  </si>
  <si>
    <t>-0.00132*</t>
  </si>
  <si>
    <t>0.012777*</t>
  </si>
  <si>
    <t>-0.00028*</t>
  </si>
  <si>
    <t>-0.00312*</t>
  </si>
  <si>
    <t>32.49016*</t>
  </si>
  <si>
    <t>-0.01591*</t>
  </si>
  <si>
    <t>34.32354*</t>
  </si>
  <si>
    <t>35.17536*</t>
  </si>
  <si>
    <t>33.22506*</t>
  </si>
  <si>
    <t>31.2551*</t>
  </si>
  <si>
    <t>43.43634*</t>
  </si>
  <si>
    <t>52.96651*</t>
  </si>
  <si>
    <t>50.90454*</t>
  </si>
  <si>
    <t>54.9966*</t>
  </si>
  <si>
    <t>51.7398*</t>
  </si>
  <si>
    <t>-0.00926*</t>
  </si>
  <si>
    <t>-0.00602*</t>
  </si>
  <si>
    <t>-0.01072*</t>
  </si>
  <si>
    <t>-0.00624*</t>
  </si>
  <si>
    <t>-0.01644*</t>
  </si>
  <si>
    <t>-0.0026*</t>
  </si>
  <si>
    <t>-0.0069*</t>
  </si>
  <si>
    <t>-0.01077*</t>
  </si>
  <si>
    <t>-0.00822*</t>
  </si>
  <si>
    <t>-0.00935*</t>
  </si>
  <si>
    <t>-0.01042*</t>
  </si>
  <si>
    <t>-0.00191*</t>
  </si>
  <si>
    <t>0.001909*</t>
  </si>
  <si>
    <t>-0.00174*</t>
  </si>
  <si>
    <t>0.000567*</t>
  </si>
  <si>
    <t>-0.00521*</t>
  </si>
  <si>
    <t>0.00434*</t>
  </si>
  <si>
    <t>-0.00376*</t>
  </si>
  <si>
    <t>-0.00867*</t>
  </si>
  <si>
    <t>-0.00283*</t>
  </si>
  <si>
    <t>-0.00231*</t>
  </si>
  <si>
    <t>-0.00057*</t>
  </si>
  <si>
    <t>N</t>
    <phoneticPr fontId="3" type="noConversion"/>
  </si>
  <si>
    <t>0.009549*</t>
  </si>
  <si>
    <t>0.008391*</t>
  </si>
  <si>
    <t>0.003183*</t>
  </si>
  <si>
    <t>-0.00434*</t>
  </si>
  <si>
    <t>0.008681*</t>
  </si>
  <si>
    <t>-0.00925*</t>
  </si>
  <si>
    <t>-0.01895*</t>
  </si>
  <si>
    <t>0.027757*</t>
  </si>
  <si>
    <t>0.038625*</t>
  </si>
  <si>
    <t>-0.00289*</t>
  </si>
  <si>
    <t>0*</t>
  </si>
  <si>
    <t>-0.00405*</t>
  </si>
  <si>
    <t>-0.00145*</t>
  </si>
  <si>
    <t>-0.04311*</t>
  </si>
  <si>
    <t>0.00463*</t>
  </si>
  <si>
    <t>0.003472*</t>
  </si>
  <si>
    <t>5.707755*</t>
  </si>
  <si>
    <t>4.735532*</t>
  </si>
  <si>
    <t>0.001616*</t>
  </si>
  <si>
    <t>-0.01601*</t>
  </si>
  <si>
    <t>-0.01307*</t>
  </si>
  <si>
    <t>-0.01842*</t>
  </si>
  <si>
    <t>-0.00058*</t>
  </si>
  <si>
    <t>-0.05295*</t>
  </si>
  <si>
    <t>-0.05006*</t>
  </si>
  <si>
    <t>-0.00694*</t>
  </si>
  <si>
    <t>0.001322*</t>
  </si>
  <si>
    <t>27.04167*</t>
  </si>
  <si>
    <t>27.37442*</t>
  </si>
  <si>
    <t>30.93391*</t>
  </si>
  <si>
    <t>29.72962*</t>
  </si>
  <si>
    <t>29.57993*</t>
  </si>
  <si>
    <t>28.34127*</t>
  </si>
  <si>
    <t>CI OL1</t>
    <phoneticPr fontId="3" type="noConversion"/>
  </si>
  <si>
    <t>CI OR1</t>
    <phoneticPr fontId="3" type="noConversion"/>
  </si>
  <si>
    <t>0.056713*</t>
  </si>
  <si>
    <t>0.0489*</t>
  </si>
  <si>
    <t>0.32581*</t>
  </si>
  <si>
    <t>6.405093*</t>
  </si>
  <si>
    <t>0.04022*</t>
  </si>
  <si>
    <t>0.03125*</t>
  </si>
  <si>
    <t>6.899884*</t>
  </si>
  <si>
    <t>0.045718*</t>
  </si>
  <si>
    <t>0.435764*</t>
  </si>
  <si>
    <t>7.857639*</t>
  </si>
  <si>
    <t>0.063947*</t>
  </si>
  <si>
    <t>0.052373*</t>
  </si>
  <si>
    <t>0.080729*</t>
  </si>
  <si>
    <t>4.692172*</t>
  </si>
  <si>
    <t>3.875606*</t>
  </si>
  <si>
    <t>11.59606*</t>
  </si>
  <si>
    <t>0.166667*</t>
  </si>
  <si>
    <t>4.489583*</t>
  </si>
  <si>
    <t>15.91319*</t>
  </si>
  <si>
    <t>0.285301*</t>
  </si>
  <si>
    <t>6.56713*</t>
  </si>
  <si>
    <t>8.786753*</t>
  </si>
  <si>
    <t>7.71758*</t>
  </si>
  <si>
    <t>22.36574*</t>
  </si>
  <si>
    <t>0.438657*</t>
  </si>
  <si>
    <t>8.08044*</t>
  </si>
  <si>
    <t>50.91319*</t>
  </si>
  <si>
    <t>0.516782*</t>
  </si>
  <si>
    <t>8.361111*</t>
  </si>
  <si>
    <t>25.05093*</t>
  </si>
  <si>
    <t>38.55498*</t>
  </si>
  <si>
    <t>CI Osym</t>
    <phoneticPr fontId="3" type="noConversion"/>
  </si>
  <si>
    <t>0.120351*</t>
  </si>
  <si>
    <t>0.117718*</t>
  </si>
  <si>
    <t>0.108941*</t>
  </si>
  <si>
    <t>0.116182*</t>
  </si>
  <si>
    <t>0.110916*</t>
  </si>
  <si>
    <t>0.108064*</t>
  </si>
  <si>
    <t>0.112013*</t>
  </si>
  <si>
    <t>0.126934*</t>
  </si>
  <si>
    <t>0.121448*</t>
  </si>
  <si>
    <t>0.122984*</t>
  </si>
  <si>
    <t>0.110038*</t>
  </si>
  <si>
    <t>0.12847*</t>
  </si>
  <si>
    <t>0.131322*</t>
  </si>
  <si>
    <t>0.136588*</t>
  </si>
  <si>
    <t>0.128031*</t>
  </si>
  <si>
    <t>0.124081*</t>
  </si>
  <si>
    <t>0.137685*</t>
  </si>
  <si>
    <t>0.130883*</t>
  </si>
  <si>
    <t>0.118815*</t>
  </si>
  <si>
    <t>0.119912*</t>
  </si>
  <si>
    <t>0.129128*</t>
  </si>
  <si>
    <t>0.1017*</t>
  </si>
  <si>
    <t>0.10938*</t>
  </si>
  <si>
    <t>0.114646*</t>
  </si>
  <si>
    <t>0.108502*</t>
  </si>
  <si>
    <t>0.11311*</t>
  </si>
  <si>
    <t>0.11706*</t>
  </si>
  <si>
    <t>0.106528*</t>
  </si>
  <si>
    <t>0.107405*</t>
  </si>
  <si>
    <t>0.115524*</t>
  </si>
  <si>
    <t>1.893525*</t>
  </si>
  <si>
    <t>1.96156*</t>
  </si>
  <si>
    <t>0.094002*</t>
  </si>
  <si>
    <t>0.471595*</t>
  </si>
  <si>
    <t>0.543333</t>
  </si>
  <si>
    <t>1.83</t>
  </si>
  <si>
    <t>4.36</t>
  </si>
  <si>
    <t>7.74</t>
  </si>
  <si>
    <t>-0.00143*</t>
  </si>
  <si>
    <t>-0.00821*</t>
  </si>
  <si>
    <t>-0.01285*</t>
  </si>
  <si>
    <t>RPU</t>
  </si>
  <si>
    <t>0.173523*</t>
  </si>
  <si>
    <t>0.201232*</t>
  </si>
  <si>
    <t>0.260241*</t>
  </si>
  <si>
    <t>-0.00582*</t>
  </si>
  <si>
    <t>-0.00761*</t>
  </si>
  <si>
    <t>-0.00402*</t>
  </si>
  <si>
    <t>-0.00607*</t>
  </si>
  <si>
    <t>-0.00915*</t>
  </si>
  <si>
    <t>-0.00453*</t>
  </si>
  <si>
    <t>-0.00812*</t>
  </si>
  <si>
    <t>-0.01018*</t>
  </si>
  <si>
    <t>-0.0053*</t>
  </si>
  <si>
    <t>-0.00633*</t>
  </si>
  <si>
    <t>-0.00659*</t>
  </si>
  <si>
    <t>-0.00351*</t>
  </si>
  <si>
    <t>-0.00556*</t>
  </si>
  <si>
    <t>-0.0012*</t>
  </si>
  <si>
    <t>-0.00428*</t>
  </si>
  <si>
    <t>-0.00864*</t>
  </si>
  <si>
    <t>-0.00505*</t>
  </si>
  <si>
    <t>-0.00966*</t>
  </si>
  <si>
    <t>-0.00043*</t>
  </si>
  <si>
    <t>-0.00299*</t>
  </si>
  <si>
    <t>0.003164*</t>
  </si>
  <si>
    <t>4 sensor HKCI-LasR-VP16</t>
    <phoneticPr fontId="3" type="noConversion"/>
  </si>
  <si>
    <t>ZY134</t>
    <phoneticPr fontId="3" type="noConversion"/>
  </si>
  <si>
    <t>Reporter:Gd281</t>
    <phoneticPr fontId="3" type="noConversion"/>
  </si>
  <si>
    <t>atc(ng/mL)</t>
    <phoneticPr fontId="3" type="noConversion"/>
  </si>
  <si>
    <t>-0.002337777*</t>
  </si>
  <si>
    <t>0.000126366*</t>
  </si>
  <si>
    <t>xyl(mM)</t>
    <phoneticPr fontId="3" type="noConversion"/>
  </si>
  <si>
    <t>20250123</t>
  </si>
  <si>
    <t>20250124</t>
  </si>
  <si>
    <t>-0.07057*</t>
  </si>
  <si>
    <t>Reporter:m115</t>
    <phoneticPr fontId="3" type="noConversion"/>
  </si>
  <si>
    <t>2 sensor: XlnR nls</t>
    <phoneticPr fontId="3" type="noConversion"/>
  </si>
  <si>
    <t>1 sensor: TetR nls</t>
    <phoneticPr fontId="3" type="noConversion"/>
  </si>
  <si>
    <t>3 sensor: LacI nls</t>
    <phoneticPr fontId="3" type="noConversion"/>
  </si>
  <si>
    <t>Reporter: Gd373</t>
    <phoneticPr fontId="3" type="noConversion"/>
  </si>
  <si>
    <t>11.6152*</t>
  </si>
  <si>
    <t>Reporter: ZY615</t>
    <phoneticPr fontId="3" type="noConversion"/>
  </si>
  <si>
    <t>pC-HSL(uM)</t>
    <phoneticPr fontId="3" type="noConversion"/>
  </si>
  <si>
    <t>β-estradiol(nM)</t>
    <phoneticPr fontId="3" type="noConversion"/>
  </si>
  <si>
    <t>Reporter:ZY611</t>
    <phoneticPr fontId="3" type="noConversion"/>
  </si>
  <si>
    <t>DHB(uM)</t>
    <phoneticPr fontId="3" type="noConversion"/>
  </si>
  <si>
    <t>Reporter:ZY613</t>
    <phoneticPr fontId="3" type="noConversion"/>
  </si>
  <si>
    <t>caff(nM)</t>
    <phoneticPr fontId="3" type="noConversion"/>
  </si>
  <si>
    <t>Reporter:ZY620</t>
    <phoneticPr fontId="3" type="noConversion"/>
  </si>
  <si>
    <t>Reporter:ZY612</t>
    <phoneticPr fontId="3" type="noConversion"/>
  </si>
  <si>
    <t>IV(uM)</t>
    <phoneticPr fontId="3" type="noConversion"/>
  </si>
  <si>
    <t>RU486(uM)</t>
    <phoneticPr fontId="3" type="noConversion"/>
  </si>
  <si>
    <t>Reporter:ZY618</t>
    <phoneticPr fontId="3" type="noConversion"/>
  </si>
  <si>
    <t>3OC6（uM)</t>
  </si>
  <si>
    <t>-0.01282*</t>
  </si>
  <si>
    <t>Reporter:LXR74</t>
    <phoneticPr fontId="3" type="noConversion"/>
  </si>
  <si>
    <t>IPTG(mM)</t>
    <phoneticPr fontId="3" type="noConversion"/>
  </si>
  <si>
    <t>600(uninduced)</t>
  </si>
  <si>
    <t>R3-4</t>
  </si>
  <si>
    <t>R3-41</t>
  </si>
  <si>
    <t>DPA131(uninduced)</t>
  </si>
  <si>
    <t>DPA131(induced)</t>
  </si>
  <si>
    <t>DPA (mg/L)</t>
    <phoneticPr fontId="3" type="noConversion"/>
  </si>
  <si>
    <t>2-1C 12s</t>
    <phoneticPr fontId="3" type="noConversion"/>
  </si>
  <si>
    <t>fold</t>
    <phoneticPr fontId="3" type="noConversion"/>
  </si>
  <si>
    <t>diff</t>
    <phoneticPr fontId="3" type="noConversion"/>
  </si>
  <si>
    <t>optimal</t>
    <phoneticPr fontId="3" type="noConversion"/>
  </si>
  <si>
    <t>LexAs17-RpaR</t>
  </si>
  <si>
    <t>PurR-RpaR</t>
  </si>
  <si>
    <t>XlnR</t>
  </si>
  <si>
    <t>CI434-ER</t>
  </si>
  <si>
    <t>lexAs14-DHBR</t>
  </si>
  <si>
    <t>PurR-DHBR</t>
  </si>
  <si>
    <t>CI434-CinRori</t>
  </si>
  <si>
    <t>#1f77b4</t>
    <phoneticPr fontId="3" type="noConversion"/>
  </si>
  <si>
    <t>I=0</t>
  </si>
  <si>
    <t>#1f77b4</t>
  </si>
  <si>
    <t>I=100</t>
  </si>
  <si>
    <t>#ff7f0e</t>
  </si>
  <si>
    <t>#2ca02c</t>
  </si>
  <si>
    <t>#d62728</t>
  </si>
  <si>
    <t>#9467bd</t>
  </si>
  <si>
    <t>#8c564b</t>
  </si>
  <si>
    <t>#e377c2</t>
  </si>
  <si>
    <t>#7f7f7f</t>
  </si>
  <si>
    <t>#bcbd22</t>
  </si>
  <si>
    <t>#17becf</t>
  </si>
  <si>
    <t>pink</t>
  </si>
  <si>
    <t>green</t>
  </si>
  <si>
    <t>gold</t>
  </si>
  <si>
    <t>x</t>
  </si>
  <si>
    <t>y</t>
  </si>
  <si>
    <t>color</t>
  </si>
  <si>
    <t>curve</t>
  </si>
  <si>
    <t>DBD</t>
    <phoneticPr fontId="3" type="noConversion"/>
  </si>
  <si>
    <t>Fig.2C</t>
    <phoneticPr fontId="3" type="noConversion"/>
  </si>
  <si>
    <t>PailvC</t>
    <phoneticPr fontId="3" type="noConversion"/>
  </si>
  <si>
    <t>BsilvD</t>
    <phoneticPr fontId="3" type="noConversion"/>
  </si>
  <si>
    <t>Scecm31</t>
    <phoneticPr fontId="3" type="noConversion"/>
  </si>
  <si>
    <t>MtpanE</t>
    <phoneticPr fontId="3" type="noConversion"/>
  </si>
  <si>
    <t>TcpanD</t>
    <phoneticPr fontId="3" type="noConversion"/>
  </si>
  <si>
    <t>CgpanC</t>
    <phoneticPr fontId="3" type="noConversion"/>
  </si>
  <si>
    <t>Yield (g/L)</t>
    <phoneticPr fontId="3" type="noConversion"/>
  </si>
  <si>
    <t>RPU(Round1)</t>
    <phoneticPr fontId="3" type="noConversion"/>
  </si>
  <si>
    <t>Round3</t>
  </si>
  <si>
    <t>Round1</t>
  </si>
  <si>
    <t>17.5962*</t>
  </si>
  <si>
    <t>10.8523*</t>
  </si>
  <si>
    <t>7.96434*</t>
  </si>
  <si>
    <t>25.8986*</t>
  </si>
  <si>
    <t>2.28292*</t>
  </si>
  <si>
    <t>1.05873*</t>
  </si>
  <si>
    <t>19.7141*</t>
  </si>
  <si>
    <t>4.49882*</t>
  </si>
  <si>
    <t>10.1094*</t>
  </si>
  <si>
    <t>6.81825*</t>
  </si>
  <si>
    <t>3.4835*</t>
  </si>
  <si>
    <t>8.11509*</t>
  </si>
  <si>
    <t>11.1592*</t>
  </si>
  <si>
    <t>12.2018*</t>
  </si>
  <si>
    <t>9.29933*</t>
  </si>
  <si>
    <t>5.65581*</t>
  </si>
  <si>
    <t>3.10753*</t>
  </si>
  <si>
    <t>1.00969*</t>
  </si>
  <si>
    <t>RPU(sensor)</t>
    <phoneticPr fontId="20" type="noConversion"/>
  </si>
  <si>
    <t>IPTG(uM)</t>
    <phoneticPr fontId="20" type="noConversion"/>
  </si>
  <si>
    <t>OC8(uM)</t>
    <phoneticPr fontId="20" type="noConversion"/>
  </si>
  <si>
    <t>IV(uM)</t>
    <phoneticPr fontId="20" type="noConversion"/>
  </si>
  <si>
    <t>OC14(uM)</t>
    <phoneticPr fontId="20" type="noConversion"/>
  </si>
  <si>
    <t>Δexpression</t>
    <phoneticPr fontId="3" type="noConversion"/>
  </si>
  <si>
    <t>fold-change</t>
    <phoneticPr fontId="3" type="noConversion"/>
  </si>
  <si>
    <t>ΔExp+FC</t>
    <phoneticPr fontId="3" type="noConversion"/>
  </si>
  <si>
    <t>3OC12</t>
    <phoneticPr fontId="3" type="noConversion"/>
  </si>
  <si>
    <t>100 ng/ml atc</t>
  </si>
  <si>
    <t>10 mM xyl</t>
  </si>
  <si>
    <t>20 mM iptg</t>
  </si>
  <si>
    <t>1 uM 3OC12</t>
  </si>
  <si>
    <t>1 uM β-estradiol</t>
  </si>
  <si>
    <t>2.5 uM DHB</t>
  </si>
  <si>
    <t>1 uM caffeine</t>
  </si>
  <si>
    <t>25 uM RU486</t>
  </si>
  <si>
    <t>100 uM 3OC6</t>
  </si>
  <si>
    <t>tetR</t>
  </si>
  <si>
    <t>LacI</t>
  </si>
  <si>
    <t>1.889081006*</t>
  </si>
  <si>
    <t>BjaRmut</t>
  </si>
  <si>
    <t>BY4741 12s</t>
    <phoneticPr fontId="3" type="noConversion"/>
  </si>
  <si>
    <t>BY4741 10s</t>
    <phoneticPr fontId="3" type="noConversion"/>
  </si>
  <si>
    <t>Pxyluas-PurR-ER-VP16-T25-Placuas-lexAxa101-lasR nls-T25</t>
    <phoneticPr fontId="3" type="noConversion"/>
  </si>
  <si>
    <t>LXR417</t>
    <phoneticPr fontId="3" type="noConversion"/>
  </si>
  <si>
    <t>activation</t>
    <phoneticPr fontId="3" type="noConversion"/>
  </si>
  <si>
    <t>repression</t>
    <phoneticPr fontId="3" type="noConversion"/>
  </si>
  <si>
    <t>87-RpaR</t>
    <phoneticPr fontId="3" type="noConversion"/>
  </si>
  <si>
    <t>lexAbs94-LasR</t>
    <phoneticPr fontId="3" type="noConversion"/>
  </si>
  <si>
    <t>PurR-ER</t>
    <phoneticPr fontId="3" type="noConversion"/>
  </si>
  <si>
    <t>LXR414</t>
    <phoneticPr fontId="3" type="noConversion"/>
  </si>
  <si>
    <t>Pxyluas-PurR-ER-VP16-T25-Placuas-lexAbs94-lasR nls-T25</t>
    <phoneticPr fontId="3" type="noConversion"/>
  </si>
  <si>
    <t>LXR419</t>
    <phoneticPr fontId="3" type="noConversion"/>
  </si>
  <si>
    <t>Pxyluas-lexA87-RpaR-VP16-T25-Placuas-lexAbs94-lasR nls-T25</t>
    <phoneticPr fontId="3" type="noConversion"/>
  </si>
  <si>
    <t xml:space="preserve">LXR411 </t>
  </si>
  <si>
    <t>pPurRa-lexOs5i-citrine</t>
  </si>
  <si>
    <t xml:space="preserve">LXR415 </t>
  </si>
  <si>
    <t xml:space="preserve">pPurRa-lexOs23i-citrine </t>
  </si>
  <si>
    <t xml:space="preserve">LXR420 </t>
  </si>
  <si>
    <t>plexOreca-lexOs5i-citrine</t>
  </si>
  <si>
    <t>lacI</t>
  </si>
  <si>
    <t>atc 100 ng/ml</t>
  </si>
  <si>
    <t>xylose 10 mM</t>
  </si>
  <si>
    <t>β-estradiol 1 uM</t>
  </si>
  <si>
    <t>DHB 2.5 uM</t>
  </si>
  <si>
    <t>RU486 25 uM</t>
  </si>
  <si>
    <t>1.617607*</t>
  </si>
  <si>
    <t>3OC6 1mM</t>
  </si>
  <si>
    <t>CEN.PK2-1C 12s</t>
    <phoneticPr fontId="3" type="noConversion"/>
  </si>
  <si>
    <t>CEN.PK2-1C 10s</t>
    <phoneticPr fontId="3" type="noConversion"/>
  </si>
  <si>
    <t>ZY495</t>
  </si>
  <si>
    <t>RU486 100 uM</t>
  </si>
  <si>
    <t>ZY573</t>
    <phoneticPr fontId="3" type="noConversion"/>
  </si>
  <si>
    <t>DHBR(ZY573)</t>
    <phoneticPr fontId="3" type="noConversion"/>
  </si>
  <si>
    <t>ZY138</t>
    <phoneticPr fontId="3" type="noConversion"/>
  </si>
  <si>
    <t>acVHH(ZY138)</t>
    <phoneticPr fontId="3" type="noConversion"/>
  </si>
  <si>
    <t>ZY135</t>
    <phoneticPr fontId="3" type="noConversion"/>
  </si>
  <si>
    <t>CinR(ZY135)</t>
    <phoneticPr fontId="3" type="noConversion"/>
  </si>
  <si>
    <t>ZY494</t>
    <phoneticPr fontId="3" type="noConversion"/>
  </si>
  <si>
    <t>PR(ZY494)</t>
    <phoneticPr fontId="3" type="noConversion"/>
  </si>
  <si>
    <t>TF input</t>
    <phoneticPr fontId="3" type="noConversion"/>
  </si>
  <si>
    <t>CI = 0 uM</t>
    <phoneticPr fontId="3" type="noConversion"/>
  </si>
  <si>
    <t>CI = 100 uM</t>
    <phoneticPr fontId="3" type="noConversion"/>
  </si>
  <si>
    <t>caff = 0uM</t>
    <phoneticPr fontId="3" type="noConversion"/>
  </si>
  <si>
    <t>caff = 10 uM</t>
    <phoneticPr fontId="3" type="noConversion"/>
  </si>
  <si>
    <t>LexAs17&amp;BjaRmut</t>
  </si>
  <si>
    <t>OC14 0uM</t>
  </si>
  <si>
    <t>OC14 100uM</t>
  </si>
  <si>
    <t>DHB 0uM</t>
  </si>
  <si>
    <t>DHB 100uM</t>
  </si>
  <si>
    <t>pc-HSL 0uM</t>
  </si>
  <si>
    <t>pc-HSL 200uM</t>
  </si>
  <si>
    <t>IV = 0uM</t>
    <phoneticPr fontId="3" type="noConversion"/>
  </si>
  <si>
    <t>IV= 10000 uM</t>
    <phoneticPr fontId="3" type="noConversion"/>
  </si>
  <si>
    <t>3OC12=0uM</t>
    <phoneticPr fontId="3" type="noConversion"/>
  </si>
  <si>
    <t>3OC12 = 10uM</t>
    <phoneticPr fontId="3" type="noConversion"/>
  </si>
  <si>
    <t>RU486 = 100nM</t>
    <phoneticPr fontId="3" type="noConversion"/>
  </si>
  <si>
    <t>RU486 = 0nM</t>
    <phoneticPr fontId="3" type="noConversion"/>
  </si>
  <si>
    <t>0 uM</t>
    <phoneticPr fontId="3" type="noConversion"/>
  </si>
  <si>
    <t>20 uM</t>
    <phoneticPr fontId="3" type="noConversion"/>
  </si>
  <si>
    <t>500 uM</t>
    <phoneticPr fontId="3" type="noConversion"/>
  </si>
  <si>
    <t>β-estradiol = 0 uM</t>
  </si>
  <si>
    <t>LexAs23-ER</t>
  </si>
  <si>
    <t>pC-HSL = 0 uM</t>
  </si>
  <si>
    <t>pC-HSL = 200 uM</t>
  </si>
  <si>
    <t>DHB = 0 uM</t>
  </si>
  <si>
    <t>DHB = 100 uM</t>
  </si>
  <si>
    <t>RU486 = 0 uM</t>
  </si>
  <si>
    <t>RU486 = 0.1 uM</t>
  </si>
  <si>
    <t>LexAs87-MR</t>
  </si>
  <si>
    <t>aldo = 0 uM</t>
  </si>
  <si>
    <t>aldo = 1 uM</t>
  </si>
  <si>
    <t>LexAs23-MR</t>
  </si>
  <si>
    <t>LexAs14-TraR</t>
  </si>
  <si>
    <t>3OC8 = 0 uM</t>
  </si>
  <si>
    <t>3OC8 = 2000 uM</t>
  </si>
  <si>
    <t>LexAs17-BjaR</t>
  </si>
  <si>
    <t>IV-HSl = 0 uM</t>
  </si>
  <si>
    <t>IV-HSl = 10000 uM</t>
  </si>
  <si>
    <t>LexAs87-TraR</t>
  </si>
  <si>
    <t>CI434-TraR</t>
  </si>
  <si>
    <t>DBD list</t>
    <phoneticPr fontId="3" type="noConversion"/>
  </si>
  <si>
    <t>HKCI</t>
    <phoneticPr fontId="3" type="noConversion"/>
  </si>
  <si>
    <t>LBD list</t>
    <phoneticPr fontId="3" type="noConversion"/>
  </si>
  <si>
    <t>lexAec87</t>
    <phoneticPr fontId="3" type="noConversion"/>
  </si>
  <si>
    <t>β-estradiol =0.01 uM</t>
    <phoneticPr fontId="3" type="noConversion"/>
  </si>
  <si>
    <t>β-estradiol =0.5 uM</t>
    <phoneticPr fontId="3" type="noConversion"/>
  </si>
  <si>
    <t>ctfall</t>
  </si>
  <si>
    <t>replicate_id</t>
  </si>
  <si>
    <t>ctfeff</t>
    <phoneticPr fontId="3" type="noConversion"/>
  </si>
  <si>
    <t>Output (-)</t>
    <phoneticPr fontId="3" type="noConversion"/>
  </si>
  <si>
    <t>Output (+100 uM DHB)</t>
    <phoneticPr fontId="3" type="noConversion"/>
  </si>
  <si>
    <t>LXR428</t>
    <phoneticPr fontId="3" type="noConversion"/>
  </si>
  <si>
    <t>Experimental</t>
  </si>
  <si>
    <t>fig.5e</t>
    <phoneticPr fontId="3" type="noConversion"/>
  </si>
  <si>
    <t>LBD</t>
  </si>
  <si>
    <t>KA</t>
  </si>
  <si>
    <t>Activation</t>
  </si>
  <si>
    <t>Repression</t>
  </si>
  <si>
    <t>CI43470</t>
  </si>
  <si>
    <t>pC-HSL</t>
  </si>
  <si>
    <t>IV-HSL</t>
  </si>
  <si>
    <t>C4-HSL</t>
  </si>
  <si>
    <t>DHB</t>
  </si>
  <si>
    <t>RU486</t>
  </si>
  <si>
    <t>PPYA</t>
  </si>
  <si>
    <t>C8-HSL</t>
  </si>
  <si>
    <t>fig.5f</t>
    <phoneticPr fontId="3" type="noConversion"/>
  </si>
  <si>
    <t>fig.5I</t>
    <phoneticPr fontId="3" type="noConversion"/>
  </si>
  <si>
    <t>Caffeine</t>
    <phoneticPr fontId="3" type="noConversion"/>
  </si>
  <si>
    <t>inducer</t>
    <phoneticPr fontId="3" type="noConversion"/>
  </si>
  <si>
    <t>pC-HSL</t>
    <phoneticPr fontId="3" type="noConversion"/>
  </si>
  <si>
    <t>3OC6</t>
    <phoneticPr fontId="3" type="noConversion"/>
  </si>
  <si>
    <t>Input</t>
    <phoneticPr fontId="3" type="noConversion"/>
  </si>
  <si>
    <t>CI94</t>
    <phoneticPr fontId="3" type="noConversion"/>
  </si>
  <si>
    <t>lexAbs94</t>
    <phoneticPr fontId="3" type="noConversion"/>
  </si>
  <si>
    <t>IV-HSL</t>
    <phoneticPr fontId="3" type="noConversion"/>
  </si>
  <si>
    <t>3OC8</t>
    <phoneticPr fontId="3" type="noConversion"/>
  </si>
  <si>
    <t>C4-HSL</t>
    <phoneticPr fontId="3" type="noConversion"/>
  </si>
  <si>
    <t>beta-estradiol</t>
    <phoneticPr fontId="3" type="noConversion"/>
  </si>
  <si>
    <t>DHB</t>
    <phoneticPr fontId="3" type="noConversion"/>
  </si>
  <si>
    <t>RU486</t>
    <phoneticPr fontId="3" type="noConversion"/>
  </si>
  <si>
    <t>dexa</t>
    <phoneticPr fontId="3" type="noConversion"/>
  </si>
  <si>
    <t>aldo</t>
    <phoneticPr fontId="3" type="noConversion"/>
  </si>
  <si>
    <t>IPS</t>
    <phoneticPr fontId="3" type="noConversion"/>
  </si>
  <si>
    <t>PPYA</t>
    <phoneticPr fontId="3" type="noConversion"/>
  </si>
  <si>
    <t>DPO</t>
    <phoneticPr fontId="3" type="noConversion"/>
  </si>
  <si>
    <t>C8-HSL</t>
    <phoneticPr fontId="3" type="noConversion"/>
  </si>
  <si>
    <t>Concentration(uM)</t>
    <phoneticPr fontId="3" type="noConversion"/>
  </si>
  <si>
    <t>Input</t>
  </si>
  <si>
    <t>inducer</t>
  </si>
  <si>
    <t>concentration_uM</t>
  </si>
  <si>
    <t>Caffeine</t>
  </si>
  <si>
    <t>3OHC14</t>
  </si>
  <si>
    <t>3OC12</t>
  </si>
  <si>
    <t>3OC8</t>
  </si>
  <si>
    <t>3OC6</t>
  </si>
  <si>
    <t>CI94</t>
  </si>
  <si>
    <t>dexa</t>
  </si>
  <si>
    <t>aldo</t>
  </si>
  <si>
    <t>IPS</t>
  </si>
  <si>
    <t>DPO</t>
  </si>
  <si>
    <t>lbd_quality</t>
    <phoneticPr fontId="3" type="noConversion"/>
  </si>
  <si>
    <t>log10_KA</t>
  </si>
  <si>
    <t>KA_relative_to_lexAs87</t>
  </si>
  <si>
    <t>T0_DBD</t>
  </si>
  <si>
    <t>Tmax_amplitude_DBD</t>
  </si>
  <si>
    <t>T0_plus_Tmax</t>
  </si>
  <si>
    <t>min_observed</t>
  </si>
  <si>
    <t>lexAs87</t>
  </si>
  <si>
    <t>Kb2Kd1_over_Kd0_intrinsic</t>
  </si>
  <si>
    <t>log10_intrinsic_ratio</t>
  </si>
  <si>
    <t>Kd0_nuisance</t>
  </si>
  <si>
    <t>log10_Kd0</t>
  </si>
  <si>
    <t>ON_concentrations_uM_used</t>
  </si>
  <si>
    <t>median_effective_ratio_at_ON</t>
  </si>
  <si>
    <t>log10_median_effective</t>
  </si>
  <si>
    <t>20, 100</t>
  </si>
  <si>
    <t>0.01, 0.5</t>
  </si>
  <si>
    <t>variant</t>
  </si>
  <si>
    <t>ON_inducer_uM</t>
  </si>
  <si>
    <t>n_points</t>
  </si>
  <si>
    <t>R2_raw</t>
  </si>
  <si>
    <t>R2_log10</t>
  </si>
  <si>
    <t>SSE_raw</t>
  </si>
  <si>
    <t>mean_observed</t>
  </si>
  <si>
    <t>max_observed</t>
  </si>
  <si>
    <t>lexA87-CarRecc NLS-VP16</t>
  </si>
  <si>
    <t>lexAs23-acVHH NLS-VP16</t>
  </si>
  <si>
    <t>PurR-GR-VP16</t>
  </si>
  <si>
    <t>LexAs14-LasR NLS-VP16</t>
  </si>
  <si>
    <t>CI-GR-VP16</t>
  </si>
  <si>
    <t>HKCI-CinRori NLS-VP16</t>
  </si>
  <si>
    <t>LexAs15-DHBR-VP16</t>
  </si>
  <si>
    <t>RecApact-RpaR NLS-VP16</t>
  </si>
  <si>
    <t>DeoR-PR-VP16</t>
  </si>
  <si>
    <t>LexAs87-ER</t>
  </si>
  <si>
    <t>LexAs23-PR</t>
  </si>
  <si>
    <t>Output</t>
    <phoneticPr fontId="3" type="noConversion"/>
  </si>
  <si>
    <t>OD600</t>
    <phoneticPr fontId="3" type="noConversion"/>
  </si>
  <si>
    <t>source_file</t>
  </si>
  <si>
    <t>row_index</t>
  </si>
  <si>
    <r>
      <t>RpaR</t>
    </r>
    <r>
      <rPr>
        <vertAlign val="subscript"/>
        <sz val="11"/>
        <color theme="1"/>
        <rFont val="Arial"/>
        <family val="2"/>
      </rPr>
      <t>179</t>
    </r>
    <phoneticPr fontId="3" type="noConversion"/>
  </si>
  <si>
    <r>
      <t>BjaR</t>
    </r>
    <r>
      <rPr>
        <vertAlign val="subscript"/>
        <sz val="11"/>
        <color theme="1"/>
        <rFont val="Arial"/>
        <family val="2"/>
      </rPr>
      <t>180</t>
    </r>
    <phoneticPr fontId="3" type="noConversion"/>
  </si>
  <si>
    <r>
      <t>CinR</t>
    </r>
    <r>
      <rPr>
        <vertAlign val="subscript"/>
        <sz val="11"/>
        <color theme="1"/>
        <rFont val="Arial"/>
        <family val="2"/>
      </rPr>
      <t>179</t>
    </r>
    <phoneticPr fontId="3" type="noConversion"/>
  </si>
  <si>
    <r>
      <t>LasR</t>
    </r>
    <r>
      <rPr>
        <vertAlign val="subscript"/>
        <sz val="11"/>
        <color theme="1"/>
        <rFont val="Arial"/>
        <family val="2"/>
      </rPr>
      <t>177</t>
    </r>
    <phoneticPr fontId="3" type="noConversion"/>
  </si>
  <si>
    <r>
      <t>TraR</t>
    </r>
    <r>
      <rPr>
        <vertAlign val="subscript"/>
        <sz val="11"/>
        <color theme="1"/>
        <rFont val="Arial"/>
        <family val="2"/>
      </rPr>
      <t>174</t>
    </r>
    <phoneticPr fontId="3" type="noConversion"/>
  </si>
  <si>
    <r>
      <t>CarR</t>
    </r>
    <r>
      <rPr>
        <vertAlign val="subscript"/>
        <sz val="11"/>
        <color theme="1"/>
        <rFont val="Arial"/>
        <family val="2"/>
      </rPr>
      <t>ecc169</t>
    </r>
    <phoneticPr fontId="3" type="noConversion"/>
  </si>
  <si>
    <r>
      <t>SmaR</t>
    </r>
    <r>
      <rPr>
        <vertAlign val="subscript"/>
        <sz val="11"/>
        <color theme="1"/>
        <rFont val="Arial"/>
        <family val="2"/>
      </rPr>
      <t>179</t>
    </r>
    <phoneticPr fontId="3" type="noConversion"/>
  </si>
  <si>
    <r>
      <t>ER</t>
    </r>
    <r>
      <rPr>
        <vertAlign val="subscript"/>
        <sz val="11"/>
        <color theme="1"/>
        <rFont val="Arial"/>
        <family val="2"/>
      </rPr>
      <t>282-595</t>
    </r>
    <phoneticPr fontId="3" type="noConversion"/>
  </si>
  <si>
    <r>
      <t>DHBR</t>
    </r>
    <r>
      <rPr>
        <vertAlign val="subscript"/>
        <sz val="11"/>
        <color theme="1"/>
        <rFont val="Arial"/>
        <family val="2"/>
      </rPr>
      <t>282-595</t>
    </r>
    <phoneticPr fontId="3" type="noConversion"/>
  </si>
  <si>
    <r>
      <t>GR</t>
    </r>
    <r>
      <rPr>
        <vertAlign val="subscript"/>
        <sz val="11"/>
        <color theme="1"/>
        <rFont val="Arial"/>
        <family val="2"/>
      </rPr>
      <t>487-777</t>
    </r>
    <phoneticPr fontId="3" type="noConversion"/>
  </si>
  <si>
    <r>
      <t>MR</t>
    </r>
    <r>
      <rPr>
        <vertAlign val="subscript"/>
        <sz val="11"/>
        <color theme="1"/>
        <rFont val="Arial"/>
        <family val="2"/>
      </rPr>
      <t>669-984</t>
    </r>
    <phoneticPr fontId="3" type="noConversion"/>
  </si>
  <si>
    <r>
      <t>PauR</t>
    </r>
    <r>
      <rPr>
        <vertAlign val="subscript"/>
        <sz val="11"/>
        <color theme="1"/>
        <rFont val="Arial"/>
        <family val="2"/>
      </rPr>
      <t>17-160</t>
    </r>
    <phoneticPr fontId="3" type="noConversion"/>
  </si>
  <si>
    <r>
      <t>PluR</t>
    </r>
    <r>
      <rPr>
        <vertAlign val="subscript"/>
        <sz val="11"/>
        <color theme="1"/>
        <rFont val="Arial"/>
        <family val="2"/>
      </rPr>
      <t>17-162</t>
    </r>
    <phoneticPr fontId="3" type="noConversion"/>
  </si>
  <si>
    <r>
      <t>VqmA</t>
    </r>
    <r>
      <rPr>
        <vertAlign val="subscript"/>
        <sz val="11"/>
        <color theme="1"/>
        <rFont val="Arial"/>
        <family val="2"/>
      </rPr>
      <t>91-187</t>
    </r>
    <phoneticPr fontId="3" type="noConversion"/>
  </si>
  <si>
    <r>
      <t>CepR</t>
    </r>
    <r>
      <rPr>
        <vertAlign val="subscript"/>
        <sz val="11"/>
        <color theme="1"/>
        <rFont val="Arial"/>
        <family val="2"/>
      </rPr>
      <t>176</t>
    </r>
    <phoneticPr fontId="3" type="noConversion"/>
  </si>
  <si>
    <r>
      <t>LuxR</t>
    </r>
    <r>
      <rPr>
        <vertAlign val="subscript"/>
        <sz val="11"/>
        <color theme="1"/>
        <rFont val="Arial"/>
        <family val="2"/>
      </rPr>
      <t>183</t>
    </r>
    <r>
      <rPr>
        <vertAlign val="superscript"/>
        <sz val="11"/>
        <color theme="1"/>
        <rFont val="Arial"/>
        <family val="2"/>
      </rPr>
      <t>S116Y</t>
    </r>
    <phoneticPr fontId="3" type="noConversion"/>
  </si>
  <si>
    <t>3OHC14-HSL</t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</si>
  <si>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ec87</t>
    </r>
    <phoneticPr fontId="3" type="noConversion"/>
  </si>
  <si>
    <r>
      <t>CI</t>
    </r>
    <r>
      <rPr>
        <vertAlign val="subscript"/>
        <sz val="11"/>
        <color theme="1"/>
        <rFont val="等线"/>
        <family val="3"/>
        <charset val="134"/>
        <scheme val="minor"/>
      </rPr>
      <t>94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</si>
  <si>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bs94</t>
    </r>
    <phoneticPr fontId="3" type="noConversion"/>
  </si>
  <si>
    <r>
      <t>CI434</t>
    </r>
    <r>
      <rPr>
        <vertAlign val="subscript"/>
        <sz val="11"/>
        <color theme="1"/>
        <rFont val="Arial"/>
        <family val="2"/>
      </rPr>
      <t>70</t>
    </r>
    <phoneticPr fontId="3" type="noConversion"/>
  </si>
  <si>
    <r>
      <t>HKCI</t>
    </r>
    <r>
      <rPr>
        <vertAlign val="subscript"/>
        <sz val="11"/>
        <color theme="1"/>
        <rFont val="Arial"/>
        <family val="2"/>
      </rPr>
      <t>84</t>
    </r>
    <phoneticPr fontId="3" type="noConversion"/>
  </si>
  <si>
    <r>
      <t>PurR</t>
    </r>
    <r>
      <rPr>
        <vertAlign val="subscript"/>
        <sz val="11"/>
        <color theme="1"/>
        <rFont val="Arial"/>
        <family val="2"/>
      </rPr>
      <t>60</t>
    </r>
    <phoneticPr fontId="3" type="noConversion"/>
  </si>
  <si>
    <r>
      <t>DeoR</t>
    </r>
    <r>
      <rPr>
        <vertAlign val="subscript"/>
        <sz val="11"/>
        <color theme="1"/>
        <rFont val="Arial"/>
        <family val="2"/>
      </rPr>
      <t>92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</si>
  <si>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fs104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</si>
  <si>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gs91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</si>
  <si>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mm115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</si>
  <si>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xa101</t>
    </r>
    <phoneticPr fontId="3" type="noConversion"/>
  </si>
  <si>
    <r>
      <t>RecApact</t>
    </r>
    <r>
      <rPr>
        <vertAlign val="subscript"/>
        <sz val="11"/>
        <color theme="1"/>
        <rFont val="Arial"/>
        <family val="2"/>
      </rPr>
      <t>104</t>
    </r>
    <phoneticPr fontId="3" type="noConversion"/>
  </si>
  <si>
    <t>caffeine (uM)</t>
    <phoneticPr fontId="3" type="noConversion"/>
  </si>
  <si>
    <r>
      <t>lexA</t>
    </r>
    <r>
      <rPr>
        <vertAlign val="subscript"/>
        <sz val="11"/>
        <rFont val="Arial"/>
        <family val="2"/>
      </rPr>
      <t>bs94</t>
    </r>
    <r>
      <rPr>
        <sz val="11"/>
        <rFont val="Arial"/>
        <family val="2"/>
      </rPr>
      <t>(RPU=2.08)</t>
    </r>
    <phoneticPr fontId="3" type="noConversion"/>
  </si>
  <si>
    <r>
      <t>lexA</t>
    </r>
    <r>
      <rPr>
        <vertAlign val="subscript"/>
        <sz val="11"/>
        <rFont val="Arial"/>
        <family val="2"/>
      </rPr>
      <t>mm115</t>
    </r>
    <r>
      <rPr>
        <sz val="11"/>
        <rFont val="Arial"/>
        <family val="2"/>
      </rPr>
      <t>(RPU=0.21)</t>
    </r>
    <phoneticPr fontId="3" type="noConversion"/>
  </si>
  <si>
    <r>
      <t>lexA</t>
    </r>
    <r>
      <rPr>
        <vertAlign val="subscript"/>
        <sz val="11"/>
        <rFont val="Arial"/>
        <family val="2"/>
      </rPr>
      <t>mm115</t>
    </r>
    <r>
      <rPr>
        <sz val="11"/>
        <rFont val="Arial"/>
        <family val="2"/>
      </rPr>
      <t>(RPU=1.57)</t>
    </r>
    <phoneticPr fontId="3" type="noConversion"/>
  </si>
  <si>
    <r>
      <t>BjaR</t>
    </r>
    <r>
      <rPr>
        <vertAlign val="subscript"/>
        <sz val="11"/>
        <color theme="1"/>
        <rFont val="Arial"/>
        <family val="2"/>
      </rPr>
      <t>180</t>
    </r>
    <r>
      <rPr>
        <vertAlign val="superscript"/>
        <sz val="11"/>
        <color theme="1"/>
        <rFont val="Arial"/>
        <family val="2"/>
      </rPr>
      <t>S107R</t>
    </r>
    <phoneticPr fontId="3" type="noConversion"/>
  </si>
  <si>
    <t>filename</t>
  </si>
  <si>
    <t>101.csv</t>
  </si>
  <si>
    <t>102.csv</t>
  </si>
  <si>
    <t>119.csv</t>
  </si>
  <si>
    <t>121.csv</t>
  </si>
  <si>
    <t>Predicted_corrected</t>
  </si>
  <si>
    <r>
      <t>lexA</t>
    </r>
    <r>
      <rPr>
        <vertAlign val="subscript"/>
        <sz val="11"/>
        <rFont val="Arial"/>
        <family val="2"/>
      </rPr>
      <t>xa101</t>
    </r>
    <r>
      <rPr>
        <sz val="11"/>
        <rFont val="Arial"/>
        <family val="2"/>
      </rPr>
      <t>-acVHH NLS-VP16</t>
    </r>
    <phoneticPr fontId="3" type="noConversion"/>
  </si>
  <si>
    <r>
      <t>PurR</t>
    </r>
    <r>
      <rPr>
        <vertAlign val="subscript"/>
        <sz val="11"/>
        <color theme="1"/>
        <rFont val="Arial"/>
        <family val="2"/>
      </rPr>
      <t>60</t>
    </r>
    <r>
      <rPr>
        <sz val="11"/>
        <color theme="1"/>
        <rFont val="Arial"/>
        <family val="2"/>
      </rPr>
      <t>-GR</t>
    </r>
    <r>
      <rPr>
        <vertAlign val="subscript"/>
        <sz val="11"/>
        <color theme="1"/>
        <rFont val="Arial"/>
        <family val="2"/>
      </rPr>
      <t>487-777</t>
    </r>
    <r>
      <rPr>
        <sz val="11"/>
        <color theme="1"/>
        <rFont val="Arial"/>
        <family val="2"/>
      </rPr>
      <t>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</si>
  <si>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fs104</t>
    </r>
    <r>
      <rPr>
        <sz val="11"/>
        <color theme="1"/>
        <rFont val="Arial"/>
        <family val="2"/>
      </rPr>
      <t>-LasR</t>
    </r>
    <r>
      <rPr>
        <vertAlign val="subscript"/>
        <sz val="11"/>
        <color theme="1"/>
        <rFont val="Arial"/>
        <family val="2"/>
      </rPr>
      <t>177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</si>
  <si>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CI</t>
    </r>
    <r>
      <rPr>
        <vertAlign val="subscript"/>
        <sz val="11"/>
        <color theme="1"/>
        <rFont val="Arial"/>
        <family val="2"/>
      </rPr>
      <t>94</t>
    </r>
    <r>
      <rPr>
        <sz val="11"/>
        <color theme="1"/>
        <rFont val="Arial"/>
        <family val="2"/>
      </rPr>
      <t>-GR</t>
    </r>
    <r>
      <rPr>
        <vertAlign val="subscript"/>
        <sz val="11"/>
        <color theme="1"/>
        <rFont val="Arial"/>
        <family val="2"/>
      </rPr>
      <t>487-777</t>
    </r>
    <r>
      <rPr>
        <sz val="11"/>
        <color theme="1"/>
        <rFont val="Arial"/>
        <family val="2"/>
      </rPr>
      <t>-VP16</t>
    </r>
    <phoneticPr fontId="3" type="noConversion"/>
  </si>
  <si>
    <r>
      <t>HKCI</t>
    </r>
    <r>
      <rPr>
        <vertAlign val="subscript"/>
        <sz val="11"/>
        <color theme="1"/>
        <rFont val="Arial"/>
        <family val="2"/>
      </rPr>
      <t>84</t>
    </r>
    <r>
      <rPr>
        <sz val="11"/>
        <color theme="1"/>
        <rFont val="Arial"/>
        <family val="2"/>
      </rPr>
      <t>-CinR</t>
    </r>
    <r>
      <rPr>
        <vertAlign val="subscript"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</si>
  <si>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gs91</t>
    </r>
    <r>
      <rPr>
        <sz val="11"/>
        <color theme="1"/>
        <rFont val="Arial"/>
        <family val="2"/>
      </rPr>
      <t>-DHBR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</si>
  <si>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>RecApact</t>
    </r>
    <r>
      <rPr>
        <vertAlign val="subscript"/>
        <sz val="11"/>
        <color theme="1"/>
        <rFont val="Arial"/>
        <family val="2"/>
      </rPr>
      <t>104</t>
    </r>
    <r>
      <rPr>
        <sz val="11"/>
        <color theme="1"/>
        <rFont val="Arial"/>
        <family val="2"/>
      </rPr>
      <t>-RpaR</t>
    </r>
    <r>
      <rPr>
        <vertAlign val="subscript"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 xml:space="preserve"> NLS-VP16</t>
    </r>
    <phoneticPr fontId="3" type="noConversion"/>
  </si>
  <si>
    <t>dexa 0uM</t>
    <phoneticPr fontId="3" type="noConversion"/>
  </si>
  <si>
    <t>dexa 10uM</t>
    <phoneticPr fontId="3" type="noConversion"/>
  </si>
  <si>
    <t>dexa = 10uM</t>
    <phoneticPr fontId="3" type="noConversion"/>
  </si>
  <si>
    <t>dexa = 0uM</t>
    <phoneticPr fontId="3" type="noConversion"/>
  </si>
  <si>
    <r>
      <t>DeoR</t>
    </r>
    <r>
      <rPr>
        <vertAlign val="subscript"/>
        <sz val="11"/>
        <color theme="1"/>
        <rFont val="Arial"/>
        <family val="2"/>
      </rPr>
      <t>92</t>
    </r>
    <r>
      <rPr>
        <sz val="11"/>
        <color theme="1"/>
        <rFont val="Arial"/>
        <family val="2"/>
      </rPr>
      <t>-PR-VP16</t>
    </r>
    <phoneticPr fontId="3" type="noConversion"/>
  </si>
  <si>
    <r>
      <t xml:space="preserve"> LexA</t>
    </r>
    <r>
      <rPr>
        <vertAlign val="subscript"/>
        <sz val="11"/>
        <color theme="1"/>
        <rFont val="Arial"/>
        <family val="2"/>
      </rPr>
      <t>ec87</t>
    </r>
    <r>
      <rPr>
        <sz val="11"/>
        <color theme="1"/>
        <rFont val="Arial"/>
        <family val="2"/>
      </rPr>
      <t>-ER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</si>
  <si>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>CI434</t>
    </r>
    <r>
      <rPr>
        <vertAlign val="subscript"/>
        <sz val="11"/>
        <color theme="1"/>
        <rFont val="Arial"/>
        <family val="2"/>
      </rPr>
      <t>70</t>
    </r>
    <r>
      <rPr>
        <sz val="11"/>
        <color theme="1"/>
        <rFont val="Arial"/>
        <family val="2"/>
      </rPr>
      <t>-ER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</si>
  <si>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xa101</t>
    </r>
    <r>
      <rPr>
        <sz val="11"/>
        <color theme="1"/>
        <rFont val="Arial"/>
        <family val="2"/>
      </rPr>
      <t>-ER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</si>
  <si>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 xml:space="preserve"> LexA</t>
    </r>
    <r>
      <rPr>
        <vertAlign val="subscript"/>
        <sz val="11"/>
        <color theme="1"/>
        <rFont val="Arial"/>
        <family val="2"/>
      </rPr>
      <t>xa101</t>
    </r>
    <r>
      <rPr>
        <sz val="11"/>
        <color theme="1"/>
        <rFont val="Arial"/>
        <family val="2"/>
      </rPr>
      <t>-PR-VP16</t>
    </r>
    <phoneticPr fontId="3" type="noConversion"/>
  </si>
  <si>
    <r>
      <t>PurR</t>
    </r>
    <r>
      <rPr>
        <vertAlign val="subscript"/>
        <sz val="11"/>
        <color theme="1"/>
        <rFont val="Arial"/>
        <family val="2"/>
      </rPr>
      <t>60</t>
    </r>
    <r>
      <rPr>
        <sz val="11"/>
        <color theme="1"/>
        <rFont val="Arial"/>
        <family val="2"/>
      </rPr>
      <t>-DHBR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</si>
  <si>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fs104</t>
    </r>
    <r>
      <rPr>
        <sz val="11"/>
        <color theme="1"/>
        <rFont val="Arial"/>
        <family val="2"/>
      </rPr>
      <t>-DHBR</t>
    </r>
    <r>
      <rPr>
        <vertAlign val="subscript"/>
        <sz val="11"/>
        <color theme="1"/>
        <rFont val="Arial"/>
        <family val="2"/>
      </rPr>
      <t>282-595</t>
    </r>
    <r>
      <rPr>
        <sz val="11"/>
        <color theme="1"/>
        <rFont val="Arial"/>
        <family val="2"/>
      </rPr>
      <t>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</si>
  <si>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xa101</t>
    </r>
    <r>
      <rPr>
        <sz val="11"/>
        <color theme="1"/>
        <rFont val="Arial"/>
        <family val="2"/>
      </rPr>
      <t>-MR</t>
    </r>
    <r>
      <rPr>
        <vertAlign val="subscript"/>
        <sz val="11"/>
        <color theme="1"/>
        <rFont val="Arial"/>
        <family val="2"/>
      </rPr>
      <t>669-984</t>
    </r>
    <r>
      <rPr>
        <sz val="11"/>
        <color theme="1"/>
        <rFont val="Arial"/>
        <family val="2"/>
      </rPr>
      <t>-VP16</t>
    </r>
    <phoneticPr fontId="3" type="noConversion"/>
  </si>
  <si>
    <t>3OHC14-HSL = 20 uM</t>
    <phoneticPr fontId="3" type="noConversion"/>
  </si>
  <si>
    <t>3OHC14-HS = 0 uM</t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</si>
  <si>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ec87</t>
    </r>
    <r>
      <rPr>
        <sz val="11"/>
        <color theme="1"/>
        <rFont val="Arial"/>
        <family val="2"/>
      </rPr>
      <t>-MR</t>
    </r>
    <r>
      <rPr>
        <vertAlign val="subscript"/>
        <sz val="11"/>
        <color theme="1"/>
        <rFont val="Arial"/>
        <family val="2"/>
      </rPr>
      <t>669-984</t>
    </r>
    <r>
      <rPr>
        <sz val="11"/>
        <color theme="1"/>
        <rFont val="Arial"/>
        <family val="2"/>
      </rPr>
      <t>-VP16</t>
    </r>
  </si>
  <si>
    <r>
      <t>lexA</t>
    </r>
    <r>
      <rPr>
        <vertAlign val="subscript"/>
        <sz val="11"/>
        <rFont val="Arial"/>
        <family val="2"/>
      </rPr>
      <t>ec87</t>
    </r>
    <r>
      <rPr>
        <sz val="11"/>
        <rFont val="Arial"/>
        <family val="2"/>
      </rPr>
      <t>-CarR</t>
    </r>
    <r>
      <rPr>
        <vertAlign val="subscript"/>
        <sz val="11"/>
        <rFont val="Arial"/>
        <family val="2"/>
      </rPr>
      <t>ecc169</t>
    </r>
    <r>
      <rPr>
        <sz val="1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</si>
  <si>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mm115</t>
    </r>
    <r>
      <rPr>
        <sz val="11"/>
        <color theme="1"/>
        <rFont val="Arial"/>
        <family val="2"/>
      </rPr>
      <t>-BjaR</t>
    </r>
    <r>
      <rPr>
        <vertAlign val="subscript"/>
        <sz val="11"/>
        <color theme="1"/>
        <rFont val="Arial"/>
        <family val="2"/>
      </rPr>
      <t>180</t>
    </r>
    <r>
      <rPr>
        <vertAlign val="superscript"/>
        <sz val="11"/>
        <color theme="1"/>
        <rFont val="Arial"/>
        <family val="2"/>
      </rPr>
      <t>S107R</t>
    </r>
    <r>
      <rPr>
        <sz val="11"/>
        <color theme="1"/>
        <rFont val="Arial"/>
        <family val="2"/>
      </rPr>
      <t xml:space="preserve"> NLS-VP16</t>
    </r>
  </si>
  <si>
    <r>
      <t>PurR</t>
    </r>
    <r>
      <rPr>
        <vertAlign val="subscript"/>
        <sz val="11"/>
        <color theme="1"/>
        <rFont val="Arial"/>
        <family val="2"/>
      </rPr>
      <t>60</t>
    </r>
    <r>
      <rPr>
        <sz val="11"/>
        <color theme="1"/>
        <rFont val="Arial"/>
        <family val="2"/>
      </rPr>
      <t>-RpaR</t>
    </r>
    <r>
      <rPr>
        <vertAlign val="subscript"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</si>
  <si>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mm115</t>
    </r>
    <r>
      <rPr>
        <sz val="11"/>
        <color theme="1"/>
        <rFont val="Arial"/>
        <family val="2"/>
      </rPr>
      <t>-RpaR</t>
    </r>
    <r>
      <rPr>
        <vertAlign val="subscript"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</si>
  <si>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fs104</t>
    </r>
    <r>
      <rPr>
        <sz val="11"/>
        <color theme="1"/>
        <rFont val="Arial"/>
        <family val="2"/>
      </rPr>
      <t>-TraR</t>
    </r>
    <r>
      <rPr>
        <vertAlign val="subscript"/>
        <sz val="11"/>
        <color theme="1"/>
        <rFont val="Arial"/>
        <family val="2"/>
      </rPr>
      <t>174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</si>
  <si>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CI434</t>
    </r>
    <r>
      <rPr>
        <vertAlign val="subscript"/>
        <sz val="11"/>
        <color theme="1"/>
        <rFont val="Arial"/>
        <family val="2"/>
      </rPr>
      <t>70</t>
    </r>
    <r>
      <rPr>
        <sz val="11"/>
        <color theme="1"/>
        <rFont val="Arial"/>
        <family val="2"/>
      </rPr>
      <t>-TraR</t>
    </r>
    <r>
      <rPr>
        <vertAlign val="subscript"/>
        <sz val="11"/>
        <color theme="1"/>
        <rFont val="Arial"/>
        <family val="2"/>
      </rPr>
      <t>174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</si>
  <si>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ec87</t>
    </r>
    <r>
      <rPr>
        <sz val="11"/>
        <color theme="1"/>
        <rFont val="Arial"/>
        <family val="2"/>
      </rPr>
      <t>-TraR</t>
    </r>
    <r>
      <rPr>
        <vertAlign val="subscript"/>
        <sz val="11"/>
        <color theme="1"/>
        <rFont val="Arial"/>
        <family val="2"/>
      </rPr>
      <t>174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</si>
  <si>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mm115</t>
    </r>
    <r>
      <rPr>
        <sz val="11"/>
        <color theme="1"/>
        <rFont val="Arial"/>
        <family val="2"/>
      </rPr>
      <t>-BjaR</t>
    </r>
    <r>
      <rPr>
        <vertAlign val="subscript"/>
        <sz val="11"/>
        <color theme="1"/>
        <rFont val="Arial"/>
        <family val="2"/>
      </rPr>
      <t>180</t>
    </r>
    <r>
      <rPr>
        <sz val="11"/>
        <color theme="1"/>
        <rFont val="Arial"/>
        <family val="2"/>
      </rPr>
      <t xml:space="preserve"> NLS-VP16</t>
    </r>
    <phoneticPr fontId="3" type="noConversion"/>
  </si>
  <si>
    <r>
      <t>CI434</t>
    </r>
    <r>
      <rPr>
        <vertAlign val="subscript"/>
        <sz val="11"/>
        <color theme="1"/>
        <rFont val="Arial"/>
        <family val="2"/>
      </rPr>
      <t>70</t>
    </r>
    <r>
      <rPr>
        <sz val="11"/>
        <color theme="1"/>
        <rFont val="Arial"/>
        <family val="2"/>
      </rPr>
      <t>-CinR</t>
    </r>
    <r>
      <rPr>
        <vertAlign val="subscript"/>
        <sz val="11"/>
        <color theme="1"/>
        <rFont val="Arial"/>
        <family val="2"/>
      </rPr>
      <t>179</t>
    </r>
    <r>
      <rPr>
        <sz val="11"/>
        <color theme="1"/>
        <rFont val="Arial"/>
        <family val="2"/>
      </rPr>
      <t xml:space="preserve"> NLS-VP16</t>
    </r>
    <phoneticPr fontId="3" type="noConversion"/>
  </si>
  <si>
    <t>Summary</t>
    <phoneticPr fontId="3" type="noConversion"/>
  </si>
  <si>
    <t>tf_input_label</t>
  </si>
  <si>
    <t>CTF_all_RPU</t>
  </si>
  <si>
    <t>state</t>
  </si>
  <si>
    <t>inducer_uM</t>
  </si>
  <si>
    <t>rep</t>
  </si>
  <si>
    <t>observed_output</t>
  </si>
  <si>
    <t>predicted_output</t>
  </si>
  <si>
    <t>residual_pred_minus_obs</t>
  </si>
  <si>
    <t>p_bound_pred</t>
  </si>
  <si>
    <t>OFF</t>
  </si>
  <si>
    <t>ON</t>
  </si>
  <si>
    <t>precise_dbd</t>
  </si>
  <si>
    <t>estimated_ka</t>
  </si>
  <si>
    <t>precise_ka</t>
  </si>
  <si>
    <t>lbd</t>
  </si>
  <si>
    <t>estimated</t>
  </si>
  <si>
    <t>precise</t>
  </si>
  <si>
    <r>
      <t>lexA</t>
    </r>
    <r>
      <rPr>
        <vertAlign val="subscript"/>
        <sz val="11"/>
        <color theme="1"/>
        <rFont val="Arial"/>
        <family val="2"/>
      </rPr>
      <t>ec87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</si>
  <si>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xa101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</si>
  <si>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gs91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</si>
  <si>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fs104</t>
    </r>
    <phoneticPr fontId="3" type="noConversion"/>
  </si>
  <si>
    <t>Orange: parameters characterization</t>
    <phoneticPr fontId="3" type="noConversion"/>
  </si>
  <si>
    <t>blue:crossvalidation</t>
    <phoneticPr fontId="3" type="noConversion"/>
  </si>
  <si>
    <t>lexA87-CarRecc NLS-VP16</t>
    <phoneticPr fontId="3" type="noConversion"/>
  </si>
  <si>
    <r>
      <t>P</t>
    </r>
    <r>
      <rPr>
        <vertAlign val="subscript"/>
        <sz val="11"/>
        <rFont val="Arial"/>
        <family val="2"/>
      </rPr>
      <t>S.a0b0c0Δ89k_4×lexOec</t>
    </r>
    <phoneticPr fontId="3" type="noConversion"/>
  </si>
  <si>
    <r>
      <t>P</t>
    </r>
    <r>
      <rPr>
        <vertAlign val="subscript"/>
        <sz val="11"/>
        <rFont val="Arial"/>
        <family val="2"/>
      </rPr>
      <t>S.a0b0c0Δ89k_3×lexOec</t>
    </r>
    <phoneticPr fontId="3" type="noConversion"/>
  </si>
  <si>
    <r>
      <t>P</t>
    </r>
    <r>
      <rPr>
        <vertAlign val="subscript"/>
        <sz val="11"/>
        <rFont val="Arial"/>
        <family val="2"/>
      </rPr>
      <t>S.a0b0c0Δ89k_2×lexOec</t>
    </r>
    <phoneticPr fontId="3" type="noConversion"/>
  </si>
  <si>
    <r>
      <t>P</t>
    </r>
    <r>
      <rPr>
        <vertAlign val="subscript"/>
        <sz val="11"/>
        <rFont val="Arial"/>
        <family val="2"/>
      </rPr>
      <t>S.a0b0c0Δ89k_lexOec</t>
    </r>
    <phoneticPr fontId="3" type="noConversion"/>
  </si>
  <si>
    <r>
      <t>P</t>
    </r>
    <r>
      <rPr>
        <vertAlign val="subscript"/>
        <sz val="11"/>
        <rFont val="Arial"/>
        <family val="2"/>
      </rPr>
      <t>S.a0b0c0Δ89k_galO</t>
    </r>
    <phoneticPr fontId="3" type="noConversion"/>
  </si>
  <si>
    <r>
      <t>P</t>
    </r>
    <r>
      <rPr>
        <vertAlign val="subscript"/>
        <sz val="11"/>
        <rFont val="Arial"/>
        <family val="2"/>
      </rPr>
      <t>S.a0b0c0Δ89+kozak</t>
    </r>
    <phoneticPr fontId="3" type="noConversion"/>
  </si>
  <si>
    <r>
      <t>P</t>
    </r>
    <r>
      <rPr>
        <vertAlign val="subscript"/>
        <sz val="11"/>
        <rFont val="Arial"/>
        <family val="2"/>
      </rPr>
      <t>S.a0b0c0Δ135+kozak</t>
    </r>
    <phoneticPr fontId="3" type="noConversion"/>
  </si>
  <si>
    <t>zif268</t>
    <phoneticPr fontId="3" type="noConversion"/>
  </si>
  <si>
    <t>CI43470</t>
    <phoneticPr fontId="3" type="noConversion"/>
  </si>
  <si>
    <t>lexAmm115</t>
    <phoneticPr fontId="3" type="noConversion"/>
  </si>
  <si>
    <t>LexAec87</t>
    <phoneticPr fontId="3" type="noConversion"/>
  </si>
  <si>
    <t>LexAxa101</t>
    <phoneticPr fontId="3" type="noConversion"/>
  </si>
  <si>
    <t>HKCI84</t>
    <phoneticPr fontId="3" type="noConversion"/>
  </si>
  <si>
    <t>RecApact104</t>
    <phoneticPr fontId="3" type="noConversion"/>
  </si>
  <si>
    <t>DeoR92</t>
    <phoneticPr fontId="3" type="noConversion"/>
  </si>
  <si>
    <t>PurR60</t>
    <phoneticPr fontId="3" type="noConversion"/>
  </si>
  <si>
    <t>LexAgs91</t>
    <phoneticPr fontId="3" type="noConversion"/>
  </si>
  <si>
    <t>LexAfs104</t>
    <phoneticPr fontId="3" type="noConversion"/>
  </si>
  <si>
    <t>CI94 OL1</t>
    <phoneticPr fontId="3" type="noConversion"/>
  </si>
  <si>
    <t>CI94 OR1</t>
    <phoneticPr fontId="3" type="noConversion"/>
  </si>
  <si>
    <t>CI94 Osym</t>
    <phoneticPr fontId="3" type="noConversion"/>
  </si>
  <si>
    <t>DBP35opt</t>
    <phoneticPr fontId="3" type="noConversion"/>
  </si>
  <si>
    <t>DBP57</t>
    <phoneticPr fontId="3" type="noConversion"/>
  </si>
  <si>
    <t>Fig.7C</t>
    <phoneticPr fontId="3" type="noConversion"/>
  </si>
  <si>
    <t>Fold change</t>
  </si>
  <si>
    <t>Fold change</t>
    <phoneticPr fontId="3" type="noConversion"/>
  </si>
  <si>
    <r>
      <t>4 sensor:HKCI</t>
    </r>
    <r>
      <rPr>
        <b/>
        <vertAlign val="subscript"/>
        <sz val="12"/>
        <color theme="1"/>
        <rFont val="Arial"/>
        <family val="2"/>
      </rPr>
      <t>84</t>
    </r>
    <r>
      <rPr>
        <b/>
        <sz val="12"/>
        <color theme="1"/>
        <rFont val="Arial"/>
        <family val="2"/>
      </rPr>
      <t>-LasR</t>
    </r>
    <r>
      <rPr>
        <b/>
        <vertAlign val="subscript"/>
        <sz val="12"/>
        <color theme="1"/>
        <rFont val="Arial"/>
        <family val="2"/>
      </rPr>
      <t>177</t>
    </r>
    <r>
      <rPr>
        <b/>
        <sz val="12"/>
        <color theme="1"/>
        <rFont val="Arial"/>
        <family val="2"/>
      </rPr>
      <t xml:space="preserve"> nls-VP16</t>
    </r>
    <phoneticPr fontId="3" type="noConversion"/>
  </si>
  <si>
    <r>
      <t>5 sensor: lexA</t>
    </r>
    <r>
      <rPr>
        <b/>
        <vertAlign val="subscript"/>
        <sz val="12"/>
        <color theme="1"/>
        <rFont val="Arial"/>
        <family val="2"/>
      </rPr>
      <t>xa101</t>
    </r>
    <r>
      <rPr>
        <b/>
        <sz val="12"/>
        <color theme="1"/>
        <rFont val="Arial"/>
        <family val="2"/>
      </rPr>
      <t>-RpaR</t>
    </r>
    <r>
      <rPr>
        <b/>
        <vertAlign val="subscript"/>
        <sz val="12"/>
        <color theme="1"/>
        <rFont val="Arial"/>
        <family val="2"/>
      </rPr>
      <t>179</t>
    </r>
    <r>
      <rPr>
        <b/>
        <sz val="12"/>
        <color theme="1"/>
        <rFont val="Arial"/>
        <family val="2"/>
      </rPr>
      <t xml:space="preserve"> nls-VP16</t>
    </r>
    <phoneticPr fontId="3" type="noConversion"/>
  </si>
  <si>
    <r>
      <t>6 sensor: lexA</t>
    </r>
    <r>
      <rPr>
        <b/>
        <vertAlign val="subscript"/>
        <sz val="12"/>
        <color theme="1"/>
        <rFont val="Arial"/>
        <family val="2"/>
      </rPr>
      <t>ec87</t>
    </r>
    <r>
      <rPr>
        <b/>
        <sz val="12"/>
        <color theme="1"/>
        <rFont val="Arial"/>
        <family val="2"/>
      </rPr>
      <t>-ER</t>
    </r>
    <r>
      <rPr>
        <b/>
        <vertAlign val="subscript"/>
        <sz val="12"/>
        <color theme="1"/>
        <rFont val="Arial"/>
        <family val="2"/>
      </rPr>
      <t>282-595</t>
    </r>
    <r>
      <rPr>
        <b/>
        <sz val="12"/>
        <color theme="1"/>
        <rFont val="Arial"/>
        <family val="2"/>
      </rPr>
      <t>-VP16</t>
    </r>
    <phoneticPr fontId="3" type="noConversion"/>
  </si>
  <si>
    <r>
      <t>7 sensor: lexAmm</t>
    </r>
    <r>
      <rPr>
        <b/>
        <vertAlign val="subscript"/>
        <sz val="12"/>
        <color theme="1"/>
        <rFont val="Arial"/>
        <family val="2"/>
      </rPr>
      <t>115</t>
    </r>
    <r>
      <rPr>
        <b/>
        <sz val="12"/>
        <color theme="1"/>
        <rFont val="Arial"/>
        <family val="2"/>
      </rPr>
      <t>-DHBR</t>
    </r>
    <r>
      <rPr>
        <b/>
        <vertAlign val="subscript"/>
        <sz val="12"/>
        <color theme="1"/>
        <rFont val="Arial"/>
        <family val="2"/>
      </rPr>
      <t>282-595</t>
    </r>
    <r>
      <rPr>
        <b/>
        <sz val="12"/>
        <color theme="1"/>
        <rFont val="Arial"/>
        <family val="2"/>
      </rPr>
      <t>-VP16</t>
    </r>
    <phoneticPr fontId="3" type="noConversion"/>
  </si>
  <si>
    <r>
      <t>8 sensor: lexAgs</t>
    </r>
    <r>
      <rPr>
        <b/>
        <vertAlign val="subscript"/>
        <sz val="12"/>
        <color theme="1"/>
        <rFont val="Arial"/>
        <family val="2"/>
      </rPr>
      <t>91</t>
    </r>
    <r>
      <rPr>
        <b/>
        <sz val="12"/>
        <color theme="1"/>
        <rFont val="Arial"/>
        <family val="2"/>
      </rPr>
      <t>-acVHH nls-VP16</t>
    </r>
    <phoneticPr fontId="3" type="noConversion"/>
  </si>
  <si>
    <r>
      <t>12 sensor: lexAbs</t>
    </r>
    <r>
      <rPr>
        <b/>
        <vertAlign val="subscript"/>
        <sz val="12"/>
        <color theme="1"/>
        <rFont val="Arial"/>
        <family val="2"/>
      </rPr>
      <t>94</t>
    </r>
    <r>
      <rPr>
        <b/>
        <sz val="12"/>
        <color theme="1"/>
        <rFont val="Arial"/>
        <family val="2"/>
      </rPr>
      <t>-LuxR</t>
    </r>
    <r>
      <rPr>
        <b/>
        <vertAlign val="subscript"/>
        <sz val="12"/>
        <color theme="1"/>
        <rFont val="Arial"/>
        <family val="2"/>
      </rPr>
      <t>183</t>
    </r>
    <r>
      <rPr>
        <b/>
        <vertAlign val="superscript"/>
        <sz val="12"/>
        <color theme="1"/>
        <rFont val="Arial"/>
        <family val="2"/>
      </rPr>
      <t>S116Y</t>
    </r>
    <r>
      <rPr>
        <b/>
        <sz val="12"/>
        <color theme="1"/>
        <rFont val="Arial"/>
        <family val="2"/>
      </rPr>
      <t>nls-VP16</t>
    </r>
    <phoneticPr fontId="3" type="noConversion"/>
  </si>
  <si>
    <r>
      <t>11 sensor: PurR</t>
    </r>
    <r>
      <rPr>
        <b/>
        <vertAlign val="subscript"/>
        <sz val="12"/>
        <color theme="1"/>
        <rFont val="Arial"/>
        <family val="2"/>
      </rPr>
      <t>60</t>
    </r>
    <r>
      <rPr>
        <b/>
        <sz val="12"/>
        <color theme="1"/>
        <rFont val="Arial"/>
        <family val="2"/>
      </rPr>
      <t>-BjaR</t>
    </r>
    <r>
      <rPr>
        <b/>
        <vertAlign val="subscript"/>
        <sz val="12"/>
        <color theme="1"/>
        <rFont val="Arial"/>
        <family val="2"/>
      </rPr>
      <t>180</t>
    </r>
    <r>
      <rPr>
        <b/>
        <vertAlign val="superscript"/>
        <sz val="12"/>
        <color theme="1"/>
        <rFont val="Arial"/>
        <family val="2"/>
      </rPr>
      <t>S107R</t>
    </r>
    <r>
      <rPr>
        <b/>
        <sz val="12"/>
        <color theme="1"/>
        <rFont val="Arial"/>
        <family val="2"/>
      </rPr>
      <t>nls-VP16</t>
    </r>
    <phoneticPr fontId="3" type="noConversion"/>
  </si>
  <si>
    <r>
      <t>10 sensor: CI</t>
    </r>
    <r>
      <rPr>
        <b/>
        <vertAlign val="subscript"/>
        <sz val="12"/>
        <color theme="1"/>
        <rFont val="Arial"/>
        <family val="2"/>
      </rPr>
      <t>94</t>
    </r>
    <r>
      <rPr>
        <b/>
        <sz val="12"/>
        <color theme="1"/>
        <rFont val="Arial"/>
        <family val="2"/>
      </rPr>
      <t>-PR-VP16</t>
    </r>
    <phoneticPr fontId="3" type="noConversion"/>
  </si>
  <si>
    <r>
      <t>9 sensor: CI434</t>
    </r>
    <r>
      <rPr>
        <b/>
        <vertAlign val="subscript"/>
        <sz val="12"/>
        <color theme="1"/>
        <rFont val="Arial"/>
        <family val="2"/>
      </rPr>
      <t>70</t>
    </r>
    <r>
      <rPr>
        <b/>
        <sz val="12"/>
        <color theme="1"/>
        <rFont val="Arial"/>
        <family val="2"/>
      </rPr>
      <t>-CinR</t>
    </r>
    <r>
      <rPr>
        <b/>
        <vertAlign val="subscript"/>
        <sz val="12"/>
        <color theme="1"/>
        <rFont val="Arial"/>
        <family val="2"/>
      </rPr>
      <t>179</t>
    </r>
    <r>
      <rPr>
        <b/>
        <sz val="12"/>
        <color theme="1"/>
        <rFont val="Arial"/>
        <family val="2"/>
      </rPr>
      <t xml:space="preserve"> nls-VP16</t>
    </r>
    <phoneticPr fontId="3" type="noConversion"/>
  </si>
  <si>
    <r>
      <t>CI</t>
    </r>
    <r>
      <rPr>
        <vertAlign val="subscript"/>
        <sz val="11"/>
        <color theme="1"/>
        <rFont val="Arial"/>
        <family val="2"/>
      </rPr>
      <t>94</t>
    </r>
    <phoneticPr fontId="3" type="noConversion"/>
  </si>
  <si>
    <t>f-1</t>
    <phoneticPr fontId="3" type="noConversion"/>
  </si>
  <si>
    <t>f-2</t>
    <phoneticPr fontId="3" type="noConversion"/>
  </si>
  <si>
    <t>f-3</t>
    <phoneticPr fontId="3" type="noConversion"/>
  </si>
  <si>
    <t>spUP</t>
    <phoneticPr fontId="3" type="noConversion"/>
  </si>
  <si>
    <t>spC1</t>
    <phoneticPr fontId="3" type="noConversion"/>
  </si>
  <si>
    <t>spC2</t>
    <phoneticPr fontId="3" type="noConversion"/>
  </si>
  <si>
    <t>spC3</t>
    <phoneticPr fontId="3" type="noConversion"/>
  </si>
  <si>
    <t>Supplementary Figure 2F</t>
    <phoneticPr fontId="3" type="noConversion"/>
  </si>
  <si>
    <t>Supplementary Figure 2A</t>
    <phoneticPr fontId="3" type="noConversion"/>
  </si>
  <si>
    <t>Supplementary Figure 2B</t>
    <phoneticPr fontId="3" type="noConversion"/>
  </si>
  <si>
    <t>Supplementary Figure 2C</t>
    <phoneticPr fontId="3" type="noConversion"/>
  </si>
  <si>
    <t>Supplementary Figure 2D</t>
    <phoneticPr fontId="3" type="noConversion"/>
  </si>
  <si>
    <t>Supplementary Figure 2E</t>
    <phoneticPr fontId="3" type="noConversion"/>
  </si>
  <si>
    <t>Supplementary Figure 3A</t>
    <phoneticPr fontId="3" type="noConversion"/>
  </si>
  <si>
    <t>Supplementary Figure 3C</t>
    <phoneticPr fontId="3" type="noConversion"/>
  </si>
  <si>
    <t>Supplementary Figure 3 B</t>
    <phoneticPr fontId="3" type="noConversion"/>
  </si>
  <si>
    <t>Supplementary Figure 3 F</t>
    <phoneticPr fontId="3" type="noConversion"/>
  </si>
  <si>
    <t>Supplementary Figure 3 E</t>
    <phoneticPr fontId="3" type="noConversion"/>
  </si>
  <si>
    <t>Supplementary Figure 3 D</t>
    <phoneticPr fontId="3" type="noConversion"/>
  </si>
  <si>
    <t>7G</t>
    <phoneticPr fontId="3" type="noConversion"/>
  </si>
  <si>
    <t>Input RPU</t>
  </si>
  <si>
    <t>0.226042*</t>
  </si>
  <si>
    <t>0.103917*</t>
  </si>
  <si>
    <t xml:space="preserve">100 μM DHB </t>
    <phoneticPr fontId="3" type="noConversion"/>
  </si>
  <si>
    <t>1 μM beta-estradiol</t>
    <phoneticPr fontId="3" type="noConversion"/>
  </si>
  <si>
    <t xml:space="preserve">DeoR92 4.32 </t>
    <phoneticPr fontId="3" type="noConversion"/>
  </si>
  <si>
    <t>lexAbs94 0.66</t>
    <phoneticPr fontId="3" type="noConversion"/>
  </si>
  <si>
    <t>fold change</t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</si>
  <si>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mm115</t>
    </r>
    <phoneticPr fontId="3" type="noConversion"/>
  </si>
  <si>
    <r>
      <t>CI</t>
    </r>
    <r>
      <rPr>
        <vertAlign val="subscript"/>
        <sz val="11"/>
        <color theme="1"/>
        <rFont val="Arial"/>
        <family val="2"/>
      </rPr>
      <t>94</t>
    </r>
    <r>
      <rPr>
        <sz val="11"/>
        <color theme="1"/>
        <rFont val="Arial"/>
        <family val="2"/>
      </rPr>
      <t xml:space="preserve"> OL1</t>
    </r>
    <phoneticPr fontId="3" type="noConversion"/>
  </si>
  <si>
    <r>
      <t>CI</t>
    </r>
    <r>
      <rPr>
        <vertAlign val="subscript"/>
        <sz val="11"/>
        <color theme="1"/>
        <rFont val="Arial"/>
        <family val="2"/>
      </rPr>
      <t>94</t>
    </r>
    <r>
      <rPr>
        <sz val="11"/>
        <color theme="1"/>
        <rFont val="Arial"/>
        <family val="2"/>
      </rPr>
      <t xml:space="preserve"> Osym</t>
    </r>
    <phoneticPr fontId="3" type="noConversion"/>
  </si>
  <si>
    <t>BY4741 CIC-12</t>
  </si>
  <si>
    <t>Sensor</t>
  </si>
  <si>
    <t>Strain</t>
  </si>
  <si>
    <t>Reporter</t>
  </si>
  <si>
    <t>OFF concentration</t>
  </si>
  <si>
    <t>ON concentration</t>
  </si>
  <si>
    <t>TetR NLS</t>
    <phoneticPr fontId="3" type="noConversion"/>
  </si>
  <si>
    <t>XlnR</t>
    <phoneticPr fontId="3" type="noConversion"/>
  </si>
  <si>
    <t>LacI NLS</t>
    <phoneticPr fontId="3" type="noConversion"/>
  </si>
  <si>
    <t>Summary Table</t>
    <phoneticPr fontId="3" type="noConversion"/>
  </si>
  <si>
    <t>HKCI-LasR-VP16</t>
    <phoneticPr fontId="3" type="noConversion"/>
  </si>
  <si>
    <t>LexAxa101-RpaR179-VP16</t>
    <phoneticPr fontId="3" type="noConversion"/>
  </si>
  <si>
    <t>LexAec87-ER-VP16</t>
    <phoneticPr fontId="3" type="noConversion"/>
  </si>
  <si>
    <t>LexAmm115-DHBR-VP16</t>
    <phoneticPr fontId="3" type="noConversion"/>
  </si>
  <si>
    <t>LexAgs91-acVHH-VP16</t>
    <phoneticPr fontId="3" type="noConversion"/>
  </si>
  <si>
    <t>CI434-Cin-VP16</t>
    <phoneticPr fontId="3" type="noConversion"/>
  </si>
  <si>
    <t>CI-PR-VP16</t>
    <phoneticPr fontId="3" type="noConversion"/>
  </si>
  <si>
    <t>PurR-BjaR-VP16</t>
    <phoneticPr fontId="3" type="noConversion"/>
  </si>
  <si>
    <t>LexAbs94-LuxR-VP16</t>
    <phoneticPr fontId="3" type="noConversion"/>
  </si>
  <si>
    <t>50 mM</t>
    <phoneticPr fontId="3" type="noConversion"/>
  </si>
  <si>
    <t>20 mM</t>
    <phoneticPr fontId="3" type="noConversion"/>
  </si>
  <si>
    <t>10 uM</t>
    <phoneticPr fontId="3" type="noConversion"/>
  </si>
  <si>
    <t>1000 uM</t>
    <phoneticPr fontId="3" type="noConversion"/>
  </si>
  <si>
    <t>1 uM</t>
    <phoneticPr fontId="3" type="noConversion"/>
  </si>
  <si>
    <t>100 uM</t>
    <phoneticPr fontId="3" type="noConversion"/>
  </si>
  <si>
    <t>25 uM</t>
    <phoneticPr fontId="3" type="noConversion"/>
  </si>
  <si>
    <t>Raw OFF mean (RPU)</t>
    <phoneticPr fontId="3" type="noConversion"/>
  </si>
  <si>
    <t>Raw ON mean  (RPU)</t>
    <phoneticPr fontId="3" type="noConversion"/>
  </si>
  <si>
    <t>gd281</t>
    <phoneticPr fontId="3" type="noConversion"/>
  </si>
  <si>
    <t>m115</t>
    <phoneticPr fontId="3" type="noConversion"/>
  </si>
  <si>
    <t>gd373</t>
    <phoneticPr fontId="3" type="noConversion"/>
  </si>
  <si>
    <t>ZY615</t>
    <phoneticPr fontId="3" type="noConversion"/>
  </si>
  <si>
    <t>ZY226</t>
    <phoneticPr fontId="3" type="noConversion"/>
  </si>
  <si>
    <t>ZY611</t>
    <phoneticPr fontId="3" type="noConversion"/>
  </si>
  <si>
    <t>ZY613</t>
    <phoneticPr fontId="3" type="noConversion"/>
  </si>
  <si>
    <t>ZY620</t>
    <phoneticPr fontId="3" type="noConversion"/>
  </si>
  <si>
    <t>ZY612</t>
    <phoneticPr fontId="3" type="noConversion"/>
  </si>
  <si>
    <t>ZY622</t>
    <phoneticPr fontId="3" type="noConversion"/>
  </si>
  <si>
    <t>ZY618</t>
    <phoneticPr fontId="3" type="noConversion"/>
  </si>
  <si>
    <t>LXR74</t>
    <phoneticPr fontId="3" type="noConversion"/>
  </si>
  <si>
    <t>Reporter:ZY622</t>
    <phoneticPr fontId="3" type="noConversion"/>
  </si>
  <si>
    <r>
      <t>100 ng mL</t>
    </r>
    <r>
      <rPr>
        <vertAlign val="superscript"/>
        <sz val="11"/>
        <color theme="1"/>
        <rFont val="Arial"/>
        <family val="2"/>
      </rPr>
      <t>-1</t>
    </r>
    <phoneticPr fontId="3" type="noConversion"/>
  </si>
  <si>
    <t>Fig.7F</t>
    <phoneticPr fontId="3" type="noConversion"/>
  </si>
  <si>
    <t>BY4741</t>
  </si>
  <si>
    <t>CEN.PK2-1C</t>
    <phoneticPr fontId="3" type="noConversion"/>
  </si>
  <si>
    <t>Supplementary Figure 14D</t>
    <phoneticPr fontId="3" type="noConversion"/>
  </si>
  <si>
    <t>Supplementary Figure 14B</t>
    <phoneticPr fontId="3" type="noConversion"/>
  </si>
  <si>
    <t>Supplementary Figure 14C</t>
    <phoneticPr fontId="3" type="noConversion"/>
  </si>
  <si>
    <t>Supplementary Figure 14F</t>
    <phoneticPr fontId="3" type="noConversion"/>
  </si>
  <si>
    <t>Supplementary Figure 14E</t>
    <phoneticPr fontId="3" type="noConversion"/>
  </si>
  <si>
    <t>Figure 4E</t>
    <phoneticPr fontId="3" type="noConversion"/>
  </si>
  <si>
    <t>Figure 4D</t>
    <phoneticPr fontId="3" type="noConversion"/>
  </si>
  <si>
    <t>Figure 4B</t>
    <phoneticPr fontId="3" type="noConversion"/>
  </si>
  <si>
    <t>Figure 4C</t>
    <phoneticPr fontId="3" type="noConversion"/>
  </si>
  <si>
    <t>Figure 3B</t>
    <phoneticPr fontId="3" type="noConversion"/>
  </si>
  <si>
    <t>Figure 3C</t>
    <phoneticPr fontId="3" type="noConversion"/>
  </si>
  <si>
    <t>Figure 3D</t>
    <phoneticPr fontId="3" type="noConversion"/>
  </si>
  <si>
    <t>Figure 3E</t>
    <phoneticPr fontId="3" type="noConversion"/>
  </si>
  <si>
    <t>Figure 3I</t>
    <phoneticPr fontId="3" type="noConversion"/>
  </si>
  <si>
    <t>Figure 3J</t>
    <phoneticPr fontId="3" type="noConversion"/>
  </si>
  <si>
    <t>Figure 3H</t>
    <phoneticPr fontId="3" type="noConversion"/>
  </si>
  <si>
    <t>NA</t>
    <phoneticPr fontId="3" type="noConversion"/>
  </si>
  <si>
    <t>RPU&lt;0</t>
    <phoneticPr fontId="3" type="noConversion"/>
  </si>
  <si>
    <r>
      <t>Normalized OD</t>
    </r>
    <r>
      <rPr>
        <vertAlign val="subscript"/>
        <sz val="11"/>
        <color theme="1"/>
        <rFont val="Arial"/>
        <family val="2"/>
      </rPr>
      <t>600</t>
    </r>
    <phoneticPr fontId="3" type="noConversion"/>
  </si>
  <si>
    <t>0.052*</t>
    <phoneticPr fontId="3" type="noConversion"/>
  </si>
  <si>
    <t>0.073*</t>
    <phoneticPr fontId="3" type="noConversion"/>
  </si>
  <si>
    <t>0.126*</t>
    <phoneticPr fontId="3" type="noConversion"/>
  </si>
  <si>
    <t>Values marked with an asterisk (*) indicate technical failures and were excluded from statistical analyses.</t>
    <phoneticPr fontId="3" type="noConversion"/>
  </si>
  <si>
    <t>arithmetic mean</t>
  </si>
  <si>
    <t>napp</t>
    <phoneticPr fontId="3" type="noConversion"/>
  </si>
  <si>
    <t>Bootstrap high 97.5%</t>
    <phoneticPr fontId="3" type="noConversion"/>
  </si>
  <si>
    <t>Bootstrap low 2.5%</t>
    <phoneticPr fontId="3" type="noConversion"/>
  </si>
  <si>
    <t>Reporter:ZY614</t>
    <phoneticPr fontId="3" type="noConversion"/>
  </si>
  <si>
    <r>
      <t>lexA</t>
    </r>
    <r>
      <rPr>
        <vertAlign val="subscript"/>
        <sz val="10"/>
        <rFont val="Arial"/>
        <family val="2"/>
      </rPr>
      <t>bs94</t>
    </r>
    <r>
      <rPr>
        <sz val="10"/>
        <rFont val="Arial"/>
        <family val="2"/>
      </rPr>
      <t>-AraC</t>
    </r>
    <r>
      <rPr>
        <vertAlign val="subscript"/>
        <sz val="10"/>
        <rFont val="Arial"/>
        <family val="2"/>
      </rPr>
      <t>179</t>
    </r>
    <r>
      <rPr>
        <sz val="10"/>
        <rFont val="Arial"/>
        <family val="2"/>
      </rPr>
      <t xml:space="preserve"> nls-VP16(LXR351)</t>
    </r>
    <phoneticPr fontId="3" type="noConversion"/>
  </si>
  <si>
    <r>
      <t>lexA</t>
    </r>
    <r>
      <rPr>
        <vertAlign val="subscript"/>
        <sz val="10"/>
        <rFont val="Arial"/>
        <family val="2"/>
      </rPr>
      <t>bs94</t>
    </r>
    <r>
      <rPr>
        <sz val="10"/>
        <rFont val="Arial"/>
        <family val="2"/>
      </rPr>
      <t>-VanR</t>
    </r>
    <r>
      <rPr>
        <vertAlign val="subscript"/>
        <sz val="10"/>
        <rFont val="Arial"/>
        <family val="2"/>
      </rPr>
      <t>244</t>
    </r>
    <r>
      <rPr>
        <sz val="10"/>
        <rFont val="Arial"/>
        <family val="2"/>
      </rPr>
      <t xml:space="preserve"> nls-VP16 (LXR365)</t>
    </r>
    <phoneticPr fontId="3" type="noConversion"/>
  </si>
  <si>
    <r>
      <t>lexA</t>
    </r>
    <r>
      <rPr>
        <vertAlign val="subscript"/>
        <sz val="10"/>
        <rFont val="Arial"/>
        <family val="2"/>
      </rPr>
      <t>bs94</t>
    </r>
    <r>
      <rPr>
        <sz val="10"/>
        <rFont val="Arial"/>
        <family val="2"/>
      </rPr>
      <t>-VanRam</t>
    </r>
    <r>
      <rPr>
        <vertAlign val="subscript"/>
        <sz val="10"/>
        <rFont val="Arial"/>
        <family val="2"/>
      </rPr>
      <t>60-244</t>
    </r>
    <r>
      <rPr>
        <sz val="10"/>
        <rFont val="Arial"/>
        <family val="2"/>
      </rPr>
      <t xml:space="preserve"> nls-VP16 (LXR366)</t>
    </r>
    <phoneticPr fontId="3" type="noConversion"/>
  </si>
  <si>
    <r>
      <t>lexA</t>
    </r>
    <r>
      <rPr>
        <vertAlign val="subscript"/>
        <sz val="10"/>
        <rFont val="Arial"/>
        <family val="2"/>
      </rPr>
      <t>fs104</t>
    </r>
    <r>
      <rPr>
        <sz val="10"/>
        <rFont val="Arial"/>
        <family val="2"/>
      </rPr>
      <t>-VanRam</t>
    </r>
    <r>
      <rPr>
        <vertAlign val="subscript"/>
        <sz val="10"/>
        <rFont val="Arial"/>
        <family val="2"/>
      </rPr>
      <t>244</t>
    </r>
    <r>
      <rPr>
        <sz val="10"/>
        <rFont val="Arial"/>
        <family val="2"/>
      </rPr>
      <t xml:space="preserve"> nls-VP16(LXR409)</t>
    </r>
    <phoneticPr fontId="3" type="noConversion"/>
  </si>
  <si>
    <r>
      <t>lexA</t>
    </r>
    <r>
      <rPr>
        <vertAlign val="subscript"/>
        <sz val="10"/>
        <rFont val="Arial"/>
        <family val="2"/>
      </rPr>
      <t>gs91</t>
    </r>
    <r>
      <rPr>
        <sz val="10"/>
        <rFont val="Arial"/>
        <family val="2"/>
      </rPr>
      <t>-VanRam</t>
    </r>
    <r>
      <rPr>
        <vertAlign val="subscript"/>
        <sz val="10"/>
        <rFont val="Arial"/>
        <family val="2"/>
      </rPr>
      <t>244</t>
    </r>
    <r>
      <rPr>
        <sz val="10"/>
        <rFont val="Arial"/>
        <family val="2"/>
      </rPr>
      <t xml:space="preserve"> nls-VP16(LXR410)</t>
    </r>
    <phoneticPr fontId="3" type="noConversion"/>
  </si>
  <si>
    <t>lexA-VP16</t>
  </si>
  <si>
    <t>28.12161*</t>
  </si>
  <si>
    <t>24.70509*</t>
  </si>
  <si>
    <t>26.1551*</t>
  </si>
  <si>
    <t>4.018373*</t>
  </si>
  <si>
    <t>4.025722*</t>
  </si>
  <si>
    <t>5.444898*</t>
  </si>
  <si>
    <t>3.847769*</t>
  </si>
  <si>
    <t>5.959749*</t>
  </si>
  <si>
    <t>5.120408*</t>
  </si>
  <si>
    <t>LexA-RpaR-VP16(+-)</t>
  </si>
  <si>
    <t>LexA-RpaR-VP16(++)</t>
  </si>
  <si>
    <t>17.29921*</t>
  </si>
  <si>
    <t>18.55585*</t>
  </si>
  <si>
    <t>16.10308*</t>
  </si>
  <si>
    <t>16.40412*</t>
  </si>
  <si>
    <t>15.41429*</t>
  </si>
  <si>
    <t>16.54996*</t>
  </si>
  <si>
    <t>22.36264*</t>
  </si>
  <si>
    <t>0.479446*</t>
  </si>
  <si>
    <t>19.28785*</t>
  </si>
  <si>
    <t>0.503093*</t>
  </si>
  <si>
    <t>23.2898*</t>
  </si>
  <si>
    <t>0.464736*</t>
  </si>
  <si>
    <t>LexA87-RpaR-VP16(+-)</t>
  </si>
  <si>
    <t>LexA87-RpaR-VP16(++)</t>
  </si>
  <si>
    <t>22.56824147*</t>
  </si>
  <si>
    <t>23.47989*</t>
  </si>
  <si>
    <t>21.9287257*</t>
  </si>
  <si>
    <t>22.33814*</t>
  </si>
  <si>
    <t>22.5204082*</t>
  </si>
  <si>
    <t>23.23552*</t>
  </si>
  <si>
    <t>LexA87-RpaR179-VP16(+-)</t>
  </si>
  <si>
    <t>LexA87-RpaR179-VP16(++)</t>
  </si>
  <si>
    <t>28.4671916*</t>
  </si>
  <si>
    <t>25.57775*</t>
  </si>
  <si>
    <t>24.55389751*</t>
  </si>
  <si>
    <t>26.10515*</t>
  </si>
  <si>
    <t>26.0755102*</t>
  </si>
  <si>
    <t>26.09446*</t>
  </si>
  <si>
    <t>LexA-ER-VP16(+-)</t>
  </si>
  <si>
    <t>LexA-ER-VP16(++)</t>
  </si>
  <si>
    <t>25.19291*</t>
  </si>
  <si>
    <t>35.895*</t>
  </si>
  <si>
    <t>21.99745*</t>
  </si>
  <si>
    <t>26.66804*</t>
  </si>
  <si>
    <t>20.42245*</t>
  </si>
  <si>
    <t>26.65911*</t>
  </si>
  <si>
    <t>13.62686*</t>
  </si>
  <si>
    <t>41.05362*</t>
  </si>
  <si>
    <t>1.237581*</t>
  </si>
  <si>
    <t>0.824742*</t>
  </si>
  <si>
    <t>14.81429*</t>
  </si>
  <si>
    <t>1.222502*</t>
  </si>
  <si>
    <t>0.075459*</t>
  </si>
  <si>
    <t>0.050268*</t>
  </si>
  <si>
    <t>0.021991*</t>
  </si>
  <si>
    <t>0.058969*</t>
  </si>
  <si>
    <t>0.029796*</t>
  </si>
  <si>
    <t>0.082704*</t>
  </si>
  <si>
    <t>log10(RPU)</t>
  </si>
  <si>
    <t>OD600</t>
  </si>
  <si>
    <t>Normalized OD600</t>
  </si>
  <si>
    <t>389+384</t>
  </si>
  <si>
    <t>3OC8/uM</t>
  </si>
  <si>
    <t>1.303057</t>
  </si>
  <si>
    <t>C4/nM</t>
  </si>
  <si>
    <t>IV-HSL/uM</t>
  </si>
  <si>
    <t>Supplementary Figure 11A</t>
    <phoneticPr fontId="3" type="noConversion"/>
  </si>
  <si>
    <t>Supplementary Figure 11B</t>
    <phoneticPr fontId="3" type="noConversion"/>
  </si>
  <si>
    <r>
      <t>Osym+CI</t>
    </r>
    <r>
      <rPr>
        <vertAlign val="subscript"/>
        <sz val="10"/>
        <rFont val="Arial"/>
        <family val="2"/>
      </rPr>
      <t>94</t>
    </r>
    <r>
      <rPr>
        <sz val="10"/>
        <rFont val="Arial"/>
        <family val="2"/>
      </rPr>
      <t>-SmaR</t>
    </r>
    <r>
      <rPr>
        <vertAlign val="subscript"/>
        <sz val="10"/>
        <rFont val="Arial"/>
        <family val="2"/>
      </rPr>
      <t>179</t>
    </r>
    <r>
      <rPr>
        <sz val="10"/>
        <rFont val="Arial"/>
        <family val="2"/>
      </rPr>
      <t>-VP16</t>
    </r>
    <phoneticPr fontId="3" type="noConversion"/>
  </si>
  <si>
    <r>
      <t>lexA</t>
    </r>
    <r>
      <rPr>
        <vertAlign val="subscript"/>
        <sz val="10"/>
        <rFont val="Arial"/>
        <family val="2"/>
      </rPr>
      <t>bs94</t>
    </r>
    <r>
      <rPr>
        <sz val="10"/>
        <rFont val="Arial"/>
        <family val="2"/>
      </rPr>
      <t>(RPU=4.59)</t>
    </r>
    <phoneticPr fontId="3" type="noConversion"/>
  </si>
  <si>
    <r>
      <t>PurR</t>
    </r>
    <r>
      <rPr>
        <vertAlign val="subscript"/>
        <sz val="10"/>
        <rFont val="Arial"/>
        <family val="2"/>
      </rPr>
      <t>60</t>
    </r>
    <r>
      <rPr>
        <sz val="10"/>
        <rFont val="Arial"/>
        <family val="2"/>
      </rPr>
      <t>(RPU=9.05)</t>
    </r>
    <phoneticPr fontId="3" type="noConversion"/>
  </si>
  <si>
    <r>
      <t>lexA</t>
    </r>
    <r>
      <rPr>
        <vertAlign val="subscript"/>
        <sz val="10"/>
        <rFont val="Arial"/>
        <family val="2"/>
      </rPr>
      <t>bs94</t>
    </r>
    <r>
      <rPr>
        <sz val="10"/>
        <rFont val="Arial"/>
        <family val="2"/>
      </rPr>
      <t>(RPU=0.15)</t>
    </r>
    <phoneticPr fontId="3" type="noConversion"/>
  </si>
  <si>
    <r>
      <t>403 CI434</t>
    </r>
    <r>
      <rPr>
        <b/>
        <vertAlign val="subscript"/>
        <sz val="11"/>
        <color theme="1"/>
        <rFont val="等线"/>
        <family val="3"/>
        <charset val="134"/>
        <scheme val="minor"/>
      </rPr>
      <t>70</t>
    </r>
    <r>
      <rPr>
        <b/>
        <sz val="11"/>
        <color theme="1"/>
        <rFont val="等线"/>
        <family val="3"/>
        <charset val="134"/>
        <scheme val="minor"/>
      </rPr>
      <t>-ER</t>
    </r>
    <r>
      <rPr>
        <b/>
        <vertAlign val="subscript"/>
        <sz val="11"/>
        <color theme="1"/>
        <rFont val="等线"/>
        <family val="3"/>
        <charset val="134"/>
        <scheme val="minor"/>
      </rPr>
      <t>282-595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</si>
  <si>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404 LexA</t>
    </r>
    <r>
      <rPr>
        <b/>
        <vertAlign val="subscript"/>
        <sz val="11"/>
        <color theme="1"/>
        <rFont val="等线"/>
        <family val="3"/>
        <charset val="134"/>
        <scheme val="minor"/>
      </rPr>
      <t>ec87</t>
    </r>
    <r>
      <rPr>
        <b/>
        <sz val="11"/>
        <color theme="1"/>
        <rFont val="等线"/>
        <family val="3"/>
        <charset val="134"/>
        <scheme val="minor"/>
      </rPr>
      <t>-ER</t>
    </r>
    <r>
      <rPr>
        <b/>
        <vertAlign val="subscript"/>
        <sz val="11"/>
        <color theme="1"/>
        <rFont val="等线"/>
        <family val="3"/>
        <charset val="134"/>
        <scheme val="minor"/>
      </rPr>
      <t>282-595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</si>
  <si>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405 LexA</t>
    </r>
    <r>
      <rPr>
        <b/>
        <vertAlign val="subscript"/>
        <sz val="11"/>
        <color theme="1"/>
        <rFont val="等线"/>
        <family val="3"/>
        <charset val="134"/>
        <scheme val="minor"/>
      </rPr>
      <t>xa101</t>
    </r>
    <r>
      <rPr>
        <b/>
        <sz val="11"/>
        <color theme="1"/>
        <rFont val="等线"/>
        <family val="3"/>
        <charset val="134"/>
        <scheme val="minor"/>
      </rPr>
      <t>-ER</t>
    </r>
    <r>
      <rPr>
        <b/>
        <vertAlign val="subscript"/>
        <sz val="11"/>
        <color theme="1"/>
        <rFont val="等线"/>
        <family val="3"/>
        <charset val="134"/>
        <scheme val="minor"/>
      </rPr>
      <t>282-595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</si>
  <si>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406 PurR</t>
    </r>
    <r>
      <rPr>
        <b/>
        <vertAlign val="subscript"/>
        <sz val="11"/>
        <color theme="1"/>
        <rFont val="等线"/>
        <family val="3"/>
        <charset val="134"/>
        <scheme val="minor"/>
      </rPr>
      <t>60</t>
    </r>
    <r>
      <rPr>
        <b/>
        <sz val="11"/>
        <color theme="1"/>
        <rFont val="等线"/>
        <family val="3"/>
        <charset val="134"/>
        <scheme val="minor"/>
      </rPr>
      <t>-RpaR</t>
    </r>
    <r>
      <rPr>
        <b/>
        <vertAlign val="subscript"/>
        <sz val="11"/>
        <color theme="1"/>
        <rFont val="等线"/>
        <family val="3"/>
        <charset val="134"/>
        <scheme val="minor"/>
      </rPr>
      <t>179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</si>
  <si>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408 PurR</t>
    </r>
    <r>
      <rPr>
        <b/>
        <vertAlign val="subscript"/>
        <sz val="11"/>
        <color theme="1"/>
        <rFont val="等线"/>
        <family val="3"/>
        <charset val="134"/>
        <scheme val="minor"/>
      </rPr>
      <t>60</t>
    </r>
    <r>
      <rPr>
        <b/>
        <sz val="11"/>
        <color theme="1"/>
        <rFont val="等线"/>
        <family val="3"/>
        <charset val="134"/>
        <scheme val="minor"/>
      </rPr>
      <t>-DHBR</t>
    </r>
    <r>
      <rPr>
        <b/>
        <vertAlign val="subscript"/>
        <sz val="11"/>
        <color theme="1"/>
        <rFont val="等线"/>
        <family val="3"/>
        <charset val="134"/>
        <scheme val="minor"/>
      </rPr>
      <t>282-595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</si>
  <si>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412 LexA</t>
    </r>
    <r>
      <rPr>
        <b/>
        <vertAlign val="subscript"/>
        <sz val="11"/>
        <color theme="1"/>
        <rFont val="等线"/>
        <family val="3"/>
        <charset val="134"/>
        <scheme val="minor"/>
      </rPr>
      <t>xa101</t>
    </r>
    <r>
      <rPr>
        <b/>
        <sz val="11"/>
        <color theme="1"/>
        <rFont val="等线"/>
        <family val="3"/>
        <charset val="134"/>
        <scheme val="minor"/>
      </rPr>
      <t>-PR-VP16</t>
    </r>
    <phoneticPr fontId="3" type="noConversion"/>
  </si>
  <si>
    <r>
      <t>409 LexA</t>
    </r>
    <r>
      <rPr>
        <b/>
        <vertAlign val="subscript"/>
        <sz val="11"/>
        <color theme="1"/>
        <rFont val="等线"/>
        <family val="3"/>
        <charset val="134"/>
        <scheme val="minor"/>
      </rPr>
      <t>fs104</t>
    </r>
    <r>
      <rPr>
        <b/>
        <sz val="11"/>
        <color theme="1"/>
        <rFont val="等线"/>
        <family val="3"/>
        <charset val="134"/>
        <scheme val="minor"/>
      </rPr>
      <t>-DHBR</t>
    </r>
    <r>
      <rPr>
        <b/>
        <vertAlign val="subscript"/>
        <sz val="11"/>
        <color theme="1"/>
        <rFont val="等线"/>
        <family val="3"/>
        <charset val="134"/>
        <scheme val="minor"/>
      </rPr>
      <t>282-595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</si>
  <si>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414 LexA</t>
    </r>
    <r>
      <rPr>
        <b/>
        <vertAlign val="subscript"/>
        <sz val="11"/>
        <color theme="1"/>
        <rFont val="等线"/>
        <family val="3"/>
        <charset val="134"/>
        <scheme val="minor"/>
      </rPr>
      <t>ec87</t>
    </r>
    <r>
      <rPr>
        <b/>
        <sz val="11"/>
        <color theme="1"/>
        <rFont val="等线"/>
        <family val="3"/>
        <charset val="134"/>
        <scheme val="minor"/>
      </rPr>
      <t>-MR</t>
    </r>
    <r>
      <rPr>
        <b/>
        <vertAlign val="subscript"/>
        <sz val="11"/>
        <color theme="1"/>
        <rFont val="等线"/>
        <family val="3"/>
        <charset val="134"/>
        <scheme val="minor"/>
      </rPr>
      <t>669-984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</si>
  <si>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407 LexA</t>
    </r>
    <r>
      <rPr>
        <b/>
        <vertAlign val="subscript"/>
        <sz val="11"/>
        <color theme="1"/>
        <rFont val="等线"/>
        <family val="3"/>
        <charset val="134"/>
        <scheme val="minor"/>
      </rPr>
      <t>mm115</t>
    </r>
    <r>
      <rPr>
        <b/>
        <sz val="11"/>
        <color theme="1"/>
        <rFont val="等线"/>
        <family val="3"/>
        <charset val="134"/>
        <scheme val="minor"/>
      </rPr>
      <t>-RpaR</t>
    </r>
    <r>
      <rPr>
        <b/>
        <vertAlign val="subscript"/>
        <sz val="11"/>
        <color theme="1"/>
        <rFont val="等线"/>
        <family val="3"/>
        <charset val="134"/>
        <scheme val="minor"/>
      </rPr>
      <t>179</t>
    </r>
    <r>
      <rPr>
        <b/>
        <sz val="11"/>
        <color theme="1"/>
        <rFont val="等线"/>
        <family val="3"/>
        <charset val="134"/>
        <scheme val="minor"/>
      </rPr>
      <t xml:space="preserve"> nls-VP16</t>
    </r>
    <phoneticPr fontId="3" type="noConversion"/>
  </si>
  <si>
    <r>
      <t>415 LexA</t>
    </r>
    <r>
      <rPr>
        <b/>
        <vertAlign val="subscript"/>
        <sz val="11"/>
        <color theme="1"/>
        <rFont val="等线"/>
        <family val="3"/>
        <charset val="134"/>
        <scheme val="minor"/>
      </rPr>
      <t>xa101</t>
    </r>
    <r>
      <rPr>
        <b/>
        <sz val="11"/>
        <color theme="1"/>
        <rFont val="等线"/>
        <family val="3"/>
        <charset val="134"/>
        <scheme val="minor"/>
      </rPr>
      <t>-MR</t>
    </r>
    <r>
      <rPr>
        <b/>
        <vertAlign val="subscript"/>
        <sz val="11"/>
        <color theme="1"/>
        <rFont val="等线"/>
        <family val="3"/>
        <charset val="134"/>
        <scheme val="minor"/>
      </rPr>
      <t>669-984</t>
    </r>
    <r>
      <rPr>
        <b/>
        <sz val="11"/>
        <color theme="1"/>
        <rFont val="等线"/>
        <family val="3"/>
        <charset val="134"/>
        <scheme val="minor"/>
      </rPr>
      <t>-VP16</t>
    </r>
    <phoneticPr fontId="3" type="noConversion"/>
  </si>
  <si>
    <r>
      <t>410 LexA</t>
    </r>
    <r>
      <rPr>
        <b/>
        <vertAlign val="subscript"/>
        <sz val="11"/>
        <color theme="1"/>
        <rFont val="等线"/>
        <family val="3"/>
        <charset val="134"/>
        <scheme val="minor"/>
      </rPr>
      <t>fs104</t>
    </r>
    <r>
      <rPr>
        <b/>
        <sz val="11"/>
        <color theme="1"/>
        <rFont val="等线"/>
        <family val="3"/>
        <charset val="134"/>
        <scheme val="minor"/>
      </rPr>
      <t>-TraR</t>
    </r>
    <r>
      <rPr>
        <b/>
        <vertAlign val="subscript"/>
        <sz val="11"/>
        <color theme="1"/>
        <rFont val="等线"/>
        <family val="3"/>
        <charset val="134"/>
        <scheme val="minor"/>
      </rPr>
      <t>174</t>
    </r>
    <r>
      <rPr>
        <b/>
        <sz val="11"/>
        <color theme="1"/>
        <rFont val="等线"/>
        <family val="3"/>
        <charset val="134"/>
        <scheme val="minor"/>
      </rPr>
      <t>-VP16</t>
    </r>
    <phoneticPr fontId="20" type="noConversion"/>
  </si>
  <si>
    <r>
      <t>413 LexA</t>
    </r>
    <r>
      <rPr>
        <b/>
        <vertAlign val="subscript"/>
        <sz val="11"/>
        <color theme="1"/>
        <rFont val="等线"/>
        <family val="3"/>
        <charset val="134"/>
        <scheme val="minor"/>
      </rPr>
      <t>mm115</t>
    </r>
    <r>
      <rPr>
        <b/>
        <sz val="11"/>
        <color theme="1"/>
        <rFont val="等线"/>
        <family val="3"/>
        <charset val="134"/>
        <scheme val="minor"/>
      </rPr>
      <t>-BjaR</t>
    </r>
    <r>
      <rPr>
        <b/>
        <vertAlign val="subscript"/>
        <sz val="11"/>
        <color theme="1"/>
        <rFont val="等线"/>
        <family val="3"/>
        <charset val="134"/>
        <scheme val="minor"/>
      </rPr>
      <t>180</t>
    </r>
    <r>
      <rPr>
        <b/>
        <sz val="11"/>
        <color theme="1"/>
        <rFont val="等线"/>
        <family val="3"/>
        <charset val="134"/>
        <scheme val="minor"/>
      </rPr>
      <t>-VP16</t>
    </r>
    <phoneticPr fontId="20" type="noConversion"/>
  </si>
  <si>
    <r>
      <t>540 LexA</t>
    </r>
    <r>
      <rPr>
        <b/>
        <vertAlign val="subscript"/>
        <sz val="11"/>
        <color theme="1"/>
        <rFont val="等线"/>
        <family val="3"/>
        <charset val="134"/>
        <scheme val="minor"/>
      </rPr>
      <t>ec87</t>
    </r>
    <r>
      <rPr>
        <b/>
        <sz val="11"/>
        <color theme="1"/>
        <rFont val="等线"/>
        <family val="3"/>
        <charset val="134"/>
        <scheme val="minor"/>
      </rPr>
      <t>-TraR</t>
    </r>
    <r>
      <rPr>
        <b/>
        <vertAlign val="subscript"/>
        <sz val="11"/>
        <color theme="1"/>
        <rFont val="等线"/>
        <family val="3"/>
        <charset val="134"/>
        <scheme val="minor"/>
      </rPr>
      <t>174</t>
    </r>
    <r>
      <rPr>
        <b/>
        <sz val="11"/>
        <color theme="1"/>
        <rFont val="等线"/>
        <family val="3"/>
        <charset val="134"/>
        <scheme val="minor"/>
      </rPr>
      <t>-VP16</t>
    </r>
    <phoneticPr fontId="20" type="noConversion"/>
  </si>
  <si>
    <r>
      <t>542 CI434</t>
    </r>
    <r>
      <rPr>
        <b/>
        <vertAlign val="subscript"/>
        <sz val="11"/>
        <color theme="1"/>
        <rFont val="等线"/>
        <family val="3"/>
        <charset val="134"/>
        <scheme val="minor"/>
      </rPr>
      <t>70</t>
    </r>
    <r>
      <rPr>
        <b/>
        <sz val="11"/>
        <color theme="1"/>
        <rFont val="等线"/>
        <family val="3"/>
        <charset val="134"/>
        <scheme val="minor"/>
      </rPr>
      <t>-CinR</t>
    </r>
    <r>
      <rPr>
        <b/>
        <vertAlign val="subscript"/>
        <sz val="11"/>
        <color theme="1"/>
        <rFont val="等线"/>
        <family val="3"/>
        <charset val="134"/>
        <scheme val="minor"/>
      </rPr>
      <t>179</t>
    </r>
    <r>
      <rPr>
        <b/>
        <sz val="11"/>
        <color theme="1"/>
        <rFont val="等线"/>
        <family val="3"/>
        <charset val="134"/>
        <scheme val="minor"/>
      </rPr>
      <t>-VP16</t>
    </r>
    <phoneticPr fontId="20" type="noConversion"/>
  </si>
  <si>
    <r>
      <t>541 CI434</t>
    </r>
    <r>
      <rPr>
        <b/>
        <vertAlign val="subscript"/>
        <sz val="11"/>
        <color theme="1"/>
        <rFont val="等线"/>
        <family val="3"/>
        <charset val="134"/>
        <scheme val="minor"/>
      </rPr>
      <t>70</t>
    </r>
    <r>
      <rPr>
        <b/>
        <sz val="11"/>
        <color theme="1"/>
        <rFont val="等线"/>
        <family val="3"/>
        <charset val="134"/>
        <scheme val="minor"/>
      </rPr>
      <t>-TraR</t>
    </r>
    <r>
      <rPr>
        <b/>
        <vertAlign val="subscript"/>
        <sz val="11"/>
        <color theme="1"/>
        <rFont val="等线"/>
        <family val="3"/>
        <charset val="134"/>
        <scheme val="minor"/>
      </rPr>
      <t>174</t>
    </r>
    <r>
      <rPr>
        <b/>
        <sz val="11"/>
        <color theme="1"/>
        <rFont val="等线"/>
        <family val="3"/>
        <charset val="134"/>
        <scheme val="minor"/>
      </rPr>
      <t>-VP16</t>
    </r>
    <phoneticPr fontId="20" type="noConversion"/>
  </si>
  <si>
    <t>Supplementary figure 13A</t>
    <phoneticPr fontId="3" type="noConversion"/>
  </si>
  <si>
    <t>Supplementary figure 13B</t>
    <phoneticPr fontId="3" type="noConversion"/>
  </si>
  <si>
    <t>Supplementary figure 13C</t>
    <phoneticPr fontId="3" type="noConversion"/>
  </si>
  <si>
    <t>LXR335</t>
  </si>
  <si>
    <t>INPUT RPU</t>
  </si>
  <si>
    <t>LXR337</t>
  </si>
  <si>
    <t>LXR338</t>
  </si>
  <si>
    <t>LXR339</t>
  </si>
  <si>
    <t>LXR340</t>
  </si>
  <si>
    <t>LXR344 OL1</t>
  </si>
  <si>
    <t>LXR344 OR1</t>
  </si>
  <si>
    <t>LXR344 Osym</t>
  </si>
  <si>
    <t>LXR341</t>
  </si>
  <si>
    <t>LXR342</t>
  </si>
  <si>
    <t>LXR343</t>
  </si>
  <si>
    <t>LXR346</t>
  </si>
  <si>
    <t>LXR345</t>
  </si>
  <si>
    <t>LXR336</t>
  </si>
  <si>
    <t>40.97365*</t>
  </si>
  <si>
    <t>48.46026*</t>
  </si>
  <si>
    <t>46.21101*</t>
  </si>
  <si>
    <t>48.52294*</t>
  </si>
  <si>
    <t>38.26248*</t>
  </si>
  <si>
    <t>39.68967*</t>
  </si>
  <si>
    <t>80.40076*</t>
  </si>
  <si>
    <t>82.38462*</t>
  </si>
  <si>
    <t>82.99012*</t>
  </si>
  <si>
    <t>84.52294*</t>
  </si>
  <si>
    <t>77.43476*</t>
  </si>
  <si>
    <t>75.79857*</t>
  </si>
  <si>
    <t>LXR</t>
  </si>
  <si>
    <t>INPUT(RPU)</t>
  </si>
  <si>
    <t>0.039398*</t>
  </si>
  <si>
    <t>0.035896*</t>
  </si>
  <si>
    <t>0.0436*</t>
  </si>
  <si>
    <t>0.346874*</t>
  </si>
  <si>
    <t>0.036946*</t>
  </si>
  <si>
    <t>0.036596*</t>
  </si>
  <si>
    <t>0.209946*</t>
  </si>
  <si>
    <t>2.983891*</t>
  </si>
  <si>
    <t>13.83663*</t>
  </si>
  <si>
    <t>0.044651*</t>
  </si>
  <si>
    <t>8.436526*</t>
  </si>
  <si>
    <t>15.54561*</t>
  </si>
  <si>
    <t>32.49186*</t>
  </si>
  <si>
    <t>33.0907*</t>
  </si>
  <si>
    <t>0.041849*</t>
  </si>
  <si>
    <t>14.22535*</t>
  </si>
  <si>
    <t>25.21117*</t>
  </si>
  <si>
    <t>37.39117*</t>
  </si>
  <si>
    <t>38.55034*</t>
  </si>
  <si>
    <t>0.045701*</t>
  </si>
  <si>
    <t>20.79513*</t>
  </si>
  <si>
    <t>32.09613*</t>
  </si>
  <si>
    <t>40.60602*</t>
  </si>
  <si>
    <t>0.039047*</t>
  </si>
  <si>
    <t>26.4754*</t>
  </si>
  <si>
    <t>32.58991*</t>
  </si>
  <si>
    <t>45.18316*</t>
  </si>
  <si>
    <t>76.36158*</t>
  </si>
  <si>
    <t>0.040798*</t>
  </si>
  <si>
    <t>26.31431*</t>
  </si>
  <si>
    <t>36.37909*</t>
  </si>
  <si>
    <t>49.21397*</t>
  </si>
  <si>
    <t>6.675013*</t>
  </si>
  <si>
    <t>0.0443*</t>
  </si>
  <si>
    <t>0.056908*</t>
  </si>
  <si>
    <t>0.048853*</t>
  </si>
  <si>
    <t>0.054456*</t>
  </si>
  <si>
    <t>0.042199*</t>
  </si>
  <si>
    <t>0.049203*</t>
  </si>
  <si>
    <t>0.062983*</t>
  </si>
  <si>
    <t>0.052529*</t>
  </si>
  <si>
    <t>0.063493*</t>
  </si>
  <si>
    <t>0.064768*</t>
  </si>
  <si>
    <t>0.073693*</t>
  </si>
  <si>
    <t>0.066043*</t>
  </si>
  <si>
    <t>71.38674*</t>
  </si>
  <si>
    <t>75.64513*</t>
  </si>
  <si>
    <t>68.69795*</t>
  </si>
  <si>
    <t>39.81067*</t>
  </si>
  <si>
    <t>55.69957*</t>
  </si>
  <si>
    <t>88.10157*</t>
  </si>
  <si>
    <t>93.35444*</t>
  </si>
  <si>
    <t>93.4686*</t>
  </si>
  <si>
    <t>84.85398*</t>
  </si>
  <si>
    <t>91.29699*</t>
  </si>
  <si>
    <t>77.74883*</t>
  </si>
  <si>
    <t>69.24224*</t>
  </si>
  <si>
    <t>64.63303*</t>
  </si>
  <si>
    <t>77.37262*</t>
  </si>
  <si>
    <t>56.55479*</t>
  </si>
  <si>
    <t>60.85288*</t>
  </si>
  <si>
    <t>98.62006*</t>
  </si>
  <si>
    <t>95.48412*</t>
  </si>
  <si>
    <t>95.27884*</t>
  </si>
  <si>
    <t>102.2003*</t>
  </si>
  <si>
    <t>100.1347*</t>
  </si>
  <si>
    <t>101.3638*</t>
  </si>
  <si>
    <t>102.1066*</t>
  </si>
  <si>
    <t>97.54481*</t>
  </si>
  <si>
    <t>100.9629*</t>
  </si>
  <si>
    <t>99.73917*</t>
  </si>
  <si>
    <t>86.76796*</t>
  </si>
  <si>
    <t>88.36932*</t>
  </si>
  <si>
    <t>75.96965*</t>
  </si>
  <si>
    <t>81.48836*</t>
  </si>
  <si>
    <t>70.23278*</t>
  </si>
  <si>
    <t>76.73079*</t>
  </si>
  <si>
    <t>103.5491*</t>
  </si>
  <si>
    <t>96.65561*</t>
  </si>
  <si>
    <t>101.1778*</t>
  </si>
  <si>
    <t>100.6549*</t>
  </si>
  <si>
    <t>102.5138*</t>
  </si>
  <si>
    <t>1.544522*</t>
  </si>
  <si>
    <t>1.491911*</t>
  </si>
  <si>
    <t>34.01855*</t>
  </si>
  <si>
    <t>35.07339*</t>
  </si>
  <si>
    <t>38.95342*</t>
  </si>
  <si>
    <t>38.482*</t>
  </si>
  <si>
    <t>34.80586*</t>
  </si>
  <si>
    <t>32.64169*</t>
  </si>
  <si>
    <t>39.02973*</t>
  </si>
  <si>
    <t>38.32211*</t>
  </si>
  <si>
    <t>46.35215*</t>
  </si>
  <si>
    <t>45.65208*</t>
  </si>
  <si>
    <t>41.04537*</t>
  </si>
  <si>
    <t>39.0902*</t>
  </si>
  <si>
    <t>41.74181*</t>
  </si>
  <si>
    <t>50.9506*</t>
  </si>
  <si>
    <t>49.57022*</t>
  </si>
  <si>
    <t>46.52042*</t>
  </si>
  <si>
    <t>44.84573*</t>
  </si>
  <si>
    <t>32.00355*</t>
  </si>
  <si>
    <t>31.04077*</t>
  </si>
  <si>
    <t>35.00706*</t>
  </si>
  <si>
    <t>33.33874*</t>
  </si>
  <si>
    <t>33.75815*</t>
  </si>
  <si>
    <t>32.84243*</t>
  </si>
  <si>
    <t>36.94371*</t>
  </si>
  <si>
    <t>36.27292*</t>
  </si>
  <si>
    <t>46.63726*</t>
  </si>
  <si>
    <t>46.06987*</t>
  </si>
  <si>
    <t>43.1023*</t>
  </si>
  <si>
    <t>40.54764*</t>
  </si>
  <si>
    <t>60.11316*</t>
  </si>
  <si>
    <t>59.56593*</t>
  </si>
  <si>
    <t>67.45025*</t>
  </si>
  <si>
    <t>51.36959*</t>
  </si>
  <si>
    <t>0.455164*</t>
  </si>
  <si>
    <t>36.82235*</t>
  </si>
  <si>
    <t>32.68891*</t>
  </si>
  <si>
    <t>37.55328*</t>
  </si>
  <si>
    <t>36.64714*</t>
  </si>
  <si>
    <t>31.27499*</t>
  </si>
  <si>
    <t>29.15207*</t>
  </si>
  <si>
    <t>41.22609*</t>
  </si>
  <si>
    <t>38.31407*</t>
  </si>
  <si>
    <t>39.31193*</t>
  </si>
  <si>
    <t>35.44933*</t>
  </si>
  <si>
    <t>33.96439*</t>
  </si>
  <si>
    <t>37.96473*</t>
  </si>
  <si>
    <t>43.0238*</t>
  </si>
  <si>
    <t>43.34298*</t>
  </si>
  <si>
    <t>44.14467*</t>
  </si>
  <si>
    <t>35.34209*</t>
  </si>
  <si>
    <t>36.99753*</t>
  </si>
  <si>
    <t>32.23783*</t>
  </si>
  <si>
    <t>34.89979*</t>
  </si>
  <si>
    <t>35.1751*</t>
  </si>
  <si>
    <t>45.93155*</t>
  </si>
  <si>
    <t>39.91602*</t>
  </si>
  <si>
    <t>31.56373*</t>
  </si>
  <si>
    <t>31.46748*</t>
  </si>
  <si>
    <t>48.16702*</t>
  </si>
  <si>
    <t>47.87378*</t>
  </si>
  <si>
    <t>52.04869*</t>
  </si>
  <si>
    <t>57.38391*</t>
  </si>
  <si>
    <t>42.57707*</t>
  </si>
  <si>
    <t>42.18933*</t>
  </si>
  <si>
    <t>37.1615*</t>
  </si>
  <si>
    <t>41.91179*</t>
  </si>
  <si>
    <t>37.45401*</t>
  </si>
  <si>
    <t>38.9692*</t>
  </si>
  <si>
    <t>42.11602*</t>
  </si>
  <si>
    <t>42.37357*</t>
  </si>
  <si>
    <t>54.81793*</t>
  </si>
  <si>
    <t>49.41778*</t>
  </si>
  <si>
    <t>36.21655*</t>
  </si>
  <si>
    <t>36.88478*</t>
  </si>
  <si>
    <t>LXR384+LXR389</t>
  </si>
  <si>
    <t>C4(nM)</t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</si>
  <si>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</si>
  <si>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</si>
  <si>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-LasR</t>
    </r>
    <r>
      <rPr>
        <b/>
        <vertAlign val="subscript"/>
        <sz val="11"/>
        <color theme="1"/>
        <rFont val="Arial"/>
        <family val="2"/>
      </rPr>
      <t>177</t>
    </r>
    <r>
      <rPr>
        <b/>
        <sz val="11"/>
        <color theme="1"/>
        <rFont val="Arial"/>
        <family val="2"/>
      </rPr>
      <t xml:space="preserve"> nls-VP16 (3OC12, nM)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</si>
  <si>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-CinR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(3OC14, nM)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</si>
  <si>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-acVHH nls-VP16 (Caffeine, nM)</t>
    </r>
    <phoneticPr fontId="3" type="noConversion"/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</si>
  <si>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 xml:space="preserve"> Osym-SmaR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(C4, nM)</t>
    </r>
    <phoneticPr fontId="3" type="noConversion"/>
  </si>
  <si>
    <t>DBD 335</t>
  </si>
  <si>
    <t>2nd
(0.000000)</t>
  </si>
  <si>
    <t>3rd
(0.000000)</t>
  </si>
  <si>
    <t>4th
(0.000000)</t>
  </si>
  <si>
    <t>2nd
(0.134259)</t>
  </si>
  <si>
    <t>3rd
(0.184902)</t>
  </si>
  <si>
    <t>4th
(0.142007)</t>
  </si>
  <si>
    <t>2nd
(0.496528)</t>
  </si>
  <si>
    <t>3rd
(0.483037)</t>
  </si>
  <si>
    <t>4th
(0.501134)</t>
  </si>
  <si>
    <t>2nd
(1.630787)</t>
  </si>
  <si>
    <t>3rd
(1.753415)</t>
  </si>
  <si>
    <t>4th
(1.958050)</t>
  </si>
  <si>
    <t>2nd
(4.689236)</t>
  </si>
  <si>
    <t>3rd
(4.485093)</t>
  </si>
  <si>
    <t>4th
(4.832200)</t>
  </si>
  <si>
    <t>2nd
(8.155671)</t>
  </si>
  <si>
    <t>3rd
(7.705831)</t>
  </si>
  <si>
    <t>4th
(8.585034)</t>
  </si>
  <si>
    <t>DBD 337</t>
  </si>
  <si>
    <t>DBD 338</t>
  </si>
  <si>
    <t>DBD 339</t>
  </si>
  <si>
    <t>DBD 340</t>
  </si>
  <si>
    <r>
      <t>C</t>
    </r>
    <r>
      <rPr>
        <b/>
        <i/>
        <vertAlign val="subscript"/>
        <sz val="11"/>
        <color rgb="FF1F1F1F"/>
        <rFont val="Arial"/>
        <family val="2"/>
      </rPr>
      <t xml:space="preserve">Inducer </t>
    </r>
    <phoneticPr fontId="3" type="noConversion"/>
  </si>
  <si>
    <t>2nd (0.000000)</t>
  </si>
  <si>
    <t>2nd (0.000000)</t>
    <phoneticPr fontId="3" type="noConversion"/>
  </si>
  <si>
    <t>3rd (0.000000)</t>
  </si>
  <si>
    <t>3rd (0.000000)</t>
    <phoneticPr fontId="3" type="noConversion"/>
  </si>
  <si>
    <t>4th (0.000000)</t>
  </si>
  <si>
    <t>4th (0.000000)</t>
    <phoneticPr fontId="3" type="noConversion"/>
  </si>
  <si>
    <t>2nd (0.134259)</t>
    <phoneticPr fontId="3" type="noConversion"/>
  </si>
  <si>
    <t>3rd (0.184902)</t>
  </si>
  <si>
    <t>3rd (0.184902)</t>
    <phoneticPr fontId="3" type="noConversion"/>
  </si>
  <si>
    <t>4th (0.142007)</t>
  </si>
  <si>
    <t>4th (0.142007)</t>
    <phoneticPr fontId="3" type="noConversion"/>
  </si>
  <si>
    <t>2nd (0.496528)</t>
    <phoneticPr fontId="3" type="noConversion"/>
  </si>
  <si>
    <t>3rd (0.483037)</t>
  </si>
  <si>
    <t>3rd (0.483037)</t>
    <phoneticPr fontId="3" type="noConversion"/>
  </si>
  <si>
    <t>4th (0.501134)</t>
  </si>
  <si>
    <t>4th (0.501134)</t>
    <phoneticPr fontId="3" type="noConversion"/>
  </si>
  <si>
    <t>2nd (1.630787)</t>
    <phoneticPr fontId="3" type="noConversion"/>
  </si>
  <si>
    <t>3rd (1.753415)</t>
  </si>
  <si>
    <t>3rd (1.753415)</t>
    <phoneticPr fontId="3" type="noConversion"/>
  </si>
  <si>
    <t>4th (1.958050)</t>
  </si>
  <si>
    <t>4th (1.958050)</t>
    <phoneticPr fontId="3" type="noConversion"/>
  </si>
  <si>
    <t>2nd (4.689236)</t>
    <phoneticPr fontId="3" type="noConversion"/>
  </si>
  <si>
    <t>3rd (4.485093)</t>
  </si>
  <si>
    <t>3rd (4.485093)</t>
    <phoneticPr fontId="3" type="noConversion"/>
  </si>
  <si>
    <t>4th (4.832200)</t>
  </si>
  <si>
    <t>4th (4.832200)</t>
    <phoneticPr fontId="3" type="noConversion"/>
  </si>
  <si>
    <t>2nd (8.155671)</t>
    <phoneticPr fontId="3" type="noConversion"/>
  </si>
  <si>
    <t>3rd (7.705831)</t>
  </si>
  <si>
    <t>3rd (7.705831)</t>
    <phoneticPr fontId="3" type="noConversion"/>
  </si>
  <si>
    <t>4th (8.585034)</t>
  </si>
  <si>
    <t>4th (8.585034)</t>
    <phoneticPr fontId="3" type="noConversion"/>
  </si>
  <si>
    <t>DBD 341</t>
  </si>
  <si>
    <t>DBD 342</t>
  </si>
  <si>
    <t>3rd
(0.137310)</t>
  </si>
  <si>
    <t>4th
(0.186931)</t>
  </si>
  <si>
    <t>3rd
(0.412377)</t>
  </si>
  <si>
    <t>4th
(0.641951)</t>
  </si>
  <si>
    <t>3rd
(1.633740)</t>
  </si>
  <si>
    <t>4th
(2.033865)</t>
  </si>
  <si>
    <t>3rd
(4.567391)</t>
  </si>
  <si>
    <t>4th
(5.332388)</t>
  </si>
  <si>
    <t>3rd
(7.678072)</t>
  </si>
  <si>
    <t>4th
(8.536924)</t>
  </si>
  <si>
    <t>DBD 343</t>
  </si>
  <si>
    <t>DBD 346</t>
  </si>
  <si>
    <t>DBD 345</t>
  </si>
  <si>
    <t>4th (8.536924)</t>
  </si>
  <si>
    <t>4th (8.536924)</t>
    <phoneticPr fontId="3" type="noConversion"/>
  </si>
  <si>
    <t>3rd (7.678072)</t>
    <phoneticPr fontId="3" type="noConversion"/>
  </si>
  <si>
    <t>4th (5.332388)</t>
  </si>
  <si>
    <t>4th (5.332388)</t>
    <phoneticPr fontId="3" type="noConversion"/>
  </si>
  <si>
    <t>3rd (4.567391)</t>
    <phoneticPr fontId="3" type="noConversion"/>
  </si>
  <si>
    <t>4th (2.033865)</t>
  </si>
  <si>
    <t>4th (2.033865)</t>
    <phoneticPr fontId="3" type="noConversion"/>
  </si>
  <si>
    <t>3rd (1.633740)</t>
    <phoneticPr fontId="3" type="noConversion"/>
  </si>
  <si>
    <t>4th (0.641951)</t>
  </si>
  <si>
    <t>4th (0.641951)</t>
    <phoneticPr fontId="3" type="noConversion"/>
  </si>
  <si>
    <t>3rd (0.412377)</t>
    <phoneticPr fontId="3" type="noConversion"/>
  </si>
  <si>
    <t>4th (0.186931)</t>
  </si>
  <si>
    <t>4th (0.186931)</t>
    <phoneticPr fontId="3" type="noConversion"/>
  </si>
  <si>
    <t>3rd (0.137310)</t>
    <phoneticPr fontId="3" type="noConversion"/>
  </si>
  <si>
    <t>2nd (0.105405)</t>
  </si>
  <si>
    <t>3rd (0.105405)</t>
  </si>
  <si>
    <t>2nd (0.400000)</t>
  </si>
  <si>
    <t>3rd (0.400000)</t>
  </si>
  <si>
    <t>2nd (1.348649)</t>
  </si>
  <si>
    <t>3rd (1.348649)</t>
  </si>
  <si>
    <t>2nd (3.852703)</t>
  </si>
  <si>
    <t>3rd (3.852703)</t>
  </si>
  <si>
    <t>2nd (7.401351)</t>
  </si>
  <si>
    <t>3rd (7.401351)</t>
  </si>
  <si>
    <t>Inducer (mM)</t>
  </si>
  <si>
    <t>strain</t>
  </si>
  <si>
    <t>Date 1</t>
  </si>
  <si>
    <t>Date 2</t>
  </si>
  <si>
    <t>Date 3</t>
  </si>
  <si>
    <t>LexA-LasR177+LasR177-VP16 -</t>
  </si>
  <si>
    <t>LexA-LasR177+LasR177-VP16+</t>
  </si>
  <si>
    <t>LexA-LasR177 -</t>
  </si>
  <si>
    <t>LexA-LasR177+</t>
  </si>
  <si>
    <t>LasR177-VP16 -</t>
  </si>
  <si>
    <t>LasR177-VP16+</t>
  </si>
  <si>
    <r>
      <t>log</t>
    </r>
    <r>
      <rPr>
        <vertAlign val="subscript"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>(fold change)</t>
    </r>
    <phoneticPr fontId="3" type="noConversion"/>
  </si>
  <si>
    <t>0.08144*</t>
  </si>
  <si>
    <t>0.076076*</t>
  </si>
  <si>
    <t>1.186995*</t>
  </si>
  <si>
    <t>1.625584*</t>
  </si>
  <si>
    <t>0.079464*</t>
  </si>
  <si>
    <t>0.080028*</t>
  </si>
  <si>
    <t>0.070713*</t>
  </si>
  <si>
    <t>0.07777*</t>
  </si>
  <si>
    <t>0.07043*</t>
  </si>
  <si>
    <t>32.29367*</t>
  </si>
  <si>
    <t>39.0204*</t>
  </si>
  <si>
    <t>41.27946*</t>
  </si>
  <si>
    <t>40.52858*</t>
  </si>
  <si>
    <t>39.93441*</t>
  </si>
  <si>
    <t>37.79775*</t>
  </si>
  <si>
    <t>66.55206*</t>
  </si>
  <si>
    <t>77.98598*</t>
  </si>
  <si>
    <t>76.4326*</t>
  </si>
  <si>
    <t>81.98518*</t>
  </si>
  <si>
    <t>75.33934*</t>
  </si>
  <si>
    <t>67.91737*</t>
  </si>
  <si>
    <t>0.073948*</t>
  </si>
  <si>
    <t>0.078538*</t>
  </si>
  <si>
    <t>aldo (µM)</t>
    <phoneticPr fontId="3" type="noConversion"/>
  </si>
  <si>
    <t>Figure 2G</t>
    <phoneticPr fontId="3" type="noConversion"/>
  </si>
  <si>
    <t>pTDH3</t>
    <phoneticPr fontId="3" type="noConversion"/>
  </si>
  <si>
    <t>Combined input RPU</t>
  </si>
  <si>
    <t>Actual input RPU</t>
  </si>
  <si>
    <t>Inducer (µM)</t>
  </si>
  <si>
    <t>Day1 R1</t>
  </si>
  <si>
    <t>Day1 R2</t>
  </si>
  <si>
    <t>Day1 R3</t>
  </si>
  <si>
    <t>Day2 R1</t>
  </si>
  <si>
    <t>Day2 R2</t>
  </si>
  <si>
    <t>Day2 R3</t>
  </si>
  <si>
    <t>Day3 R1</t>
  </si>
  <si>
    <t>Day3 R2</t>
  </si>
  <si>
    <t>Day3 R3</t>
  </si>
  <si>
    <t>Run1 R1</t>
  </si>
  <si>
    <t>Run1 R2</t>
  </si>
  <si>
    <t>Run1 R3</t>
  </si>
  <si>
    <t>Run2 R1</t>
  </si>
  <si>
    <t>Run2 R2</t>
  </si>
  <si>
    <t>Run2 R3</t>
  </si>
  <si>
    <t>Run3 R1</t>
  </si>
  <si>
    <t>Run3 R2</t>
  </si>
  <si>
    <t>Run3 R3</t>
  </si>
  <si>
    <t>0.277282*</t>
  </si>
  <si>
    <t>0.234127*</t>
  </si>
  <si>
    <t>0.287698*</t>
  </si>
  <si>
    <t>0.235615*</t>
  </si>
  <si>
    <t>0.251984*</t>
  </si>
  <si>
    <t>0.250496*</t>
  </si>
  <si>
    <t>0.253472*</t>
  </si>
  <si>
    <t>10.08085*</t>
  </si>
  <si>
    <t>0.231151*</t>
  </si>
  <si>
    <t>10.37225*</t>
    <phoneticPr fontId="3" type="noConversion"/>
  </si>
  <si>
    <t>11.13104*</t>
    <phoneticPr fontId="3" type="noConversion"/>
  </si>
  <si>
    <t>12.05637*</t>
    <phoneticPr fontId="3" type="noConversion"/>
  </si>
  <si>
    <t>1.790272*</t>
    <phoneticPr fontId="3" type="noConversion"/>
  </si>
  <si>
    <t>1.778255*</t>
    <phoneticPr fontId="3" type="noConversion"/>
  </si>
  <si>
    <t>1.728469*</t>
    <phoneticPr fontId="3" type="noConversion"/>
  </si>
  <si>
    <t>3.007937*</t>
    <phoneticPr fontId="3" type="noConversion"/>
  </si>
  <si>
    <t>2.999008*</t>
    <phoneticPr fontId="3" type="noConversion"/>
  </si>
  <si>
    <t>3.074901*</t>
    <phoneticPr fontId="3" type="noConversion"/>
  </si>
  <si>
    <t>9.269981*</t>
    <phoneticPr fontId="3" type="noConversion"/>
  </si>
  <si>
    <t>9.127438*</t>
    <phoneticPr fontId="3" type="noConversion"/>
  </si>
  <si>
    <t>8.989397*</t>
    <phoneticPr fontId="3" type="noConversion"/>
  </si>
  <si>
    <t>4.006581*</t>
    <phoneticPr fontId="3" type="noConversion"/>
  </si>
  <si>
    <t>4.439199*</t>
    <phoneticPr fontId="3" type="noConversion"/>
  </si>
  <si>
    <t>4.171388*</t>
    <phoneticPr fontId="3" type="noConversion"/>
  </si>
  <si>
    <t>4.714782*</t>
    <phoneticPr fontId="3" type="noConversion"/>
  </si>
  <si>
    <t>4.701389*</t>
    <phoneticPr fontId="3" type="noConversion"/>
  </si>
  <si>
    <t>7.008803*</t>
    <phoneticPr fontId="3" type="noConversion"/>
  </si>
  <si>
    <t>7.205362*</t>
    <phoneticPr fontId="3" type="noConversion"/>
  </si>
  <si>
    <t>7.095829*</t>
    <phoneticPr fontId="3" type="noConversion"/>
  </si>
  <si>
    <t>2.099285*</t>
    <phoneticPr fontId="3" type="noConversion"/>
  </si>
  <si>
    <t>2.131903*</t>
    <phoneticPr fontId="3" type="noConversion"/>
  </si>
  <si>
    <t>2.001431*</t>
    <phoneticPr fontId="3" type="noConversion"/>
  </si>
  <si>
    <t>1.31002*</t>
    <phoneticPr fontId="3" type="noConversion"/>
  </si>
  <si>
    <t>1.335317*</t>
    <phoneticPr fontId="3" type="noConversion"/>
  </si>
  <si>
    <t>1.244544*</t>
    <phoneticPr fontId="3" type="noConversion"/>
  </si>
  <si>
    <t>2.821046*</t>
    <phoneticPr fontId="3" type="noConversion"/>
  </si>
  <si>
    <t>2.768531*</t>
    <phoneticPr fontId="3" type="noConversion"/>
  </si>
  <si>
    <t>2.649995*</t>
    <phoneticPr fontId="3" type="noConversion"/>
  </si>
  <si>
    <t>ZY404</t>
    <phoneticPr fontId="3" type="noConversion"/>
  </si>
  <si>
    <t>Inducer (µM)</t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</si>
  <si>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-BjaR</t>
    </r>
    <r>
      <rPr>
        <b/>
        <vertAlign val="subscript"/>
        <sz val="11"/>
        <color theme="1"/>
        <rFont val="Arial"/>
        <family val="2"/>
      </rPr>
      <t>180</t>
    </r>
    <r>
      <rPr>
        <b/>
        <sz val="11"/>
        <color theme="1"/>
        <rFont val="Arial"/>
        <family val="2"/>
      </rPr>
      <t xml:space="preserve"> nls-VP16 (IV,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</si>
  <si>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-TraR</t>
    </r>
    <r>
      <rPr>
        <b/>
        <vertAlign val="subscript"/>
        <sz val="11"/>
        <color theme="1"/>
        <rFont val="Arial"/>
        <family val="2"/>
      </rPr>
      <t>174</t>
    </r>
    <r>
      <rPr>
        <b/>
        <sz val="11"/>
        <color theme="1"/>
        <rFont val="Arial"/>
        <family val="2"/>
      </rPr>
      <t xml:space="preserve"> nls-VP16 (3OC8, µM)</t>
    </r>
    <phoneticPr fontId="3" type="noConversion"/>
  </si>
  <si>
    <t>pC-HSL/µM</t>
  </si>
  <si>
    <t>pC(µM)</t>
  </si>
  <si>
    <t>lexAbs94-DHBR282-595 no nls-VP16 (DHB, µM)</t>
  </si>
  <si>
    <t>DHB(µM)</t>
  </si>
  <si>
    <t>lexAbs94-PR no nls-VP16 (RU486, µM)</t>
  </si>
  <si>
    <t>RU486(µM)</t>
  </si>
  <si>
    <t>lexAbs94-MR669-984 no nls-VP16 (aldo, µM)</t>
  </si>
  <si>
    <t>lexAbs94-GR487-777 no nls-VP16 (dexa, µM)</t>
  </si>
  <si>
    <t>dexa(µM)</t>
  </si>
  <si>
    <t>IV(µM)</t>
  </si>
  <si>
    <t>3OC8(µM)</t>
  </si>
  <si>
    <t>lexAbs94-ER282-595 no nls-VP16 (beta-estradiol, µM)</t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</si>
  <si>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</si>
  <si>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gs91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</si>
  <si>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fs104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</si>
  <si>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PurR</t>
    </r>
    <r>
      <rPr>
        <b/>
        <vertAlign val="subscript"/>
        <sz val="11"/>
        <color theme="1"/>
        <rFont val="Arial"/>
        <family val="2"/>
      </rPr>
      <t>60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</si>
  <si>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DeoR</t>
    </r>
    <r>
      <rPr>
        <b/>
        <vertAlign val="subscript"/>
        <sz val="11"/>
        <color theme="1"/>
        <rFont val="Arial"/>
        <family val="2"/>
      </rPr>
      <t>92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</si>
  <si>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RecApact</t>
    </r>
    <r>
      <rPr>
        <b/>
        <vertAlign val="subscript"/>
        <sz val="11"/>
        <color theme="1"/>
        <rFont val="Arial"/>
        <family val="2"/>
      </rPr>
      <t>104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</si>
  <si>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</si>
  <si>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HKCI</t>
    </r>
    <r>
      <rPr>
        <b/>
        <vertAlign val="subscript"/>
        <sz val="11"/>
        <color theme="1"/>
        <rFont val="Arial"/>
        <family val="2"/>
      </rPr>
      <t>84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</si>
  <si>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xa101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</si>
  <si>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ec87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</si>
  <si>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mm115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</si>
  <si>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CI434</t>
    </r>
    <r>
      <rPr>
        <b/>
        <vertAlign val="subscript"/>
        <sz val="11"/>
        <color theme="1"/>
        <rFont val="Arial"/>
        <family val="2"/>
      </rPr>
      <t>70</t>
    </r>
    <r>
      <rPr>
        <b/>
        <sz val="11"/>
        <color theme="1"/>
        <rFont val="Arial"/>
        <family val="2"/>
      </rPr>
      <t>-RpaR</t>
    </r>
    <r>
      <rPr>
        <b/>
        <vertAlign val="subscript"/>
        <sz val="11"/>
        <color theme="1"/>
        <rFont val="Arial"/>
        <family val="2"/>
      </rPr>
      <t>179</t>
    </r>
    <r>
      <rPr>
        <b/>
        <sz val="11"/>
        <color theme="1"/>
        <rFont val="Arial"/>
        <family val="2"/>
      </rPr>
      <t xml:space="preserve"> nls-VP16  (pC-HSL, µM)</t>
    </r>
    <phoneticPr fontId="3" type="noConversion"/>
  </si>
  <si>
    <r>
      <t>PurR</t>
    </r>
    <r>
      <rPr>
        <b/>
        <vertAlign val="subscript"/>
        <sz val="11"/>
        <color theme="1"/>
        <rFont val="Arial"/>
        <family val="2"/>
      </rPr>
      <t>60</t>
    </r>
    <r>
      <rPr>
        <b/>
        <sz val="11"/>
        <color theme="1"/>
        <rFont val="Arial"/>
        <family val="2"/>
      </rPr>
      <t xml:space="preserve"> -BjaR</t>
    </r>
    <r>
      <rPr>
        <b/>
        <vertAlign val="subscript"/>
        <sz val="11"/>
        <color theme="1"/>
        <rFont val="Arial"/>
        <family val="2"/>
      </rPr>
      <t>180</t>
    </r>
    <r>
      <rPr>
        <b/>
        <vertAlign val="superscript"/>
        <sz val="11"/>
        <color theme="1"/>
        <rFont val="Arial"/>
        <family val="2"/>
      </rPr>
      <t>S107R</t>
    </r>
    <r>
      <rPr>
        <b/>
        <sz val="11"/>
        <color theme="1"/>
        <rFont val="Arial"/>
        <family val="2"/>
      </rPr>
      <t>nls-VP16 (IV, µM)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</si>
  <si>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ec87</t>
    </r>
    <r>
      <rPr>
        <b/>
        <sz val="11"/>
        <color theme="1"/>
        <rFont val="Arial"/>
        <family val="2"/>
      </rPr>
      <t xml:space="preserve"> -CarRecc</t>
    </r>
    <r>
      <rPr>
        <b/>
        <vertAlign val="subscript"/>
        <sz val="11"/>
        <color theme="1"/>
        <rFont val="Arial"/>
        <family val="2"/>
      </rPr>
      <t>169</t>
    </r>
    <r>
      <rPr>
        <b/>
        <sz val="11"/>
        <color theme="1"/>
        <rFont val="Arial"/>
        <family val="2"/>
      </rPr>
      <t>nls-VP16 (3OC6, µM)</t>
    </r>
    <phoneticPr fontId="3" type="noConversion"/>
  </si>
  <si>
    <t>Figure 2D_1</t>
    <phoneticPr fontId="3" type="noConversion"/>
  </si>
  <si>
    <t>Figure 2D_2</t>
    <phoneticPr fontId="3" type="noConversion"/>
  </si>
  <si>
    <t>Figure 2D_3</t>
    <phoneticPr fontId="3" type="noConversion"/>
  </si>
  <si>
    <t>LXR326</t>
    <phoneticPr fontId="3" type="noConversion"/>
  </si>
  <si>
    <t>RPU=0.16</t>
    <phoneticPr fontId="3" type="noConversion"/>
  </si>
  <si>
    <t>RPU=0.72</t>
    <phoneticPr fontId="3" type="noConversion"/>
  </si>
  <si>
    <t>RPU=1.89</t>
    <phoneticPr fontId="3" type="noConversion"/>
  </si>
  <si>
    <t>RPU=4.62</t>
    <phoneticPr fontId="3" type="noConversion"/>
  </si>
  <si>
    <t>RPU=7.36</t>
    <phoneticPr fontId="3" type="noConversion"/>
  </si>
  <si>
    <t>LXR328</t>
    <phoneticPr fontId="3" type="noConversion"/>
  </si>
  <si>
    <t>RPU=0.01</t>
    <phoneticPr fontId="3" type="noConversion"/>
  </si>
  <si>
    <t>RPU=0</t>
    <phoneticPr fontId="3" type="noConversion"/>
  </si>
  <si>
    <t>RPU=0.15</t>
    <phoneticPr fontId="3" type="noConversion"/>
  </si>
  <si>
    <t>RPU=0.49</t>
    <phoneticPr fontId="3" type="noConversion"/>
  </si>
  <si>
    <t>RPU=1.92</t>
    <phoneticPr fontId="3" type="noConversion"/>
  </si>
  <si>
    <t>RPU=5</t>
    <phoneticPr fontId="3" type="noConversion"/>
  </si>
  <si>
    <t>RPU=8.79</t>
    <phoneticPr fontId="3" type="noConversion"/>
  </si>
  <si>
    <t>RPU=0.47</t>
    <phoneticPr fontId="3" type="noConversion"/>
  </si>
  <si>
    <t>RPU=1.14</t>
    <phoneticPr fontId="3" type="noConversion"/>
  </si>
  <si>
    <t>RPU=2.75</t>
    <phoneticPr fontId="3" type="noConversion"/>
  </si>
  <si>
    <t>RPU=5.07</t>
    <phoneticPr fontId="3" type="noConversion"/>
  </si>
  <si>
    <t>RPU=7.69</t>
    <phoneticPr fontId="3" type="noConversion"/>
  </si>
  <si>
    <t>RPU = 0</t>
    <phoneticPr fontId="3" type="noConversion"/>
  </si>
  <si>
    <t>RPU = 0.15</t>
    <phoneticPr fontId="3" type="noConversion"/>
  </si>
  <si>
    <t>RPU = 0.54</t>
    <phoneticPr fontId="3" type="noConversion"/>
  </si>
  <si>
    <t>RPU = 1.83</t>
    <phoneticPr fontId="3" type="noConversion"/>
  </si>
  <si>
    <t>RPU = 4.36</t>
    <phoneticPr fontId="3" type="noConversion"/>
  </si>
  <si>
    <t>RPU = 7.74</t>
    <phoneticPr fontId="3" type="noConversion"/>
  </si>
  <si>
    <t>RPU=0.62</t>
    <phoneticPr fontId="3" type="noConversion"/>
  </si>
  <si>
    <t>RPU=1.42</t>
    <phoneticPr fontId="3" type="noConversion"/>
  </si>
  <si>
    <t>RPU=3.24</t>
    <phoneticPr fontId="3" type="noConversion"/>
  </si>
  <si>
    <t>RPU=5.50</t>
    <phoneticPr fontId="3" type="noConversion"/>
  </si>
  <si>
    <t>RPU=7.62</t>
    <phoneticPr fontId="3" type="noConversion"/>
  </si>
  <si>
    <r>
      <t>T</t>
    </r>
    <r>
      <rPr>
        <vertAlign val="subscript"/>
        <sz val="11"/>
        <color theme="1"/>
        <rFont val="Arial"/>
        <family val="2"/>
      </rPr>
      <t>max</t>
    </r>
    <phoneticPr fontId="3" type="noConversion"/>
  </si>
  <si>
    <r>
      <t>T</t>
    </r>
    <r>
      <rPr>
        <i/>
        <vertAlign val="subscript"/>
        <sz val="11"/>
        <color theme="1"/>
        <rFont val="等线"/>
        <family val="3"/>
        <charset val="134"/>
        <scheme val="minor"/>
      </rPr>
      <t>0</t>
    </r>
    <phoneticPr fontId="3" type="noConversion"/>
  </si>
  <si>
    <r>
      <t>lexA</t>
    </r>
    <r>
      <rPr>
        <b/>
        <vertAlign val="subscript"/>
        <sz val="16"/>
        <color theme="1"/>
        <rFont val="Arial"/>
        <family val="2"/>
      </rPr>
      <t>bs94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</t>
    </r>
    <phoneticPr fontId="3" type="noConversion"/>
  </si>
  <si>
    <r>
      <t>lexA</t>
    </r>
    <r>
      <rPr>
        <b/>
        <vertAlign val="subscript"/>
        <sz val="16"/>
        <color theme="1"/>
        <rFont val="Arial"/>
        <family val="2"/>
      </rPr>
      <t>gs91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</t>
    </r>
    <phoneticPr fontId="3" type="noConversion"/>
  </si>
  <si>
    <r>
      <t>CI434</t>
    </r>
    <r>
      <rPr>
        <b/>
        <vertAlign val="subscript"/>
        <sz val="16"/>
        <color theme="1"/>
        <rFont val="Arial"/>
        <family val="2"/>
      </rPr>
      <t>70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</t>
    </r>
    <phoneticPr fontId="3" type="noConversion"/>
  </si>
  <si>
    <r>
      <t>CI</t>
    </r>
    <r>
      <rPr>
        <b/>
        <vertAlign val="subscript"/>
        <sz val="18"/>
        <color theme="1"/>
        <rFont val="Arial"/>
        <family val="2"/>
      </rPr>
      <t>94</t>
    </r>
    <r>
      <rPr>
        <b/>
        <sz val="18"/>
        <color theme="1"/>
        <rFont val="Arial"/>
        <family val="2"/>
      </rPr>
      <t>-LasR</t>
    </r>
    <r>
      <rPr>
        <b/>
        <vertAlign val="subscript"/>
        <sz val="18"/>
        <color theme="1"/>
        <rFont val="Arial"/>
        <family val="2"/>
      </rPr>
      <t>177</t>
    </r>
    <r>
      <rPr>
        <b/>
        <sz val="18"/>
        <color theme="1"/>
        <rFont val="Arial"/>
        <family val="2"/>
      </rPr>
      <t xml:space="preserve"> nls</t>
    </r>
    <phoneticPr fontId="3" type="noConversion"/>
  </si>
  <si>
    <r>
      <t>LexA</t>
    </r>
    <r>
      <rPr>
        <b/>
        <vertAlign val="subscript"/>
        <sz val="16"/>
        <color theme="1"/>
        <rFont val="Arial"/>
        <family val="2"/>
      </rPr>
      <t>gs91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nls-VP16</t>
    </r>
    <phoneticPr fontId="3" type="noConversion"/>
  </si>
  <si>
    <r>
      <t>LexA</t>
    </r>
    <r>
      <rPr>
        <b/>
        <vertAlign val="subscript"/>
        <sz val="16"/>
        <color theme="1"/>
        <rFont val="Arial"/>
        <family val="2"/>
      </rPr>
      <t>bs94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nls-VP16</t>
    </r>
    <phoneticPr fontId="3" type="noConversion"/>
  </si>
  <si>
    <r>
      <t>CI434</t>
    </r>
    <r>
      <rPr>
        <b/>
        <vertAlign val="subscript"/>
        <sz val="16"/>
        <color theme="1"/>
        <rFont val="Arial"/>
        <family val="2"/>
      </rPr>
      <t>70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</t>
    </r>
    <phoneticPr fontId="3" type="noConversion"/>
  </si>
  <si>
    <r>
      <t>CI</t>
    </r>
    <r>
      <rPr>
        <b/>
        <vertAlign val="subscript"/>
        <sz val="16"/>
        <color theme="1"/>
        <rFont val="Arial"/>
        <family val="2"/>
      </rPr>
      <t>94</t>
    </r>
    <r>
      <rPr>
        <b/>
        <sz val="16"/>
        <color theme="1"/>
        <rFont val="Arial"/>
        <family val="2"/>
      </rPr>
      <t>-LasR</t>
    </r>
    <r>
      <rPr>
        <b/>
        <vertAlign val="subscript"/>
        <sz val="16"/>
        <color theme="1"/>
        <rFont val="Arial"/>
        <family val="2"/>
      </rPr>
      <t>177</t>
    </r>
    <r>
      <rPr>
        <b/>
        <sz val="16"/>
        <color theme="1"/>
        <rFont val="Arial"/>
        <family val="2"/>
      </rPr>
      <t xml:space="preserve"> nls</t>
    </r>
    <phoneticPr fontId="3" type="noConversion"/>
  </si>
  <si>
    <t>LXR371</t>
    <phoneticPr fontId="3" type="noConversion"/>
  </si>
  <si>
    <t>25.53341*</t>
    <phoneticPr fontId="3" type="noConversion"/>
  </si>
  <si>
    <t>37.28136*</t>
    <phoneticPr fontId="3" type="noConversion"/>
  </si>
  <si>
    <t>44.36341*</t>
    <phoneticPr fontId="3" type="noConversion"/>
  </si>
  <si>
    <t>48.02284*</t>
    <phoneticPr fontId="3" type="noConversion"/>
  </si>
  <si>
    <t>33.19904*</t>
    <phoneticPr fontId="3" type="noConversion"/>
  </si>
  <si>
    <t>39.0265*</t>
    <phoneticPr fontId="3" type="noConversion"/>
  </si>
  <si>
    <t>60.92106*</t>
    <phoneticPr fontId="3" type="noConversion"/>
  </si>
  <si>
    <t>52.14745*</t>
    <phoneticPr fontId="3" type="noConversion"/>
  </si>
  <si>
    <t>69.6693*</t>
    <phoneticPr fontId="3" type="noConversion"/>
  </si>
  <si>
    <t>32.33129*</t>
    <phoneticPr fontId="3" type="noConversion"/>
  </si>
  <si>
    <t>43.73742*</t>
    <phoneticPr fontId="3" type="noConversion"/>
  </si>
  <si>
    <t>50.17423*</t>
    <phoneticPr fontId="3" type="noConversion"/>
  </si>
  <si>
    <t>45.22945*</t>
    <phoneticPr fontId="3" type="noConversion"/>
  </si>
  <si>
    <t>58.79755*</t>
    <phoneticPr fontId="3" type="noConversion"/>
  </si>
  <si>
    <t>23.60245*</t>
    <phoneticPr fontId="3" type="noConversion"/>
  </si>
  <si>
    <t>34.68221*</t>
    <phoneticPr fontId="3" type="noConversion"/>
  </si>
  <si>
    <t>44.22808*</t>
    <phoneticPr fontId="3" type="noConversion"/>
  </si>
  <si>
    <t>43.41521*</t>
    <phoneticPr fontId="3" type="noConversion"/>
  </si>
  <si>
    <t>50.11996*</t>
    <phoneticPr fontId="3" type="noConversion"/>
  </si>
  <si>
    <t>81.43734*</t>
    <phoneticPr fontId="3" type="noConversion"/>
  </si>
  <si>
    <t>79.47376*</t>
    <phoneticPr fontId="3" type="noConversion"/>
  </si>
  <si>
    <t>96.6105*</t>
    <phoneticPr fontId="3" type="noConversion"/>
  </si>
  <si>
    <t>88.70261*</t>
    <phoneticPr fontId="3" type="noConversion"/>
  </si>
  <si>
    <t>47.87433*</t>
    <phoneticPr fontId="3" type="noConversion"/>
  </si>
  <si>
    <t>50.27347*</t>
    <phoneticPr fontId="3" type="noConversion"/>
  </si>
  <si>
    <t>Nop</t>
    <phoneticPr fontId="3" type="noConversion"/>
  </si>
  <si>
    <t>3OC12 1uM</t>
    <phoneticPr fontId="3" type="noConversion"/>
  </si>
  <si>
    <r>
      <t>LasR177(ZY134</t>
    </r>
    <r>
      <rPr>
        <sz val="10"/>
        <rFont val="宋体"/>
        <family val="3"/>
        <charset val="134"/>
      </rPr>
      <t>）</t>
    </r>
    <phoneticPr fontId="3" type="noConversion"/>
  </si>
  <si>
    <r>
      <t>RpaR179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ZY226</t>
    </r>
    <r>
      <rPr>
        <sz val="10"/>
        <rFont val="宋体"/>
        <family val="3"/>
        <charset val="134"/>
      </rPr>
      <t>）</t>
    </r>
    <phoneticPr fontId="3" type="noConversion"/>
  </si>
  <si>
    <t>ER282-595(ZY495)</t>
    <phoneticPr fontId="3" type="noConversion"/>
  </si>
  <si>
    <t>IPTG 20 mM</t>
    <phoneticPr fontId="3" type="noConversion"/>
  </si>
  <si>
    <t>pC-HSL 50 uM</t>
    <phoneticPr fontId="3" type="noConversion"/>
  </si>
  <si>
    <t>caffeine1 uM</t>
    <phoneticPr fontId="3" type="noConversion"/>
  </si>
  <si>
    <t>3OHC14-HSL 100 nM</t>
    <phoneticPr fontId="3" type="noConversion"/>
  </si>
  <si>
    <t>IV-HSL 100 uM</t>
    <phoneticPr fontId="3" type="noConversion"/>
  </si>
  <si>
    <t>50 uM pC-HSL</t>
    <phoneticPr fontId="3" type="noConversion"/>
  </si>
  <si>
    <t>100 nM 3OHC14-HSL</t>
    <phoneticPr fontId="3" type="noConversion"/>
  </si>
  <si>
    <t>100 uM IV-HSL</t>
    <phoneticPr fontId="3" type="noConversion"/>
  </si>
  <si>
    <t>1 uM caffeine</t>
    <phoneticPr fontId="3" type="noConversion"/>
  </si>
  <si>
    <t>3OHC14-HSL 1 uM</t>
    <phoneticPr fontId="3" type="noConversion"/>
  </si>
  <si>
    <t>LasR177</t>
    <phoneticPr fontId="3" type="noConversion"/>
  </si>
  <si>
    <t>RpaR179</t>
    <phoneticPr fontId="3" type="noConversion"/>
  </si>
  <si>
    <t>ER282-595</t>
    <phoneticPr fontId="3" type="noConversion"/>
  </si>
  <si>
    <t>DHBR282-595</t>
    <phoneticPr fontId="3" type="noConversion"/>
  </si>
  <si>
    <t>CinR179</t>
    <phoneticPr fontId="3" type="noConversion"/>
  </si>
  <si>
    <t>BjaR180S107R</t>
    <phoneticPr fontId="3" type="noConversion"/>
  </si>
  <si>
    <t>LuxR183S116Y</t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</si>
  <si>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ec87</t>
    </r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</si>
  <si>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xa101</t>
    </r>
    <phoneticPr fontId="3" type="noConversion"/>
  </si>
  <si>
    <r>
      <t>PurR</t>
    </r>
    <r>
      <rPr>
        <vertAlign val="subscript"/>
        <sz val="11"/>
        <color rgb="FFFF0000"/>
        <rFont val="Arial"/>
        <family val="2"/>
      </rPr>
      <t>60</t>
    </r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</si>
  <si>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mm115</t>
    </r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</si>
  <si>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fs104</t>
    </r>
    <phoneticPr fontId="3" type="noConversion"/>
  </si>
  <si>
    <r>
      <t>CI</t>
    </r>
    <r>
      <rPr>
        <vertAlign val="subscript"/>
        <sz val="11"/>
        <color rgb="FFFF0000"/>
        <rFont val="Arial"/>
        <family val="2"/>
      </rPr>
      <t>94</t>
    </r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</si>
  <si>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gs91</t>
    </r>
    <phoneticPr fontId="3" type="noConversion"/>
  </si>
  <si>
    <r>
      <t>RecApact</t>
    </r>
    <r>
      <rPr>
        <vertAlign val="subscript"/>
        <sz val="11"/>
        <color rgb="FFFF0000"/>
        <rFont val="Arial"/>
        <family val="2"/>
      </rPr>
      <t>104</t>
    </r>
    <phoneticPr fontId="3" type="noConversion"/>
  </si>
  <si>
    <r>
      <t>DeoR</t>
    </r>
    <r>
      <rPr>
        <vertAlign val="subscript"/>
        <sz val="11"/>
        <color rgb="FFFF0000"/>
        <rFont val="Arial"/>
        <family val="2"/>
      </rPr>
      <t>92</t>
    </r>
    <phoneticPr fontId="3" type="noConversion"/>
  </si>
  <si>
    <r>
      <t>CI434</t>
    </r>
    <r>
      <rPr>
        <vertAlign val="subscript"/>
        <sz val="11"/>
        <color rgb="FFFF0000"/>
        <rFont val="Arial"/>
        <family val="2"/>
      </rPr>
      <t>70</t>
    </r>
    <phoneticPr fontId="3" type="noConversion"/>
  </si>
  <si>
    <r>
      <t>LexA</t>
    </r>
    <r>
      <rPr>
        <vertAlign val="subscript"/>
        <sz val="11"/>
        <color rgb="FFFF0000"/>
        <rFont val="Arial"/>
        <family val="2"/>
      </rPr>
      <t>ec87</t>
    </r>
    <phoneticPr fontId="3" type="noConversion"/>
  </si>
  <si>
    <t>LXR387</t>
    <phoneticPr fontId="3" type="noConversion"/>
  </si>
  <si>
    <t>LXR388</t>
    <phoneticPr fontId="3" type="noConversion"/>
  </si>
  <si>
    <t>LXR389</t>
    <phoneticPr fontId="3" type="noConversion"/>
  </si>
  <si>
    <t>LXR402</t>
    <phoneticPr fontId="3" type="noConversion"/>
  </si>
  <si>
    <t>LXR405</t>
    <phoneticPr fontId="3" type="noConversion"/>
  </si>
  <si>
    <t>LXR404</t>
    <phoneticPr fontId="3" type="noConversion"/>
  </si>
  <si>
    <t>LXR329</t>
    <phoneticPr fontId="3" type="noConversion"/>
  </si>
  <si>
    <t>lexAbs94 4.32</t>
    <phoneticPr fontId="3" type="noConversion"/>
  </si>
  <si>
    <t>other</t>
  </si>
  <si>
    <t>s5</t>
  </si>
  <si>
    <t>s23</t>
  </si>
  <si>
    <t>LexAs17</t>
  </si>
  <si>
    <t>LexAs15</t>
  </si>
  <si>
    <t>LexAs14</t>
  </si>
  <si>
    <t>CI OL1</t>
  </si>
  <si>
    <t>Figure 3G</t>
    <phoneticPr fontId="3" type="noConversion"/>
  </si>
  <si>
    <t>50.23935*</t>
    <phoneticPr fontId="3" type="noConversion"/>
  </si>
  <si>
    <t>52.75456*</t>
    <phoneticPr fontId="3" type="noConversion"/>
  </si>
  <si>
    <t>52.79303*</t>
    <phoneticPr fontId="3" type="noConversion"/>
  </si>
  <si>
    <t>46.58396*</t>
    <phoneticPr fontId="3" type="noConversion"/>
  </si>
  <si>
    <t>64.37069*</t>
    <phoneticPr fontId="3" type="noConversion"/>
  </si>
  <si>
    <t>57.63431*</t>
    <phoneticPr fontId="3" type="noConversion"/>
  </si>
  <si>
    <t>experiment_RPU</t>
  </si>
  <si>
    <t>predicted_RPU</t>
  </si>
  <si>
    <t>experiment (log10(Output) )</t>
  </si>
  <si>
    <t>prediction (log10(Output) )</t>
  </si>
  <si>
    <t>3OC12 (uM)</t>
  </si>
  <si>
    <t>beta-estradiol (uM)</t>
  </si>
  <si>
    <t>fig.5H</t>
  </si>
  <si>
    <r>
      <t>T</t>
    </r>
    <r>
      <rPr>
        <i/>
        <vertAlign val="subscript"/>
        <sz val="11"/>
        <color rgb="FFFF0000"/>
        <rFont val="Arial"/>
        <family val="2"/>
      </rPr>
      <t>max</t>
    </r>
    <phoneticPr fontId="3" type="noConversion"/>
  </si>
  <si>
    <r>
      <t>T</t>
    </r>
    <r>
      <rPr>
        <i/>
        <vertAlign val="subscript"/>
        <sz val="11"/>
        <color rgb="FFFF0000"/>
        <rFont val="Arial"/>
        <family val="2"/>
      </rPr>
      <t>0</t>
    </r>
    <phoneticPr fontId="3" type="noConversion"/>
  </si>
  <si>
    <t>regulation_order</t>
  </si>
  <si>
    <t>regulation_type</t>
  </si>
  <si>
    <t>DBD_operator_order</t>
  </si>
  <si>
    <t>boxplot_value_log10_DeltaExp_plus_log10_FC</t>
  </si>
  <si>
    <t>predicted_DeltaExp_RPU</t>
  </si>
  <si>
    <t>predicted_fold_change</t>
  </si>
  <si>
    <t>optimal_CTFall_RPU</t>
  </si>
  <si>
    <t>DHBR282-595</t>
  </si>
  <si>
    <t>lexOec</t>
  </si>
  <si>
    <t>lexOrec.sym</t>
  </si>
  <si>
    <t>LexAbs94</t>
  </si>
  <si>
    <t>LexAfs104</t>
  </si>
  <si>
    <t>lexOfs</t>
  </si>
  <si>
    <t>LexAgs91</t>
  </si>
  <si>
    <t>lexOgs</t>
  </si>
  <si>
    <t>LexAmm115</t>
  </si>
  <si>
    <t>lexOmm</t>
  </si>
  <si>
    <t>LexAxa101</t>
  </si>
  <si>
    <t>lexOxa</t>
  </si>
  <si>
    <t>RecApact104</t>
  </si>
  <si>
    <t>ORecApact</t>
  </si>
  <si>
    <t>DeoR92</t>
  </si>
  <si>
    <t>ODeoR</t>
  </si>
  <si>
    <t>HKCI84</t>
  </si>
  <si>
    <t>OHKCI</t>
  </si>
  <si>
    <t>OCI OL1</t>
  </si>
  <si>
    <t>OCI OR1</t>
  </si>
  <si>
    <t>OCI Osym</t>
  </si>
  <si>
    <t>OCI434</t>
  </si>
  <si>
    <t>PurR60</t>
  </si>
  <si>
    <t>purO</t>
  </si>
  <si>
    <t>LasR177</t>
  </si>
  <si>
    <t>ER282-595</t>
  </si>
  <si>
    <t>RpaR179</t>
  </si>
  <si>
    <t>TraR174</t>
  </si>
  <si>
    <t>BjaR180S107R</t>
  </si>
  <si>
    <t>BjaR180</t>
  </si>
  <si>
    <t>MR669-984</t>
  </si>
  <si>
    <t>CarRecc169</t>
  </si>
  <si>
    <t>CinR179</t>
  </si>
  <si>
    <t>GR487-777</t>
  </si>
  <si>
    <t>LuxR183S116Y</t>
  </si>
  <si>
    <t>SmaR179</t>
  </si>
  <si>
    <t>CepR176</t>
  </si>
  <si>
    <t>PauR17-160</t>
  </si>
  <si>
    <t>VqmA91-187</t>
  </si>
  <si>
    <t>PluR17-162</t>
  </si>
  <si>
    <t>Figure 6F</t>
    <phoneticPr fontId="3" type="noConversion"/>
  </si>
  <si>
    <t>TF Input RPU(sensor)</t>
    <phoneticPr fontId="20" type="noConversion"/>
  </si>
  <si>
    <t>pC-HSL(uM)</t>
  </si>
  <si>
    <t>DHB(uM)</t>
  </si>
  <si>
    <t>caff(nM)</t>
  </si>
  <si>
    <t>RU486(uM)</t>
  </si>
  <si>
    <t>IV (uM)</t>
  </si>
  <si>
    <t>BY4741 12 sensor strain non-repetitive reporter</t>
    <phoneticPr fontId="3" type="noConversion"/>
  </si>
  <si>
    <t>2-1C 12 sensor strain non-repetitive reporter</t>
    <phoneticPr fontId="3" type="noConversion"/>
  </si>
  <si>
    <t>2-1C 12 sensor strain Optimal reporter</t>
    <phoneticPr fontId="3" type="noConversion"/>
  </si>
  <si>
    <t>7 sensor lexAmm115-DHBR282-595-VP16</t>
    <phoneticPr fontId="3" type="noConversion"/>
  </si>
  <si>
    <t>8 sensor lexAgs91-acVHH-VP16</t>
    <phoneticPr fontId="3" type="noConversion"/>
  </si>
  <si>
    <t>9 sensor CI43470-CinR179-VP16</t>
    <phoneticPr fontId="3" type="noConversion"/>
  </si>
  <si>
    <t>10 sensor CI94-PR-VP16</t>
    <phoneticPr fontId="3" type="noConversion"/>
  </si>
  <si>
    <t>11sensor PurR60-BjaR180S107R-VP16</t>
    <phoneticPr fontId="3" type="noConversion"/>
  </si>
  <si>
    <r>
      <t>12 sensor lexAbs94-LuxR183</t>
    </r>
    <r>
      <rPr>
        <vertAlign val="superscript"/>
        <sz val="11"/>
        <color theme="1"/>
        <rFont val="Arial"/>
        <family val="2"/>
      </rPr>
      <t>S116Y</t>
    </r>
    <r>
      <rPr>
        <sz val="11"/>
        <color theme="1"/>
        <rFont val="Arial"/>
        <family val="2"/>
      </rPr>
      <t>-VP16</t>
    </r>
    <phoneticPr fontId="3" type="noConversion"/>
  </si>
  <si>
    <t>5 sensor lexAxa101-RpaR179-VP16</t>
    <phoneticPr fontId="3" type="noConversion"/>
  </si>
  <si>
    <t>6 sensor LexAec87-ER282-595-VP16</t>
    <phoneticPr fontId="3" type="noConversion"/>
  </si>
  <si>
    <t>1 sensor TetRNLS</t>
    <phoneticPr fontId="3" type="noConversion"/>
  </si>
  <si>
    <t>2 sensor XlnR</t>
    <phoneticPr fontId="3" type="noConversion"/>
  </si>
  <si>
    <r>
      <t>3 sensor LacI</t>
    </r>
    <r>
      <rPr>
        <vertAlign val="superscript"/>
        <sz val="11"/>
        <color theme="1"/>
        <rFont val="等线"/>
        <family val="3"/>
        <charset val="134"/>
        <scheme val="minor"/>
      </rPr>
      <t>NLS</t>
    </r>
    <phoneticPr fontId="3" type="noConversion"/>
  </si>
  <si>
    <t>csv</t>
  </si>
  <si>
    <t>Ctf,all</t>
  </si>
  <si>
    <t>prediction</t>
  </si>
  <si>
    <t>operator number</t>
  </si>
  <si>
    <t>403_001 | CI43470-ER282-595-VP16</t>
  </si>
  <si>
    <t>403.csv</t>
  </si>
  <si>
    <t>403_002 | CI43470-ER282-595-VP16</t>
  </si>
  <si>
    <t>403_003 | CI43470-ER282-595-VP16</t>
  </si>
  <si>
    <t>403_004 | CI43470-ER282-595-VP16</t>
  </si>
  <si>
    <t>403_005 | CI43470-ER282-595-VP16</t>
  </si>
  <si>
    <t>403_006 | CI43470-ER282-595-VP16</t>
  </si>
  <si>
    <t>403_007 | CI43470-ER282-595-VP16</t>
  </si>
  <si>
    <t>403_008 | CI43470-ER282-595-VP16</t>
  </si>
  <si>
    <t>403_009 | CI43470-ER282-595-VP16</t>
  </si>
  <si>
    <t>403_010 | CI43470-ER282-595-VP16</t>
  </si>
  <si>
    <t>403_011 | CI43470-ER282-595-VP16</t>
  </si>
  <si>
    <t>403_012 | CI43470-ER282-595-VP16</t>
  </si>
  <si>
    <t>403_013 | CI43470-ER282-595-VP16</t>
  </si>
  <si>
    <t>403_014 | CI43470-ER282-595-VP16</t>
  </si>
  <si>
    <t>403_015 | CI43470-ER282-595-VP16</t>
  </si>
  <si>
    <t>403_016 | CI43470-ER282-595-VP16</t>
  </si>
  <si>
    <t>403_017 | CI43470-ER282-595-VP16</t>
  </si>
  <si>
    <t>403_018 | CI43470-ER282-595-VP16</t>
  </si>
  <si>
    <t>403_019 | CI43470-ER282-595-VP16</t>
  </si>
  <si>
    <t>403_020 | CI43470-ER282-595-VP16</t>
  </si>
  <si>
    <t>403_021 | CI43470-ER282-595-VP16</t>
  </si>
  <si>
    <t>403_022 | CI43470-ER282-595-VP16</t>
  </si>
  <si>
    <t>403_023 | CI43470-ER282-595-VP16</t>
  </si>
  <si>
    <t>403_024 | CI43470-ER282-595-VP16</t>
  </si>
  <si>
    <t>403_025 | CI43470-ER282-595-VP16</t>
  </si>
  <si>
    <t>403_026 | CI43470-ER282-595-VP16</t>
  </si>
  <si>
    <t>403_027 | CI43470-ER282-595-VP16</t>
  </si>
  <si>
    <t>403_028 | CI43470-ER282-595-VP16</t>
  </si>
  <si>
    <t>403_029 | CI43470-ER282-595-VP16</t>
  </si>
  <si>
    <t>403_030 | CI43470-ER282-595-VP16</t>
  </si>
  <si>
    <t>403_031 | CI43470-ER282-595-VP16</t>
  </si>
  <si>
    <t>403_032 | CI43470-ER282-595-VP16</t>
  </si>
  <si>
    <t>403_033 | CI43470-ER282-595-VP16</t>
  </si>
  <si>
    <t>403_034 | CI43470-ER282-595-VP16</t>
  </si>
  <si>
    <t>403_035 | CI43470-ER282-595-VP16</t>
  </si>
  <si>
    <t>403_036 | CI43470-ER282-595-VP16</t>
  </si>
  <si>
    <t>403_037 | CI43470-ER282-595-VP16</t>
  </si>
  <si>
    <t>403_038 | CI43470-ER282-595-VP16</t>
  </si>
  <si>
    <t>403_039 | CI43470-ER282-595-VP16</t>
  </si>
  <si>
    <t>403_040 | CI43470-ER282-595-VP16</t>
  </si>
  <si>
    <t>403_041 | CI43470-ER282-595-VP16</t>
  </si>
  <si>
    <t>403_042 | CI43470-ER282-595-VP16</t>
  </si>
  <si>
    <t>403_043 | CI43470-ER282-595-VP16</t>
  </si>
  <si>
    <t>403_044 | CI43470-ER282-595-VP16</t>
  </si>
  <si>
    <t>403_045 | CI43470-ER282-595-VP16</t>
  </si>
  <si>
    <t>403_046 | CI43470-ER282-595-VP16</t>
  </si>
  <si>
    <t>403_047 | CI43470-ER282-595-VP16</t>
  </si>
  <si>
    <t>403_048 | CI43470-ER282-595-VP16</t>
  </si>
  <si>
    <t>403_049 | CI43470-ER282-595-VP16</t>
  </si>
  <si>
    <t>403_050 | CI43470-ER282-595-VP16</t>
  </si>
  <si>
    <t>403_051 | CI43470-ER282-595-VP16</t>
  </si>
  <si>
    <t>403_052 | CI43470-ER282-595-VP16</t>
  </si>
  <si>
    <t>403_053 | CI43470-ER282-595-VP16</t>
  </si>
  <si>
    <t>403_054 | CI43470-ER282-595-VP16</t>
  </si>
  <si>
    <t>404_001 | lexAec87-ER282-595-VP16</t>
  </si>
  <si>
    <t>404.csv</t>
  </si>
  <si>
    <t>404_002 | lexAec87-ER282-595-VP16</t>
  </si>
  <si>
    <t>404_003 | lexAec87-ER282-595-VP16</t>
  </si>
  <si>
    <t>404_004 | lexAec87-ER282-595-VP16</t>
  </si>
  <si>
    <t>404_005 | lexAec87-ER282-595-VP16</t>
  </si>
  <si>
    <t>404_006 | lexAec87-ER282-595-VP16</t>
  </si>
  <si>
    <t>404_007 | lexAec87-ER282-595-VP16</t>
  </si>
  <si>
    <t>404_008 | lexAec87-ER282-595-VP16</t>
  </si>
  <si>
    <t>404_009 | lexAec87-ER282-595-VP16</t>
  </si>
  <si>
    <t>404_010 | lexAec87-ER282-595-VP16</t>
  </si>
  <si>
    <t>404_011 | lexAec87-ER282-595-VP16</t>
  </si>
  <si>
    <t>404_012 | lexAec87-ER282-595-VP16</t>
  </si>
  <si>
    <t>404_013 | lexAec87-ER282-595-VP16</t>
  </si>
  <si>
    <t>404_014 | lexAec87-ER282-595-VP16</t>
  </si>
  <si>
    <t>404_015 | lexAec87-ER282-595-VP16</t>
  </si>
  <si>
    <t>404_016 | lexAec87-ER282-595-VP16</t>
  </si>
  <si>
    <t>404_017 | lexAec87-ER282-595-VP16</t>
  </si>
  <si>
    <t>404_018 | lexAec87-ER282-595-VP16</t>
  </si>
  <si>
    <t>404_019 | lexAec87-ER282-595-VP16</t>
  </si>
  <si>
    <t>404_020 | lexAec87-ER282-595-VP16</t>
  </si>
  <si>
    <t>404_021 | lexAec87-ER282-595-VP16</t>
  </si>
  <si>
    <t>404_022 | lexAec87-ER282-595-VP16</t>
  </si>
  <si>
    <t>404_023 | lexAec87-ER282-595-VP16</t>
  </si>
  <si>
    <t>404_024 | lexAec87-ER282-595-VP16</t>
  </si>
  <si>
    <t>404_025 | lexAec87-ER282-595-VP16</t>
  </si>
  <si>
    <t>404_026 | lexAec87-ER282-595-VP16</t>
  </si>
  <si>
    <t>404_027 | lexAec87-ER282-595-VP16</t>
  </si>
  <si>
    <t>404_028 | lexAec87-ER282-595-VP16</t>
  </si>
  <si>
    <t>404_029 | lexAec87-ER282-595-VP16</t>
  </si>
  <si>
    <t>404_030 | lexAec87-ER282-595-VP16</t>
  </si>
  <si>
    <t>404_031 | lexAec87-ER282-595-VP16</t>
  </si>
  <si>
    <t>404_032 | lexAec87-ER282-595-VP16</t>
  </si>
  <si>
    <t>404_033 | lexAec87-ER282-595-VP16</t>
  </si>
  <si>
    <t>404_034 | lexAec87-ER282-595-VP16</t>
  </si>
  <si>
    <t>404_035 | lexAec87-ER282-595-VP16</t>
  </si>
  <si>
    <t>404_036 | lexAec87-ER282-595-VP16</t>
  </si>
  <si>
    <t>404_037 | lexAec87-ER282-595-VP16</t>
  </si>
  <si>
    <t>404_038 | lexAec87-ER282-595-VP16</t>
  </si>
  <si>
    <t>404_039 | lexAec87-ER282-595-VP16</t>
  </si>
  <si>
    <t>404_040 | lexAec87-ER282-595-VP16</t>
  </si>
  <si>
    <t>404_041 | lexAec87-ER282-595-VP16</t>
  </si>
  <si>
    <t>404_042 | lexAec87-ER282-595-VP16</t>
  </si>
  <si>
    <t>404_043 | lexAec87-ER282-595-VP16</t>
  </si>
  <si>
    <t>404_044 | lexAec87-ER282-595-VP16</t>
  </si>
  <si>
    <t>404_045 | lexAec87-ER282-595-VP16</t>
  </si>
  <si>
    <t>404_046 | lexAec87-ER282-595-VP16</t>
  </si>
  <si>
    <t>404_047 | lexAec87-ER282-595-VP16</t>
  </si>
  <si>
    <t>404_048 | lexAec87-ER282-595-VP16</t>
  </si>
  <si>
    <t>404_049 | lexAec87-ER282-595-VP16</t>
  </si>
  <si>
    <t>404_050 | lexAec87-ER282-595-VP16</t>
  </si>
  <si>
    <t>404_051 | lexAec87-ER282-595-VP16</t>
  </si>
  <si>
    <t>404_052 | lexAec87-ER282-595-VP16</t>
  </si>
  <si>
    <t>404_053 | lexAec87-ER282-595-VP16</t>
  </si>
  <si>
    <t>404_054 | lexAec87-ER282-595-VP16</t>
  </si>
  <si>
    <t>405_001 | lexAxa101-ER282-595-VP16</t>
  </si>
  <si>
    <t>405.csv</t>
  </si>
  <si>
    <t>405_002 | lexAxa101-ER282-595-VP16</t>
  </si>
  <si>
    <t>405_003 | lexAxa101-ER282-595-VP16</t>
  </si>
  <si>
    <t>405_004 | lexAxa101-ER282-595-VP16</t>
  </si>
  <si>
    <t>405_005 | lexAxa101-ER282-595-VP16</t>
  </si>
  <si>
    <t>405_006 | lexAxa101-ER282-595-VP16</t>
  </si>
  <si>
    <t>405_007 | lexAxa101-ER282-595-VP16</t>
  </si>
  <si>
    <t>405_008 | lexAxa101-ER282-595-VP16</t>
  </si>
  <si>
    <t>405_009 | lexAxa101-ER282-595-VP16</t>
  </si>
  <si>
    <t>405_010 | lexAxa101-ER282-595-VP16</t>
  </si>
  <si>
    <t>405_011 | lexAxa101-ER282-595-VP16</t>
  </si>
  <si>
    <t>405_012 | lexAxa101-ER282-595-VP16</t>
  </si>
  <si>
    <t>405_013 | lexAxa101-ER282-595-VP16</t>
  </si>
  <si>
    <t>405_014 | lexAxa101-ER282-595-VP16</t>
  </si>
  <si>
    <t>405_015 | lexAxa101-ER282-595-VP16</t>
  </si>
  <si>
    <t>405_016 | lexAxa101-ER282-595-VP16</t>
  </si>
  <si>
    <t>405_017 | lexAxa101-ER282-595-VP16</t>
  </si>
  <si>
    <t>405_018 | lexAxa101-ER282-595-VP16</t>
  </si>
  <si>
    <t>405_019 | lexAxa101-ER282-595-VP16</t>
  </si>
  <si>
    <t>405_020 | lexAxa101-ER282-595-VP16</t>
  </si>
  <si>
    <t>405_021 | lexAxa101-ER282-595-VP16</t>
  </si>
  <si>
    <t>405_022 | lexAxa101-ER282-595-VP16</t>
  </si>
  <si>
    <t>405_023 | lexAxa101-ER282-595-VP16</t>
  </si>
  <si>
    <t>405_024 | lexAxa101-ER282-595-VP16</t>
  </si>
  <si>
    <t>405_025 | lexAxa101-ER282-595-VP16</t>
  </si>
  <si>
    <t>405_026 | lexAxa101-ER282-595-VP16</t>
  </si>
  <si>
    <t>405_027 | lexAxa101-ER282-595-VP16</t>
  </si>
  <si>
    <t>405_028 | lexAxa101-ER282-595-VP16</t>
  </si>
  <si>
    <t>405_029 | lexAxa101-ER282-595-VP16</t>
  </si>
  <si>
    <t>405_030 | lexAxa101-ER282-595-VP16</t>
  </si>
  <si>
    <t>405_031 | lexAxa101-ER282-595-VP16</t>
  </si>
  <si>
    <t>405_032 | lexAxa101-ER282-595-VP16</t>
  </si>
  <si>
    <t>405_033 | lexAxa101-ER282-595-VP16</t>
  </si>
  <si>
    <t>405_034 | lexAxa101-ER282-595-VP16</t>
  </si>
  <si>
    <t>405_035 | lexAxa101-ER282-595-VP16</t>
  </si>
  <si>
    <t>405_036 | lexAxa101-ER282-595-VP16</t>
  </si>
  <si>
    <t>405_037 | lexAxa101-ER282-595-VP16</t>
  </si>
  <si>
    <t>405_038 | lexAxa101-ER282-595-VP16</t>
  </si>
  <si>
    <t>405_039 | lexAxa101-ER282-595-VP16</t>
  </si>
  <si>
    <t>405_040 | lexAxa101-ER282-595-VP16</t>
  </si>
  <si>
    <t>405_041 | lexAxa101-ER282-595-VP16</t>
  </si>
  <si>
    <t>405_042 | lexAxa101-ER282-595-VP16</t>
  </si>
  <si>
    <t>405_043 | lexAxa101-ER282-595-VP16</t>
  </si>
  <si>
    <t>405_044 | lexAxa101-ER282-595-VP16</t>
  </si>
  <si>
    <t>405_045 | lexAxa101-ER282-595-VP16</t>
  </si>
  <si>
    <t>405_046 | lexAxa101-ER282-595-VP16</t>
  </si>
  <si>
    <t>405_047 | lexAxa101-ER282-595-VP16</t>
  </si>
  <si>
    <t>405_048 | lexAxa101-ER282-595-VP16</t>
  </si>
  <si>
    <t>405_049 | lexAxa101-ER282-595-VP16</t>
  </si>
  <si>
    <t>405_050 | lexAxa101-ER282-595-VP16</t>
  </si>
  <si>
    <t>405_051 | lexAxa101-ER282-595-VP16</t>
  </si>
  <si>
    <t>405_052 | lexAxa101-ER282-595-VP16</t>
  </si>
  <si>
    <t>405_053 | lexAxa101-ER282-595-VP16</t>
  </si>
  <si>
    <t>405_054 | lexAxa101-ER282-595-VP16</t>
  </si>
  <si>
    <t>406_001 | PurR60-RpaR179-VP16</t>
  </si>
  <si>
    <t>406.csv</t>
  </si>
  <si>
    <t>406_002 | PurR60-RpaR179-VP16</t>
  </si>
  <si>
    <t>406_003 | PurR60-RpaR179-VP16</t>
  </si>
  <si>
    <t>406_004 | PurR60-RpaR179-VP16</t>
  </si>
  <si>
    <t>406_005 | PurR60-RpaR179-VP16</t>
  </si>
  <si>
    <t>406_006 | PurR60-RpaR179-VP16</t>
  </si>
  <si>
    <t>406_007 | PurR60-RpaR179-VP16</t>
  </si>
  <si>
    <t>406_008 | PurR60-RpaR179-VP16</t>
  </si>
  <si>
    <t>406_009 | PurR60-RpaR179-VP16</t>
  </si>
  <si>
    <t>406_010 | PurR60-RpaR179-VP16</t>
  </si>
  <si>
    <t>406_011 | PurR60-RpaR179-VP16</t>
  </si>
  <si>
    <t>406_012 | PurR60-RpaR179-VP16</t>
  </si>
  <si>
    <t>406_013 | PurR60-RpaR179-VP16</t>
  </si>
  <si>
    <t>406_014 | PurR60-RpaR179-VP16</t>
  </si>
  <si>
    <t>406_015 | PurR60-RpaR179-VP16</t>
  </si>
  <si>
    <t>406_016 | PurR60-RpaR179-VP16</t>
  </si>
  <si>
    <t>406_017 | PurR60-RpaR179-VP16</t>
  </si>
  <si>
    <t>406_018 | PurR60-RpaR179-VP16</t>
  </si>
  <si>
    <t>406_019 | PurR60-RpaR179-VP16</t>
  </si>
  <si>
    <t>406_020 | PurR60-RpaR179-VP16</t>
  </si>
  <si>
    <t>406_021 | PurR60-RpaR179-VP16</t>
  </si>
  <si>
    <t>406_022 | PurR60-RpaR179-VP16</t>
  </si>
  <si>
    <t>406_023 | PurR60-RpaR179-VP16</t>
  </si>
  <si>
    <t>406_024 | PurR60-RpaR179-VP16</t>
  </si>
  <si>
    <t>406_025 | PurR60-RpaR179-VP16</t>
  </si>
  <si>
    <t>406_026 | PurR60-RpaR179-VP16</t>
  </si>
  <si>
    <t>406_027 | PurR60-RpaR179-VP16</t>
  </si>
  <si>
    <t>406_028 | PurR60-RpaR179-VP16</t>
  </si>
  <si>
    <t>406_029 | PurR60-RpaR179-VP16</t>
  </si>
  <si>
    <t>406_030 | PurR60-RpaR179-VP16</t>
  </si>
  <si>
    <t>406_031 | PurR60-RpaR179-VP16</t>
  </si>
  <si>
    <t>406_032 | PurR60-RpaR179-VP16</t>
  </si>
  <si>
    <t>406_033 | PurR60-RpaR179-VP16</t>
  </si>
  <si>
    <t>406_034 | PurR60-RpaR179-VP16</t>
  </si>
  <si>
    <t>406_035 | PurR60-RpaR179-VP16</t>
  </si>
  <si>
    <t>406_036 | PurR60-RpaR179-VP16</t>
  </si>
  <si>
    <t>406_037 | PurR60-RpaR179-VP16</t>
  </si>
  <si>
    <t>406_038 | PurR60-RpaR179-VP16</t>
  </si>
  <si>
    <t>406_039 | PurR60-RpaR179-VP16</t>
  </si>
  <si>
    <t>406_040 | PurR60-RpaR179-VP16</t>
  </si>
  <si>
    <t>406_041 | PurR60-RpaR179-VP16</t>
  </si>
  <si>
    <t>406_042 | PurR60-RpaR179-VP16</t>
  </si>
  <si>
    <t>406_043 | PurR60-RpaR179-VP16</t>
  </si>
  <si>
    <t>406_044 | PurR60-RpaR179-VP16</t>
  </si>
  <si>
    <t>406_045 | PurR60-RpaR179-VP16</t>
  </si>
  <si>
    <t>407_001 | lexAmm115-RpaR179-VP16</t>
  </si>
  <si>
    <t>407.csv</t>
  </si>
  <si>
    <t>407_002 | lexAmm115-RpaR179-VP16</t>
  </si>
  <si>
    <t>407_003 | lexAmm115-RpaR179-VP16</t>
  </si>
  <si>
    <t>407_004 | lexAmm115-RpaR179-VP16</t>
  </si>
  <si>
    <t>407_005 | lexAmm115-RpaR179-VP16</t>
  </si>
  <si>
    <t>407_006 | lexAmm115-RpaR179-VP16</t>
  </si>
  <si>
    <t>407_007 | lexAmm115-RpaR179-VP16</t>
  </si>
  <si>
    <t>407_008 | lexAmm115-RpaR179-VP16</t>
  </si>
  <si>
    <t>407_009 | lexAmm115-RpaR179-VP16</t>
  </si>
  <si>
    <t>407_010 | lexAmm115-RpaR179-VP16</t>
  </si>
  <si>
    <t>407_011 | lexAmm115-RpaR179-VP16</t>
  </si>
  <si>
    <t>407_012 | lexAmm115-RpaR179-VP16</t>
  </si>
  <si>
    <t>407_013 | lexAmm115-RpaR179-VP16</t>
  </si>
  <si>
    <t>407_014 | lexAmm115-RpaR179-VP16</t>
  </si>
  <si>
    <t>407_015 | lexAmm115-RpaR179-VP16</t>
  </si>
  <si>
    <t>407_016 | lexAmm115-RpaR179-VP16</t>
  </si>
  <si>
    <t>407_017 | lexAmm115-RpaR179-VP16</t>
  </si>
  <si>
    <t>407_018 | lexAmm115-RpaR179-VP16</t>
  </si>
  <si>
    <t>407_019 | lexAmm115-RpaR179-VP16</t>
  </si>
  <si>
    <t>407_020 | lexAmm115-RpaR179-VP16</t>
  </si>
  <si>
    <t>407_021 | lexAmm115-RpaR179-VP16</t>
  </si>
  <si>
    <t>407_022 | lexAmm115-RpaR179-VP16</t>
  </si>
  <si>
    <t>407_023 | lexAmm115-RpaR179-VP16</t>
  </si>
  <si>
    <t>407_024 | lexAmm115-RpaR179-VP16</t>
  </si>
  <si>
    <t>407_025 | lexAmm115-RpaR179-VP16</t>
  </si>
  <si>
    <t>407_026 | lexAmm115-RpaR179-VP16</t>
  </si>
  <si>
    <t>407_027 | lexAmm115-RpaR179-VP16</t>
  </si>
  <si>
    <t>407_028 | lexAmm115-RpaR179-VP16</t>
  </si>
  <si>
    <t>407_029 | lexAmm115-RpaR179-VP16</t>
  </si>
  <si>
    <t>407_030 | lexAmm115-RpaR179-VP16</t>
  </si>
  <si>
    <t>407_031 | lexAmm115-RpaR179-VP16</t>
  </si>
  <si>
    <t>407_032 | lexAmm115-RpaR179-VP16</t>
  </si>
  <si>
    <t>407_033 | lexAmm115-RpaR179-VP16</t>
  </si>
  <si>
    <t>407_034 | lexAmm115-RpaR179-VP16</t>
  </si>
  <si>
    <t>407_035 | lexAmm115-RpaR179-VP16</t>
  </si>
  <si>
    <t>407_036 | lexAmm115-RpaR179-VP16</t>
  </si>
  <si>
    <t>407_037 | lexAmm115-RpaR179-VP16</t>
  </si>
  <si>
    <t>407_038 | lexAmm115-RpaR179-VP16</t>
  </si>
  <si>
    <t>407_039 | lexAmm115-RpaR179-VP16</t>
  </si>
  <si>
    <t>407_040 | lexAmm115-RpaR179-VP16</t>
  </si>
  <si>
    <t>407_041 | lexAmm115-RpaR179-VP16</t>
  </si>
  <si>
    <t>407_042 | lexAmm115-RpaR179-VP16</t>
  </si>
  <si>
    <t>407_043 | lexAmm115-RpaR179-VP16</t>
  </si>
  <si>
    <t>407_044 | lexAmm115-RpaR179-VP16</t>
  </si>
  <si>
    <t>407_045 | lexAmm115-RpaR179-VP16</t>
  </si>
  <si>
    <t>407_046 | lexAmm115-RpaR179-VP16</t>
  </si>
  <si>
    <t>407_047 | lexAmm115-RpaR179-VP16</t>
  </si>
  <si>
    <t>407_048 | lexAmm115-RpaR179-VP16</t>
  </si>
  <si>
    <t>407_049 | lexAmm115-RpaR179-VP16</t>
  </si>
  <si>
    <t>407_050 | lexAmm115-RpaR179-VP16</t>
  </si>
  <si>
    <t>407_051 | lexAmm115-RpaR179-VP16</t>
  </si>
  <si>
    <t>407_052 | lexAmm115-RpaR179-VP16</t>
  </si>
  <si>
    <t>407_053 | lexAmm115-RpaR179-VP16</t>
  </si>
  <si>
    <t>407_054 | lexAmm115-RpaR179-VP16</t>
  </si>
  <si>
    <t>408_001 | PurR60-DHBR282-595-VP16</t>
  </si>
  <si>
    <t>408.csv</t>
  </si>
  <si>
    <t>408_002 | PurR60-DHBR282-595-VP16</t>
  </si>
  <si>
    <t>408_003 | PurR60-DHBR282-595-VP16</t>
  </si>
  <si>
    <t>408_004 | PurR60-DHBR282-595-VP16</t>
  </si>
  <si>
    <t>408_005 | PurR60-DHBR282-595-VP16</t>
  </si>
  <si>
    <t>408_006 | PurR60-DHBR282-595-VP16</t>
  </si>
  <si>
    <t>408_007 | PurR60-DHBR282-595-VP16</t>
  </si>
  <si>
    <t>408_008 | PurR60-DHBR282-595-VP16</t>
  </si>
  <si>
    <t>408_009 | PurR60-DHBR282-595-VP16</t>
  </si>
  <si>
    <t>408_010 | PurR60-DHBR282-595-VP16</t>
  </si>
  <si>
    <t>408_011 | PurR60-DHBR282-595-VP16</t>
  </si>
  <si>
    <t>408_012 | PurR60-DHBR282-595-VP16</t>
  </si>
  <si>
    <t>408_013 | PurR60-DHBR282-595-VP16</t>
  </si>
  <si>
    <t>408_014 | PurR60-DHBR282-595-VP16</t>
  </si>
  <si>
    <t>408_015 | PurR60-DHBR282-595-VP16</t>
  </si>
  <si>
    <t>408_016 | PurR60-DHBR282-595-VP16</t>
  </si>
  <si>
    <t>408_017 | PurR60-DHBR282-595-VP16</t>
  </si>
  <si>
    <t>408_018 | PurR60-DHBR282-595-VP16</t>
  </si>
  <si>
    <t>408_019 | PurR60-DHBR282-595-VP16</t>
  </si>
  <si>
    <t>408_020 | PurR60-DHBR282-595-VP16</t>
  </si>
  <si>
    <t>408_021 | PurR60-DHBR282-595-VP16</t>
  </si>
  <si>
    <t>408_022 | PurR60-DHBR282-595-VP16</t>
  </si>
  <si>
    <t>408_023 | PurR60-DHBR282-595-VP16</t>
  </si>
  <si>
    <t>408_024 | PurR60-DHBR282-595-VP16</t>
  </si>
  <si>
    <t>408_025 | PurR60-DHBR282-595-VP16</t>
  </si>
  <si>
    <t>408_026 | PurR60-DHBR282-595-VP16</t>
  </si>
  <si>
    <t>408_027 | PurR60-DHBR282-595-VP16</t>
  </si>
  <si>
    <t>408_028 | PurR60-DHBR282-595-VP16</t>
  </si>
  <si>
    <t>408_029 | PurR60-DHBR282-595-VP16</t>
  </si>
  <si>
    <t>408_030 | PurR60-DHBR282-595-VP16</t>
  </si>
  <si>
    <t>408_031 | PurR60-DHBR282-595-VP16</t>
  </si>
  <si>
    <t>408_032 | PurR60-DHBR282-595-VP16</t>
  </si>
  <si>
    <t>408_033 | PurR60-DHBR282-595-VP16</t>
  </si>
  <si>
    <t>408_034 | PurR60-DHBR282-595-VP16</t>
  </si>
  <si>
    <t>408_035 | PurR60-DHBR282-595-VP16</t>
  </si>
  <si>
    <t>408_036 | PurR60-DHBR282-595-VP16</t>
  </si>
  <si>
    <t>408_037 | PurR60-DHBR282-595-VP16</t>
  </si>
  <si>
    <t>408_038 | PurR60-DHBR282-595-VP16</t>
  </si>
  <si>
    <t>408_039 | PurR60-DHBR282-595-VP16</t>
  </si>
  <si>
    <t>408_040 | PurR60-DHBR282-595-VP16</t>
  </si>
  <si>
    <t>408_041 | PurR60-DHBR282-595-VP16</t>
  </si>
  <si>
    <t>408_042 | PurR60-DHBR282-595-VP16</t>
  </si>
  <si>
    <t>408_043 | PurR60-DHBR282-595-VP16</t>
  </si>
  <si>
    <t>408_044 | PurR60-DHBR282-595-VP16</t>
  </si>
  <si>
    <t>408_045 | PurR60-DHBR282-595-VP16</t>
  </si>
  <si>
    <t>408_046 | PurR60-DHBR282-595-VP16</t>
  </si>
  <si>
    <t>408_047 | PurR60-DHBR282-595-VP16</t>
  </si>
  <si>
    <t>408_048 | PurR60-DHBR282-595-VP16</t>
  </si>
  <si>
    <t>408_049 | PurR60-DHBR282-595-VP16</t>
  </si>
  <si>
    <t>408_050 | PurR60-DHBR282-595-VP16</t>
  </si>
  <si>
    <t>408_051 | PurR60-DHBR282-595-VP16</t>
  </si>
  <si>
    <t>408_052 | PurR60-DHBR282-595-VP16</t>
  </si>
  <si>
    <t>408_053 | PurR60-DHBR282-595-VP16</t>
  </si>
  <si>
    <t>408_054 | PurR60-DHBR282-595-VP16</t>
  </si>
  <si>
    <t>409_001 | lexAfs104-DHBR282-595-VP16</t>
  </si>
  <si>
    <t>409.csv</t>
  </si>
  <si>
    <t>409_002 | lexAfs104-DHBR282-595-VP16</t>
  </si>
  <si>
    <t>409_003 | lexAfs104-DHBR282-595-VP16</t>
  </si>
  <si>
    <t>409_004 | lexAfs104-DHBR282-595-VP16</t>
  </si>
  <si>
    <t>409_005 | lexAfs104-DHBR282-595-VP16</t>
  </si>
  <si>
    <t>409_006 | lexAfs104-DHBR282-595-VP16</t>
  </si>
  <si>
    <t>409_007 | lexAfs104-DHBR282-595-VP16</t>
  </si>
  <si>
    <t>409_008 | lexAfs104-DHBR282-595-VP16</t>
  </si>
  <si>
    <t>409_009 | lexAfs104-DHBR282-595-VP16</t>
  </si>
  <si>
    <t>409_010 | lexAfs104-DHBR282-595-VP16</t>
  </si>
  <si>
    <t>409_011 | lexAfs104-DHBR282-595-VP16</t>
  </si>
  <si>
    <t>409_012 | lexAfs104-DHBR282-595-VP16</t>
  </si>
  <si>
    <t>409_013 | lexAfs104-DHBR282-595-VP16</t>
  </si>
  <si>
    <t>409_014 | lexAfs104-DHBR282-595-VP16</t>
  </si>
  <si>
    <t>409_015 | lexAfs104-DHBR282-595-VP16</t>
  </si>
  <si>
    <t>409_016 | lexAfs104-DHBR282-595-VP16</t>
  </si>
  <si>
    <t>409_017 | lexAfs104-DHBR282-595-VP16</t>
  </si>
  <si>
    <t>409_018 | lexAfs104-DHBR282-595-VP16</t>
  </si>
  <si>
    <t>409_019 | lexAfs104-DHBR282-595-VP16</t>
  </si>
  <si>
    <t>409_020 | lexAfs104-DHBR282-595-VP16</t>
  </si>
  <si>
    <t>409_021 | lexAfs104-DHBR282-595-VP16</t>
  </si>
  <si>
    <t>409_022 | lexAfs104-DHBR282-595-VP16</t>
  </si>
  <si>
    <t>409_023 | lexAfs104-DHBR282-595-VP16</t>
  </si>
  <si>
    <t>409_024 | lexAfs104-DHBR282-595-VP16</t>
  </si>
  <si>
    <t>409_025 | lexAfs104-DHBR282-595-VP16</t>
  </si>
  <si>
    <t>409_026 | lexAfs104-DHBR282-595-VP16</t>
  </si>
  <si>
    <t>409_027 | lexAfs104-DHBR282-595-VP16</t>
  </si>
  <si>
    <t>409_028 | lexAfs104-DHBR282-595-VP16</t>
  </si>
  <si>
    <t>409_029 | lexAfs104-DHBR282-595-VP16</t>
  </si>
  <si>
    <t>409_030 | lexAfs104-DHBR282-595-VP16</t>
  </si>
  <si>
    <t>409_031 | lexAfs104-DHBR282-595-VP16</t>
  </si>
  <si>
    <t>409_032 | lexAfs104-DHBR282-595-VP16</t>
  </si>
  <si>
    <t>409_033 | lexAfs104-DHBR282-595-VP16</t>
  </si>
  <si>
    <t>409_034 | lexAfs104-DHBR282-595-VP16</t>
  </si>
  <si>
    <t>409_035 | lexAfs104-DHBR282-595-VP16</t>
  </si>
  <si>
    <t>409_036 | lexAfs104-DHBR282-595-VP16</t>
  </si>
  <si>
    <t>409_037 | lexAfs104-DHBR282-595-VP16</t>
  </si>
  <si>
    <t>409_038 | lexAfs104-DHBR282-595-VP16</t>
  </si>
  <si>
    <t>409_039 | lexAfs104-DHBR282-595-VP16</t>
  </si>
  <si>
    <t>409_040 | lexAfs104-DHBR282-595-VP16</t>
  </si>
  <si>
    <t>409_041 | lexAfs104-DHBR282-595-VP16</t>
  </si>
  <si>
    <t>409_042 | lexAfs104-DHBR282-595-VP16</t>
  </si>
  <si>
    <t>409_043 | lexAfs104-DHBR282-595-VP16</t>
  </si>
  <si>
    <t>409_044 | lexAfs104-DHBR282-595-VP16</t>
  </si>
  <si>
    <t>409_045 | lexAfs104-DHBR282-595-VP16</t>
  </si>
  <si>
    <t>409_046 | lexAfs104-DHBR282-595-VP16</t>
  </si>
  <si>
    <t>409_047 | lexAfs104-DHBR282-595-VP16</t>
  </si>
  <si>
    <t>409_048 | lexAfs104-DHBR282-595-VP16</t>
  </si>
  <si>
    <t>409_049 | lexAfs104-DHBR282-595-VP16</t>
  </si>
  <si>
    <t>409_050 | lexAfs104-DHBR282-595-VP16</t>
  </si>
  <si>
    <t>409_051 | lexAfs104-DHBR282-595-VP16</t>
  </si>
  <si>
    <t>409_052 | lexAfs104-DHBR282-595-VP16</t>
  </si>
  <si>
    <t>409_053 | lexAfs104-DHBR282-595-VP16</t>
  </si>
  <si>
    <t>409_054 | lexAfs104-DHBR282-595-VP16</t>
  </si>
  <si>
    <t>410_001 | lexAfs104-TraR174-VP16</t>
  </si>
  <si>
    <t>410.csv</t>
  </si>
  <si>
    <t>410_002 | lexAfs104-TraR174-VP16</t>
  </si>
  <si>
    <t>410_003 | lexAfs104-TraR174-VP16</t>
  </si>
  <si>
    <t>410_004 | lexAfs104-TraR174-VP16</t>
  </si>
  <si>
    <t>410_005 | lexAfs104-TraR174-VP16</t>
  </si>
  <si>
    <t>410_006 | lexAfs104-TraR174-VP16</t>
  </si>
  <si>
    <t>410_007 | lexAfs104-TraR174-VP16</t>
  </si>
  <si>
    <t>410_008 | lexAfs104-TraR174-VP16</t>
  </si>
  <si>
    <t>410_009 | lexAfs104-TraR174-VP16</t>
  </si>
  <si>
    <t>410_010 | lexAfs104-TraR174-VP16</t>
  </si>
  <si>
    <t>410_011 | lexAfs104-TraR174-VP16</t>
  </si>
  <si>
    <t>410_012 | lexAfs104-TraR174-VP16</t>
  </si>
  <si>
    <t>410_013 | lexAfs104-TraR174-VP16</t>
  </si>
  <si>
    <t>410_014 | lexAfs104-TraR174-VP16</t>
  </si>
  <si>
    <t>410_015 | lexAfs104-TraR174-VP16</t>
  </si>
  <si>
    <t>410_016 | lexAfs104-TraR174-VP16</t>
  </si>
  <si>
    <t>410_017 | lexAfs104-TraR174-VP16</t>
  </si>
  <si>
    <t>410_018 | lexAfs104-TraR174-VP16</t>
  </si>
  <si>
    <t>410_019 | lexAfs104-TraR174-VP16</t>
  </si>
  <si>
    <t>410_020 | lexAfs104-TraR174-VP16</t>
  </si>
  <si>
    <t>410_021 | lexAfs104-TraR174-VP16</t>
  </si>
  <si>
    <t>410_022 | lexAfs104-TraR174-VP16</t>
  </si>
  <si>
    <t>410_023 | lexAfs104-TraR174-VP16</t>
  </si>
  <si>
    <t>410_024 | lexAfs104-TraR174-VP16</t>
  </si>
  <si>
    <t>410_025 | lexAfs104-TraR174-VP16</t>
  </si>
  <si>
    <t>410_026 | lexAfs104-TraR174-VP16</t>
  </si>
  <si>
    <t>410_027 | lexAfs104-TraR174-VP16</t>
  </si>
  <si>
    <t>410_028 | lexAfs104-TraR174-VP16</t>
  </si>
  <si>
    <t>410_029 | lexAfs104-TraR174-VP16</t>
  </si>
  <si>
    <t>410_030 | lexAfs104-TraR174-VP16</t>
  </si>
  <si>
    <t>410_031 | lexAfs104-TraR174-VP16</t>
  </si>
  <si>
    <t>410_032 | lexAfs104-TraR174-VP16</t>
  </si>
  <si>
    <t>410_033 | lexAfs104-TraR174-VP16</t>
  </si>
  <si>
    <t>410_034 | lexAfs104-TraR174-VP16</t>
  </si>
  <si>
    <t>410_035 | lexAfs104-TraR174-VP16</t>
  </si>
  <si>
    <t>410_036 | lexAfs104-TraR174-VP16</t>
  </si>
  <si>
    <t>410_037 | lexAfs104-TraR174-VP16</t>
  </si>
  <si>
    <t>410_038 | lexAfs104-TraR174-VP16</t>
  </si>
  <si>
    <t>410_039 | lexAfs104-TraR174-VP16</t>
  </si>
  <si>
    <t>410_040 | lexAfs104-TraR174-VP16</t>
  </si>
  <si>
    <t>410_041 | lexAfs104-TraR174-VP16</t>
  </si>
  <si>
    <t>410_042 | lexAfs104-TraR174-VP16</t>
  </si>
  <si>
    <t>410_043 | lexAfs104-TraR174-VP16</t>
  </si>
  <si>
    <t>410_044 | lexAfs104-TraR174-VP16</t>
  </si>
  <si>
    <t>410_045 | lexAfs104-TraR174-VP16</t>
  </si>
  <si>
    <t>410_046 | lexAfs104-TraR174-VP16</t>
  </si>
  <si>
    <t>410_047 | lexAfs104-TraR174-VP16</t>
  </si>
  <si>
    <t>410_048 | lexAfs104-TraR174-VP16</t>
  </si>
  <si>
    <t>410_049 | lexAfs104-TraR174-VP16</t>
  </si>
  <si>
    <t>410_050 | lexAfs104-TraR174-VP16</t>
  </si>
  <si>
    <t>410_051 | lexAfs104-TraR174-VP16</t>
  </si>
  <si>
    <t>410_052 | lexAfs104-TraR174-VP16</t>
  </si>
  <si>
    <t>410_053 | lexAfs104-TraR174-VP16</t>
  </si>
  <si>
    <t>410_054 | lexAfs104-TraR174-VP16</t>
  </si>
  <si>
    <t>412_001 | lexAxa101-PR-VP16</t>
  </si>
  <si>
    <t>412.csv</t>
  </si>
  <si>
    <t>412_002 | lexAxa101-PR-VP16</t>
  </si>
  <si>
    <t>412_003 | lexAxa101-PR-VP16</t>
  </si>
  <si>
    <t>412_004 | lexAxa101-PR-VP16</t>
  </si>
  <si>
    <t>412_005 | lexAxa101-PR-VP16</t>
  </si>
  <si>
    <t>412_006 | lexAxa101-PR-VP16</t>
  </si>
  <si>
    <t>412_007 | lexAxa101-PR-VP16</t>
  </si>
  <si>
    <t>412_008 | lexAxa101-PR-VP16</t>
  </si>
  <si>
    <t>412_009 | lexAxa101-PR-VP16</t>
  </si>
  <si>
    <t>412_010 | lexAxa101-PR-VP16</t>
  </si>
  <si>
    <t>412_011 | lexAxa101-PR-VP16</t>
  </si>
  <si>
    <t>412_012 | lexAxa101-PR-VP16</t>
  </si>
  <si>
    <t>412_013 | lexAxa101-PR-VP16</t>
  </si>
  <si>
    <t>412_014 | lexAxa101-PR-VP16</t>
  </si>
  <si>
    <t>412_015 | lexAxa101-PR-VP16</t>
  </si>
  <si>
    <t>412_016 | lexAxa101-PR-VP16</t>
  </si>
  <si>
    <t>412_017 | lexAxa101-PR-VP16</t>
  </si>
  <si>
    <t>412_018 | lexAxa101-PR-VP16</t>
  </si>
  <si>
    <t>412_019 | lexAxa101-PR-VP16</t>
  </si>
  <si>
    <t>412_020 | lexAxa101-PR-VP16</t>
  </si>
  <si>
    <t>412_021 | lexAxa101-PR-VP16</t>
  </si>
  <si>
    <t>412_022 | lexAxa101-PR-VP16</t>
  </si>
  <si>
    <t>412_023 | lexAxa101-PR-VP16</t>
  </si>
  <si>
    <t>412_024 | lexAxa101-PR-VP16</t>
  </si>
  <si>
    <t>412_025 | lexAxa101-PR-VP16</t>
  </si>
  <si>
    <t>412_026 | lexAxa101-PR-VP16</t>
  </si>
  <si>
    <t>412_027 | lexAxa101-PR-VP16</t>
  </si>
  <si>
    <t>412_028 | lexAxa101-PR-VP16</t>
  </si>
  <si>
    <t>412_029 | lexAxa101-PR-VP16</t>
  </si>
  <si>
    <t>412_030 | lexAxa101-PR-VP16</t>
  </si>
  <si>
    <t>412_031 | lexAxa101-PR-VP16</t>
  </si>
  <si>
    <t>412_032 | lexAxa101-PR-VP16</t>
  </si>
  <si>
    <t>412_033 | lexAxa101-PR-VP16</t>
  </si>
  <si>
    <t>412_034 | lexAxa101-PR-VP16</t>
  </si>
  <si>
    <t>412_035 | lexAxa101-PR-VP16</t>
  </si>
  <si>
    <t>412_036 | lexAxa101-PR-VP16</t>
  </si>
  <si>
    <t>412_037 | lexAxa101-PR-VP16</t>
  </si>
  <si>
    <t>412_038 | lexAxa101-PR-VP16</t>
  </si>
  <si>
    <t>412_039 | lexAxa101-PR-VP16</t>
  </si>
  <si>
    <t>412_040 | lexAxa101-PR-VP16</t>
  </si>
  <si>
    <t>412_041 | lexAxa101-PR-VP16</t>
  </si>
  <si>
    <t>412_042 | lexAxa101-PR-VP16</t>
  </si>
  <si>
    <t>412_043 | lexAxa101-PR-VP16</t>
  </si>
  <si>
    <t>412_044 | lexAxa101-PR-VP16</t>
  </si>
  <si>
    <t>412_045 | lexAxa101-PR-VP16</t>
  </si>
  <si>
    <t>412_046 | lexAxa101-PR-VP16</t>
  </si>
  <si>
    <t>412_047 | lexAxa101-PR-VP16</t>
  </si>
  <si>
    <t>412_048 | lexAxa101-PR-VP16</t>
  </si>
  <si>
    <t>412_049 | lexAxa101-PR-VP16</t>
  </si>
  <si>
    <t>412_050 | lexAxa101-PR-VP16</t>
  </si>
  <si>
    <t>412_051 | lexAxa101-PR-VP16</t>
  </si>
  <si>
    <t>412_052 | lexAxa101-PR-VP16</t>
  </si>
  <si>
    <t>412_053 | lexAxa101-PR-VP16</t>
  </si>
  <si>
    <t>412_054 | lexAxa101-PR-VP16</t>
  </si>
  <si>
    <t>413_001 | lexAmm115-BjaR180-VP16</t>
  </si>
  <si>
    <t>413.csv</t>
  </si>
  <si>
    <t>413_002 | lexAmm115-BjaR180-VP16</t>
  </si>
  <si>
    <t>413_003 | lexAmm115-BjaR180-VP16</t>
  </si>
  <si>
    <t>413_004 | lexAmm115-BjaR180-VP16</t>
  </si>
  <si>
    <t>413_005 | lexAmm115-BjaR180-VP16</t>
  </si>
  <si>
    <t>413_006 | lexAmm115-BjaR180-VP16</t>
  </si>
  <si>
    <t>413_007 | lexAmm115-BjaR180-VP16</t>
  </si>
  <si>
    <t>413_008 | lexAmm115-BjaR180-VP16</t>
  </si>
  <si>
    <t>413_009 | lexAmm115-BjaR180-VP16</t>
  </si>
  <si>
    <t>413_010 | lexAmm115-BjaR180-VP16</t>
  </si>
  <si>
    <t>413_011 | lexAmm115-BjaR180-VP16</t>
  </si>
  <si>
    <t>413_012 | lexAmm115-BjaR180-VP16</t>
  </si>
  <si>
    <t>413_013 | lexAmm115-BjaR180-VP16</t>
  </si>
  <si>
    <t>413_014 | lexAmm115-BjaR180-VP16</t>
  </si>
  <si>
    <t>413_015 | lexAmm115-BjaR180-VP16</t>
  </si>
  <si>
    <t>413_016 | lexAmm115-BjaR180-VP16</t>
  </si>
  <si>
    <t>413_017 | lexAmm115-BjaR180-VP16</t>
  </si>
  <si>
    <t>413_018 | lexAmm115-BjaR180-VP16</t>
  </si>
  <si>
    <t>413_019 | lexAmm115-BjaR180-VP16</t>
  </si>
  <si>
    <t>413_020 | lexAmm115-BjaR180-VP16</t>
  </si>
  <si>
    <t>413_021 | lexAmm115-BjaR180-VP16</t>
  </si>
  <si>
    <t>413_022 | lexAmm115-BjaR180-VP16</t>
  </si>
  <si>
    <t>413_023 | lexAmm115-BjaR180-VP16</t>
  </si>
  <si>
    <t>413_024 | lexAmm115-BjaR180-VP16</t>
  </si>
  <si>
    <t>413_025 | lexAmm115-BjaR180-VP16</t>
  </si>
  <si>
    <t>413_026 | lexAmm115-BjaR180-VP16</t>
  </si>
  <si>
    <t>413_027 | lexAmm115-BjaR180-VP16</t>
  </si>
  <si>
    <t>413_028 | lexAmm115-BjaR180-VP16</t>
  </si>
  <si>
    <t>413_029 | lexAmm115-BjaR180-VP16</t>
  </si>
  <si>
    <t>413_030 | lexAmm115-BjaR180-VP16</t>
  </si>
  <si>
    <t>413_031 | lexAmm115-BjaR180-VP16</t>
  </si>
  <si>
    <t>413_032 | lexAmm115-BjaR180-VP16</t>
  </si>
  <si>
    <t>413_033 | lexAmm115-BjaR180-VP16</t>
  </si>
  <si>
    <t>413_034 | lexAmm115-BjaR180-VP16</t>
  </si>
  <si>
    <t>413_035 | lexAmm115-BjaR180-VP16</t>
  </si>
  <si>
    <t>413_036 | lexAmm115-BjaR180-VP16</t>
  </si>
  <si>
    <t>413_037 | lexAmm115-BjaR180-VP16</t>
  </si>
  <si>
    <t>413_038 | lexAmm115-BjaR180-VP16</t>
  </si>
  <si>
    <t>413_039 | lexAmm115-BjaR180-VP16</t>
  </si>
  <si>
    <t>413_040 | lexAmm115-BjaR180-VP16</t>
  </si>
  <si>
    <t>413_041 | lexAmm115-BjaR180-VP16</t>
  </si>
  <si>
    <t>413_042 | lexAmm115-BjaR180-VP16</t>
  </si>
  <si>
    <t>413_043 | lexAmm115-BjaR180-VP16</t>
  </si>
  <si>
    <t>413_044 | lexAmm115-BjaR180-VP16</t>
  </si>
  <si>
    <t>413_045 | lexAmm115-BjaR180-VP16</t>
  </si>
  <si>
    <t>413_046 | lexAmm115-BjaR180-VP16</t>
  </si>
  <si>
    <t>413_047 | lexAmm115-BjaR180-VP16</t>
  </si>
  <si>
    <t>413_048 | lexAmm115-BjaR180-VP16</t>
  </si>
  <si>
    <t>413_049 | lexAmm115-BjaR180-VP16</t>
  </si>
  <si>
    <t>413_050 | lexAmm115-BjaR180-VP16</t>
  </si>
  <si>
    <t>413_051 | lexAmm115-BjaR180-VP16</t>
  </si>
  <si>
    <t>413_052 | lexAmm115-BjaR180-VP16</t>
  </si>
  <si>
    <t>413_053 | lexAmm115-BjaR180-VP16</t>
  </si>
  <si>
    <t>413_054 | lexAmm115-BjaR180-VP16</t>
  </si>
  <si>
    <t>414_001 | lexAec87-MR669-984-VP16</t>
  </si>
  <si>
    <t>414.csv</t>
  </si>
  <si>
    <t>414_002 | lexAec87-MR669-984-VP16</t>
  </si>
  <si>
    <t>414_003 | lexAec87-MR669-984-VP16</t>
  </si>
  <si>
    <t>414_004 | lexAec87-MR669-984-VP16</t>
  </si>
  <si>
    <t>414_005 | lexAec87-MR669-984-VP16</t>
  </si>
  <si>
    <t>414_006 | lexAec87-MR669-984-VP16</t>
  </si>
  <si>
    <t>414_007 | lexAec87-MR669-984-VP16</t>
  </si>
  <si>
    <t>414_008 | lexAec87-MR669-984-VP16</t>
  </si>
  <si>
    <t>414_009 | lexAec87-MR669-984-VP16</t>
  </si>
  <si>
    <t>414_010 | lexAec87-MR669-984-VP16</t>
  </si>
  <si>
    <t>414_011 | lexAec87-MR669-984-VP16</t>
  </si>
  <si>
    <t>414_012 | lexAec87-MR669-984-VP16</t>
  </si>
  <si>
    <t>414_013 | lexAec87-MR669-984-VP16</t>
  </si>
  <si>
    <t>414_014 | lexAec87-MR669-984-VP16</t>
  </si>
  <si>
    <t>414_015 | lexAec87-MR669-984-VP16</t>
  </si>
  <si>
    <t>414_016 | lexAec87-MR669-984-VP16</t>
  </si>
  <si>
    <t>414_017 | lexAec87-MR669-984-VP16</t>
  </si>
  <si>
    <t>414_018 | lexAec87-MR669-984-VP16</t>
  </si>
  <si>
    <t>414_019 | lexAec87-MR669-984-VP16</t>
  </si>
  <si>
    <t>414_020 | lexAec87-MR669-984-VP16</t>
  </si>
  <si>
    <t>414_021 | lexAec87-MR669-984-VP16</t>
  </si>
  <si>
    <t>414_022 | lexAec87-MR669-984-VP16</t>
  </si>
  <si>
    <t>414_023 | lexAec87-MR669-984-VP16</t>
  </si>
  <si>
    <t>414_024 | lexAec87-MR669-984-VP16</t>
  </si>
  <si>
    <t>414_025 | lexAec87-MR669-984-VP16</t>
  </si>
  <si>
    <t>414_026 | lexAec87-MR669-984-VP16</t>
  </si>
  <si>
    <t>414_027 | lexAec87-MR669-984-VP16</t>
  </si>
  <si>
    <t>414_028 | lexAec87-MR669-984-VP16</t>
  </si>
  <si>
    <t>414_029 | lexAec87-MR669-984-VP16</t>
  </si>
  <si>
    <t>414_030 | lexAec87-MR669-984-VP16</t>
  </si>
  <si>
    <t>414_031 | lexAec87-MR669-984-VP16</t>
  </si>
  <si>
    <t>414_032 | lexAec87-MR669-984-VP16</t>
  </si>
  <si>
    <t>414_033 | lexAec87-MR669-984-VP16</t>
  </si>
  <si>
    <t>414_034 | lexAec87-MR669-984-VP16</t>
  </si>
  <si>
    <t>414_035 | lexAec87-MR669-984-VP16</t>
  </si>
  <si>
    <t>414_036 | lexAec87-MR669-984-VP16</t>
  </si>
  <si>
    <t>414_037 | lexAec87-MR669-984-VP16</t>
  </si>
  <si>
    <t>414_038 | lexAec87-MR669-984-VP16</t>
  </si>
  <si>
    <t>414_039 | lexAec87-MR669-984-VP16</t>
  </si>
  <si>
    <t>414_040 | lexAec87-MR669-984-VP16</t>
  </si>
  <si>
    <t>414_041 | lexAec87-MR669-984-VP16</t>
  </si>
  <si>
    <t>414_042 | lexAec87-MR669-984-VP16</t>
  </si>
  <si>
    <t>414_043 | lexAec87-MR669-984-VP16</t>
  </si>
  <si>
    <t>414_044 | lexAec87-MR669-984-VP16</t>
  </si>
  <si>
    <t>414_045 | lexAec87-MR669-984-VP16</t>
  </si>
  <si>
    <t>415_001 | lexAxa101-MR669-984-VP16</t>
  </si>
  <si>
    <t>415.csv</t>
  </si>
  <si>
    <t>415_002 | lexAxa101-MR669-984-VP16</t>
  </si>
  <si>
    <t>415_003 | lexAxa101-MR669-984-VP16</t>
  </si>
  <si>
    <t>415_004 | lexAxa101-MR669-984-VP16</t>
  </si>
  <si>
    <t>415_005 | lexAxa101-MR669-984-VP16</t>
  </si>
  <si>
    <t>415_006 | lexAxa101-MR669-984-VP16</t>
  </si>
  <si>
    <t>415_007 | lexAxa101-MR669-984-VP16</t>
  </si>
  <si>
    <t>415_008 | lexAxa101-MR669-984-VP16</t>
  </si>
  <si>
    <t>415_009 | lexAxa101-MR669-984-VP16</t>
  </si>
  <si>
    <t>415_010 | lexAxa101-MR669-984-VP16</t>
  </si>
  <si>
    <t>415_011 | lexAxa101-MR669-984-VP16</t>
  </si>
  <si>
    <t>415_012 | lexAxa101-MR669-984-VP16</t>
  </si>
  <si>
    <t>415_013 | lexAxa101-MR669-984-VP16</t>
  </si>
  <si>
    <t>415_014 | lexAxa101-MR669-984-VP16</t>
  </si>
  <si>
    <t>415_015 | lexAxa101-MR669-984-VP16</t>
  </si>
  <si>
    <t>415_016 | lexAxa101-MR669-984-VP16</t>
  </si>
  <si>
    <t>415_017 | lexAxa101-MR669-984-VP16</t>
  </si>
  <si>
    <t>415_018 | lexAxa101-MR669-984-VP16</t>
  </si>
  <si>
    <t>415_019 | lexAxa101-MR669-984-VP16</t>
  </si>
  <si>
    <t>415_020 | lexAxa101-MR669-984-VP16</t>
  </si>
  <si>
    <t>415_021 | lexAxa101-MR669-984-VP16</t>
  </si>
  <si>
    <t>415_022 | lexAxa101-MR669-984-VP16</t>
  </si>
  <si>
    <t>415_023 | lexAxa101-MR669-984-VP16</t>
  </si>
  <si>
    <t>415_024 | lexAxa101-MR669-984-VP16</t>
  </si>
  <si>
    <t>415_025 | lexAxa101-MR669-984-VP16</t>
  </si>
  <si>
    <t>415_026 | lexAxa101-MR669-984-VP16</t>
  </si>
  <si>
    <t>415_027 | lexAxa101-MR669-984-VP16</t>
  </si>
  <si>
    <t>415_028 | lexAxa101-MR669-984-VP16</t>
  </si>
  <si>
    <t>415_029 | lexAxa101-MR669-984-VP16</t>
  </si>
  <si>
    <t>415_030 | lexAxa101-MR669-984-VP16</t>
  </si>
  <si>
    <t>415_031 | lexAxa101-MR669-984-VP16</t>
  </si>
  <si>
    <t>415_032 | lexAxa101-MR669-984-VP16</t>
  </si>
  <si>
    <t>415_033 | lexAxa101-MR669-984-VP16</t>
  </si>
  <si>
    <t>415_034 | lexAxa101-MR669-984-VP16</t>
  </si>
  <si>
    <t>415_035 | lexAxa101-MR669-984-VP16</t>
  </si>
  <si>
    <t>415_036 | lexAxa101-MR669-984-VP16</t>
  </si>
  <si>
    <t>415_037 | lexAxa101-MR669-984-VP16</t>
  </si>
  <si>
    <t>415_038 | lexAxa101-MR669-984-VP16</t>
  </si>
  <si>
    <t>415_039 | lexAxa101-MR669-984-VP16</t>
  </si>
  <si>
    <t>415_040 | lexAxa101-MR669-984-VP16</t>
  </si>
  <si>
    <t>415_041 | lexAxa101-MR669-984-VP16</t>
  </si>
  <si>
    <t>415_042 | lexAxa101-MR669-984-VP16</t>
  </si>
  <si>
    <t>415_043 | lexAxa101-MR669-984-VP16</t>
  </si>
  <si>
    <t>415_044 | lexAxa101-MR669-984-VP16</t>
  </si>
  <si>
    <t>415_045 | lexAxa101-MR669-984-VP16</t>
  </si>
  <si>
    <t>540_001 | lexAec87-TraR174-VP16</t>
  </si>
  <si>
    <t>540.csv</t>
  </si>
  <si>
    <t>540_002 | lexAec87-TraR174-VP16</t>
  </si>
  <si>
    <t>540_003 | lexAec87-TraR174-VP16</t>
  </si>
  <si>
    <t>540_004 | lexAec87-TraR174-VP16</t>
  </si>
  <si>
    <t>540_005 | lexAec87-TraR174-VP16</t>
  </si>
  <si>
    <t>540_006 | lexAec87-TraR174-VP16</t>
  </si>
  <si>
    <t>540_007 | lexAec87-TraR174-VP16</t>
  </si>
  <si>
    <t>540_008 | lexAec87-TraR174-VP16</t>
  </si>
  <si>
    <t>540_009 | lexAec87-TraR174-VP16</t>
  </si>
  <si>
    <t>540_010 | lexAec87-TraR174-VP16</t>
  </si>
  <si>
    <t>540_011 | lexAec87-TraR174-VP16</t>
  </si>
  <si>
    <t>540_012 | lexAec87-TraR174-VP16</t>
  </si>
  <si>
    <t>540_013 | lexAec87-TraR174-VP16</t>
  </si>
  <si>
    <t>540_014 | lexAec87-TraR174-VP16</t>
  </si>
  <si>
    <t>540_015 | lexAec87-TraR174-VP16</t>
  </si>
  <si>
    <t>540_016 | lexAec87-TraR174-VP16</t>
  </si>
  <si>
    <t>540_017 | lexAec87-TraR174-VP16</t>
  </si>
  <si>
    <t>540_018 | lexAec87-TraR174-VP16</t>
  </si>
  <si>
    <t>540_019 | lexAec87-TraR174-VP16</t>
  </si>
  <si>
    <t>540_020 | lexAec87-TraR174-VP16</t>
  </si>
  <si>
    <t>540_021 | lexAec87-TraR174-VP16</t>
  </si>
  <si>
    <t>540_022 | lexAec87-TraR174-VP16</t>
  </si>
  <si>
    <t>540_023 | lexAec87-TraR174-VP16</t>
  </si>
  <si>
    <t>540_024 | lexAec87-TraR174-VP16</t>
  </si>
  <si>
    <t>540_025 | lexAec87-TraR174-VP16</t>
  </si>
  <si>
    <t>540_026 | lexAec87-TraR174-VP16</t>
  </si>
  <si>
    <t>540_027 | lexAec87-TraR174-VP16</t>
  </si>
  <si>
    <t>540_028 | lexAec87-TraR174-VP16</t>
  </si>
  <si>
    <t>540_029 | lexAec87-TraR174-VP16</t>
  </si>
  <si>
    <t>540_030 | lexAec87-TraR174-VP16</t>
  </si>
  <si>
    <t>540_031 | lexAec87-TraR174-VP16</t>
  </si>
  <si>
    <t>540_032 | lexAec87-TraR174-VP16</t>
  </si>
  <si>
    <t>540_033 | lexAec87-TraR174-VP16</t>
  </si>
  <si>
    <t>540_034 | lexAec87-TraR174-VP16</t>
  </si>
  <si>
    <t>540_035 | lexAec87-TraR174-VP16</t>
  </si>
  <si>
    <t>540_036 | lexAec87-TraR174-VP16</t>
  </si>
  <si>
    <t>540_037 | lexAec87-TraR174-VP16</t>
  </si>
  <si>
    <t>540_038 | lexAec87-TraR174-VP16</t>
  </si>
  <si>
    <t>540_039 | lexAec87-TraR174-VP16</t>
  </si>
  <si>
    <t>540_040 | lexAec87-TraR174-VP16</t>
  </si>
  <si>
    <t>540_041 | lexAec87-TraR174-VP16</t>
  </si>
  <si>
    <t>540_042 | lexAec87-TraR174-VP16</t>
  </si>
  <si>
    <t>540_043 | lexAec87-TraR174-VP16</t>
  </si>
  <si>
    <t>540_044 | lexAec87-TraR174-VP16</t>
  </si>
  <si>
    <t>540_045 | lexAec87-TraR174-VP16</t>
  </si>
  <si>
    <t>540_046 | lexAec87-TraR174-VP16</t>
  </si>
  <si>
    <t>540_047 | lexAec87-TraR174-VP16</t>
  </si>
  <si>
    <t>540_048 | lexAec87-TraR174-VP16</t>
  </si>
  <si>
    <t>540_049 | lexAec87-TraR174-VP16</t>
  </si>
  <si>
    <t>540_050 | lexAec87-TraR174-VP16</t>
  </si>
  <si>
    <t>540_051 | lexAec87-TraR174-VP16</t>
  </si>
  <si>
    <t>540_052 | lexAec87-TraR174-VP16</t>
  </si>
  <si>
    <t>540_053 | lexAec87-TraR174-VP16</t>
  </si>
  <si>
    <t>540_054 | lexAec87-TraR174-VP16</t>
  </si>
  <si>
    <t>541_001 | CI43470-TraR174-VP16</t>
  </si>
  <si>
    <t>541.csv</t>
  </si>
  <si>
    <t>541_002 | CI43470-TraR174-VP16</t>
  </si>
  <si>
    <t>541_003 | CI43470-TraR174-VP16</t>
  </si>
  <si>
    <t>541_004 | CI43470-TraR174-VP16</t>
  </si>
  <si>
    <t>541_005 | CI43470-TraR174-VP16</t>
  </si>
  <si>
    <t>541_006 | CI43470-TraR174-VP16</t>
  </si>
  <si>
    <t>541_007 | CI43470-TraR174-VP16</t>
  </si>
  <si>
    <t>541_008 | CI43470-TraR174-VP16</t>
  </si>
  <si>
    <t>541_009 | CI43470-TraR174-VP16</t>
  </si>
  <si>
    <t>541_010 | CI43470-TraR174-VP16</t>
  </si>
  <si>
    <t>541_011 | CI43470-TraR174-VP16</t>
  </si>
  <si>
    <t>541_012 | CI43470-TraR174-VP16</t>
  </si>
  <si>
    <t>541_013 | CI43470-TraR174-VP16</t>
  </si>
  <si>
    <t>541_014 | CI43470-TraR174-VP16</t>
  </si>
  <si>
    <t>541_015 | CI43470-TraR174-VP16</t>
  </si>
  <si>
    <t>541_016 | CI43470-TraR174-VP16</t>
  </si>
  <si>
    <t>541_017 | CI43470-TraR174-VP16</t>
  </si>
  <si>
    <t>541_018 | CI43470-TraR174-VP16</t>
  </si>
  <si>
    <t>541_019 | CI43470-TraR174-VP16</t>
  </si>
  <si>
    <t>541_020 | CI43470-TraR174-VP16</t>
  </si>
  <si>
    <t>541_021 | CI43470-TraR174-VP16</t>
  </si>
  <si>
    <t>541_022 | CI43470-TraR174-VP16</t>
  </si>
  <si>
    <t>541_023 | CI43470-TraR174-VP16</t>
  </si>
  <si>
    <t>541_024 | CI43470-TraR174-VP16</t>
  </si>
  <si>
    <t>541_025 | CI43470-TraR174-VP16</t>
  </si>
  <si>
    <t>541_026 | CI43470-TraR174-VP16</t>
  </si>
  <si>
    <t>541_027 | CI43470-TraR174-VP16</t>
  </si>
  <si>
    <t>541_028 | CI43470-TraR174-VP16</t>
  </si>
  <si>
    <t>541_029 | CI43470-TraR174-VP16</t>
  </si>
  <si>
    <t>541_030 | CI43470-TraR174-VP16</t>
  </si>
  <si>
    <t>541_031 | CI43470-TraR174-VP16</t>
  </si>
  <si>
    <t>541_032 | CI43470-TraR174-VP16</t>
  </si>
  <si>
    <t>541_033 | CI43470-TraR174-VP16</t>
  </si>
  <si>
    <t>541_034 | CI43470-TraR174-VP16</t>
  </si>
  <si>
    <t>541_035 | CI43470-TraR174-VP16</t>
  </si>
  <si>
    <t>541_036 | CI43470-TraR174-VP16</t>
  </si>
  <si>
    <t>541_037 | CI43470-TraR174-VP16</t>
  </si>
  <si>
    <t>541_038 | CI43470-TraR174-VP16</t>
  </si>
  <si>
    <t>541_039 | CI43470-TraR174-VP16</t>
  </si>
  <si>
    <t>541_040 | CI43470-TraR174-VP16</t>
  </si>
  <si>
    <t>541_041 | CI43470-TraR174-VP16</t>
  </si>
  <si>
    <t>541_042 | CI43470-TraR174-VP16</t>
  </si>
  <si>
    <t>541_043 | CI43470-TraR174-VP16</t>
  </si>
  <si>
    <t>541_044 | CI43470-TraR174-VP16</t>
  </si>
  <si>
    <t>541_045 | CI43470-TraR174-VP16</t>
  </si>
  <si>
    <t>541_046 | CI43470-TraR174-VP16</t>
  </si>
  <si>
    <t>541_047 | CI43470-TraR174-VP16</t>
  </si>
  <si>
    <t>541_048 | CI43470-TraR174-VP16</t>
  </si>
  <si>
    <t>541_049 | CI43470-TraR174-VP16</t>
  </si>
  <si>
    <t>541_050 | CI43470-TraR174-VP16</t>
  </si>
  <si>
    <t>541_051 | CI43470-TraR174-VP16</t>
  </si>
  <si>
    <t>541_052 | CI43470-TraR174-VP16</t>
  </si>
  <si>
    <t>541_053 | CI43470-TraR174-VP16</t>
  </si>
  <si>
    <t>542_001 | CI43470-CinR179-VP16</t>
  </si>
  <si>
    <t>542.csv</t>
  </si>
  <si>
    <t>542_002 | CI43470-CinR179-VP16</t>
  </si>
  <si>
    <t>542_003 | CI43470-CinR179-VP16</t>
  </si>
  <si>
    <t>542_004 | CI43470-CinR179-VP16</t>
  </si>
  <si>
    <t>542_005 | CI43470-CinR179-VP16</t>
  </si>
  <si>
    <t>542_006 | CI43470-CinR179-VP16</t>
  </si>
  <si>
    <t>542_007 | CI43470-CinR179-VP16</t>
  </si>
  <si>
    <t>542_008 | CI43470-CinR179-VP16</t>
  </si>
  <si>
    <t>542_009 | CI43470-CinR179-VP16</t>
  </si>
  <si>
    <t>542_010 | CI43470-CinR179-VP16</t>
  </si>
  <si>
    <t>542_011 | CI43470-CinR179-VP16</t>
  </si>
  <si>
    <t>542_012 | CI43470-CinR179-VP16</t>
  </si>
  <si>
    <t>542_013 | CI43470-CinR179-VP16</t>
  </si>
  <si>
    <t>542_014 | CI43470-CinR179-VP16</t>
  </si>
  <si>
    <t>542_015 | CI43470-CinR179-VP16</t>
  </si>
  <si>
    <t>542_016 | CI43470-CinR179-VP16</t>
  </si>
  <si>
    <t>542_017 | CI43470-CinR179-VP16</t>
  </si>
  <si>
    <t>542_018 | CI43470-CinR179-VP16</t>
  </si>
  <si>
    <t>542_019 | CI43470-CinR179-VP16</t>
  </si>
  <si>
    <t>542_020 | CI43470-CinR179-VP16</t>
  </si>
  <si>
    <t>542_021 | CI43470-CinR179-VP16</t>
  </si>
  <si>
    <t>542_022 | CI43470-CinR179-VP16</t>
  </si>
  <si>
    <t>542_023 | CI43470-CinR179-VP16</t>
  </si>
  <si>
    <t>542_024 | CI43470-CinR179-VP16</t>
  </si>
  <si>
    <t>542_025 | CI43470-CinR179-VP16</t>
  </si>
  <si>
    <t>542_026 | CI43470-CinR179-VP16</t>
  </si>
  <si>
    <t>542_027 | CI43470-CinR179-VP16</t>
  </si>
  <si>
    <t>542_028 | CI43470-CinR179-VP16</t>
  </si>
  <si>
    <t>542_029 | CI43470-CinR179-VP16</t>
  </si>
  <si>
    <t>542_030 | CI43470-CinR179-VP16</t>
  </si>
  <si>
    <t>542_031 | CI43470-CinR179-VP16</t>
  </si>
  <si>
    <t>542_032 | CI43470-CinR179-VP16</t>
  </si>
  <si>
    <t>542_033 | CI43470-CinR179-VP16</t>
  </si>
  <si>
    <t>542_034 | CI43470-CinR179-VP16</t>
  </si>
  <si>
    <t>542_035 | CI43470-CinR179-VP16</t>
  </si>
  <si>
    <t>542_036 | CI43470-CinR179-VP16</t>
  </si>
  <si>
    <t>542_037 | CI43470-CinR179-VP16</t>
  </si>
  <si>
    <t>542_038 | CI43470-CinR179-VP16</t>
  </si>
  <si>
    <t>542_039 | CI43470-CinR179-VP16</t>
  </si>
  <si>
    <t>542_040 | CI43470-CinR179-VP16</t>
  </si>
  <si>
    <t>542_041 | CI43470-CinR179-VP16</t>
  </si>
  <si>
    <t>542_042 | CI43470-CinR179-VP16</t>
  </si>
  <si>
    <t>542_043 | CI43470-CinR179-VP16</t>
  </si>
  <si>
    <t>542_044 | CI43470-CinR179-VP16</t>
  </si>
  <si>
    <t>542_045 | CI43470-CinR179-VP16</t>
  </si>
  <si>
    <t>548_001 | lexAec87-CarRecc169-VP16</t>
  </si>
  <si>
    <t>548.csv</t>
  </si>
  <si>
    <t>548_002 | lexAec87-CarRecc169-VP16</t>
  </si>
  <si>
    <t>548_003 | lexAec87-CarRecc169-VP16</t>
  </si>
  <si>
    <t>548_004 | lexAec87-CarRecc169-VP16</t>
  </si>
  <si>
    <t>548_005 | lexAec87-CarRecc169-VP16</t>
  </si>
  <si>
    <t>548_006 | lexAec87-CarRecc169-VP16</t>
  </si>
  <si>
    <t>548_007 | lexAec87-CarRecc169-VP16</t>
  </si>
  <si>
    <t>548_008 | lexAec87-CarRecc169-VP16</t>
  </si>
  <si>
    <t>548_009 | lexAec87-CarRecc169-VP16</t>
  </si>
  <si>
    <t>548_010 | lexAec87-CarRecc169-VP16</t>
  </si>
  <si>
    <t>548_011 | lexAec87-CarRecc169-VP16</t>
  </si>
  <si>
    <t>548_012 | lexAec87-CarRecc169-VP16</t>
  </si>
  <si>
    <t>548_013 | lexAec87-CarRecc169-VP16</t>
  </si>
  <si>
    <t>548_014 | lexAec87-CarRecc169-VP16</t>
  </si>
  <si>
    <t>548_015 | lexAec87-CarRecc169-VP16</t>
  </si>
  <si>
    <t>548_016 | lexAec87-CarRecc169-VP16</t>
  </si>
  <si>
    <t>548_017 | lexAec87-CarRecc169-VP16</t>
  </si>
  <si>
    <t>548_018 | lexAec87-CarRecc169-VP16</t>
  </si>
  <si>
    <t>549_001 | lexAxa101-acVHH-VP16</t>
  </si>
  <si>
    <t>549.csv</t>
  </si>
  <si>
    <t>549_002 | lexAxa101-acVHH-VP16</t>
  </si>
  <si>
    <t>549_003 | lexAxa101-acVHH-VP16</t>
  </si>
  <si>
    <t>549_004 | lexAxa101-acVHH-VP16</t>
  </si>
  <si>
    <t>549_005 | lexAxa101-acVHH-VP16</t>
  </si>
  <si>
    <t>549_006 | lexAxa101-acVHH-VP16</t>
  </si>
  <si>
    <t>549_007 | lexAxa101-acVHH-VP16</t>
  </si>
  <si>
    <t>549_008 | lexAxa101-acVHH-VP16</t>
  </si>
  <si>
    <t>549_009 | lexAxa101-acVHH-VP16</t>
  </si>
  <si>
    <t>549_010 | lexAxa101-acVHH-VP16</t>
  </si>
  <si>
    <t>549_011 | lexAxa101-acVHH-VP16</t>
  </si>
  <si>
    <t>549_012 | lexAxa101-acVHH-VP16</t>
  </si>
  <si>
    <t>549_013 | lexAxa101-acVHH-VP16</t>
  </si>
  <si>
    <t>549_014 | lexAxa101-acVHH-VP16</t>
  </si>
  <si>
    <t>549_015 | lexAxa101-acVHH-VP16</t>
  </si>
  <si>
    <t>549_016 | lexAxa101-acVHH-VP16</t>
  </si>
  <si>
    <t>549_017 | lexAxa101-acVHH-VP16</t>
  </si>
  <si>
    <t>549_018 | lexAxa101-acVHH-VP16</t>
  </si>
  <si>
    <t>550_001 | PurR60-GR487-777-VP16</t>
  </si>
  <si>
    <t>550.csv</t>
  </si>
  <si>
    <t>550_002 | PurR60-GR487-777-VP16</t>
  </si>
  <si>
    <t>550_003 | PurR60-GR487-777-VP16</t>
  </si>
  <si>
    <t>550_004 | PurR60-GR487-777-VP16</t>
  </si>
  <si>
    <t>550_005 | PurR60-GR487-777-VP16</t>
  </si>
  <si>
    <t>550_006 | PurR60-GR487-777-VP16</t>
  </si>
  <si>
    <t>550_007 | PurR60-GR487-777-VP16</t>
  </si>
  <si>
    <t>550_008 | PurR60-GR487-777-VP16</t>
  </si>
  <si>
    <t>550_009 | PurR60-GR487-777-VP16</t>
  </si>
  <si>
    <t>550_010 | PurR60-GR487-777-VP16</t>
  </si>
  <si>
    <t>550_011 | PurR60-GR487-777-VP16</t>
  </si>
  <si>
    <t>550_012 | PurR60-GR487-777-VP16</t>
  </si>
  <si>
    <t>550_013 | PurR60-GR487-777-VP16</t>
  </si>
  <si>
    <t>550_014 | PurR60-GR487-777-VP16</t>
  </si>
  <si>
    <t>550_015 | PurR60-GR487-777-VP16</t>
  </si>
  <si>
    <t>550_016 | PurR60-GR487-777-VP16</t>
  </si>
  <si>
    <t>550_017 | PurR60-GR487-777-VP16</t>
  </si>
  <si>
    <t>550_018 | PurR60-GR487-777-VP16</t>
  </si>
  <si>
    <t>552_001 | lexAmm115-BjaR180S107R-VP16</t>
  </si>
  <si>
    <t>552.csv</t>
  </si>
  <si>
    <t>552_002 | lexAmm115-BjaR180S107R-VP16</t>
  </si>
  <si>
    <t>552_003 | lexAmm115-BjaR180S107R-VP16</t>
  </si>
  <si>
    <t>552_004 | lexAmm115-BjaR180S107R-VP16</t>
  </si>
  <si>
    <t>552_005 | lexAmm115-BjaR180S107R-VP16</t>
  </si>
  <si>
    <t>552_006 | lexAmm115-BjaR180S107R-VP16</t>
  </si>
  <si>
    <t>552_007 | lexAmm115-BjaR180S107R-VP16</t>
  </si>
  <si>
    <t>552_008 | lexAmm115-BjaR180S107R-VP16</t>
  </si>
  <si>
    <t>552_009 | lexAmm115-BjaR180S107R-VP16</t>
  </si>
  <si>
    <t>552_010 | lexAmm115-BjaR180S107R-VP16</t>
  </si>
  <si>
    <t>552_011 | lexAmm115-BjaR180S107R-VP16</t>
  </si>
  <si>
    <t>552_012 | lexAmm115-BjaR180S107R-VP16</t>
  </si>
  <si>
    <t>552_013 | lexAmm115-BjaR180S107R-VP16</t>
  </si>
  <si>
    <t>552_014 | lexAmm115-BjaR180S107R-VP16</t>
  </si>
  <si>
    <t>552_015 | lexAmm115-BjaR180S107R-VP16</t>
  </si>
  <si>
    <t>552_016 | lexAmm115-BjaR180S107R-VP16</t>
  </si>
  <si>
    <t>552_017 | lexAmm115-BjaR180S107R-VP16</t>
  </si>
  <si>
    <t>552_018 | lexAmm115-BjaR180S107R-VP16</t>
  </si>
  <si>
    <t>553_001 | lexAfs104-LasR177-VP16</t>
  </si>
  <si>
    <t>553.csv</t>
  </si>
  <si>
    <t>553_002 | lexAfs104-LasR177-VP16</t>
  </si>
  <si>
    <t>553_003 | lexAfs104-LasR177-VP16</t>
  </si>
  <si>
    <t>553_004 | lexAfs104-LasR177-VP16</t>
  </si>
  <si>
    <t>553_005 | lexAfs104-LasR177-VP16</t>
  </si>
  <si>
    <t>553_006 | lexAfs104-LasR177-VP16</t>
  </si>
  <si>
    <t>553_007 | lexAfs104-LasR177-VP16</t>
  </si>
  <si>
    <t>553_008 | lexAfs104-LasR177-VP16</t>
  </si>
  <si>
    <t>553_009 | lexAfs104-LasR177-VP16</t>
  </si>
  <si>
    <t>553_010 | lexAfs104-LasR177-VP16</t>
  </si>
  <si>
    <t>553_011 | lexAfs104-LasR177-VP16</t>
  </si>
  <si>
    <t>553_012 | lexAfs104-LasR177-VP16</t>
  </si>
  <si>
    <t>553_013 | lexAfs104-LasR177-VP16</t>
  </si>
  <si>
    <t>553_014 | lexAfs104-LasR177-VP16</t>
  </si>
  <si>
    <t>553_015 | lexAfs104-LasR177-VP16</t>
  </si>
  <si>
    <t>553_016 | lexAfs104-LasR177-VP16</t>
  </si>
  <si>
    <t>553_017 | lexAfs104-LasR177-VP16</t>
  </si>
  <si>
    <t>553_018 | lexAfs104-LasR177-VP16</t>
  </si>
  <si>
    <t>554_001 | CI94-GR487-777-VP16</t>
  </si>
  <si>
    <t>554.csv</t>
  </si>
  <si>
    <t>554_002 | CI94-GR487-777-VP16</t>
  </si>
  <si>
    <t>554_003 | CI94-GR487-777-VP16</t>
  </si>
  <si>
    <t>554_004 | CI94-GR487-777-VP16</t>
  </si>
  <si>
    <t>554_005 | CI94-GR487-777-VP16</t>
  </si>
  <si>
    <t>554_006 | CI94-GR487-777-VP16</t>
  </si>
  <si>
    <t>554_007 | CI94-GR487-777-VP16</t>
  </si>
  <si>
    <t>554_008 | CI94-GR487-777-VP16</t>
  </si>
  <si>
    <t>554_009 | CI94-GR487-777-VP16</t>
  </si>
  <si>
    <t>554_010 | CI94-GR487-777-VP16</t>
  </si>
  <si>
    <t>554_011 | CI94-GR487-777-VP16</t>
  </si>
  <si>
    <t>554_012 | CI94-GR487-777-VP16</t>
  </si>
  <si>
    <t>554_013 | CI94-GR487-777-VP16</t>
  </si>
  <si>
    <t>554_014 | CI94-GR487-777-VP16</t>
  </si>
  <si>
    <t>554_015 | CI94-GR487-777-VP16</t>
  </si>
  <si>
    <t>554_016 | CI94-GR487-777-VP16</t>
  </si>
  <si>
    <t>554_017 | CI94-GR487-777-VP16</t>
  </si>
  <si>
    <t>554_018 | CI94-GR487-777-VP16</t>
  </si>
  <si>
    <t>555_001 | HKCI84-CinR179-VP16</t>
  </si>
  <si>
    <t>555.csv</t>
  </si>
  <si>
    <t>555_002 | HKCI84-CinR179-VP16</t>
  </si>
  <si>
    <t>555_003 | HKCI84-CinR179-VP16</t>
  </si>
  <si>
    <t>555_004 | HKCI84-CinR179-VP16</t>
  </si>
  <si>
    <t>555_005 | HKCI84-CinR179-VP16</t>
  </si>
  <si>
    <t>555_006 | HKCI84-CinR179-VP16</t>
  </si>
  <si>
    <t>555_007 | HKCI84-CinR179-VP16</t>
  </si>
  <si>
    <t>555_008 | HKCI84-CinR179-VP16</t>
  </si>
  <si>
    <t>555_009 | HKCI84-CinR179-VP16</t>
  </si>
  <si>
    <t>555_010 | HKCI84-CinR179-VP16</t>
  </si>
  <si>
    <t>555_011 | HKCI84-CinR179-VP16</t>
  </si>
  <si>
    <t>555_012 | HKCI84-CinR179-VP16</t>
  </si>
  <si>
    <t>555_013 | HKCI84-CinR179-VP16</t>
  </si>
  <si>
    <t>555_014 | HKCI84-CinR179-VP16</t>
  </si>
  <si>
    <t>555_015 | HKCI84-CinR179-VP16</t>
  </si>
  <si>
    <t>555_016 | HKCI84-CinR179-VP16</t>
  </si>
  <si>
    <t>555_017 | HKCI84-CinR179-VP16</t>
  </si>
  <si>
    <t>555_018 | HKCI84-CinR179-VP16</t>
  </si>
  <si>
    <t>556_001 | lexAgs91-DHBR282-595-VP16</t>
  </si>
  <si>
    <t>556.csv</t>
  </si>
  <si>
    <t>556_002 | lexAgs91-DHBR282-595-VP16</t>
  </si>
  <si>
    <t>556_003 | lexAgs91-DHBR282-595-VP16</t>
  </si>
  <si>
    <t>556_004 | lexAgs91-DHBR282-595-VP16</t>
  </si>
  <si>
    <t>556_005 | lexAgs91-DHBR282-595-VP16</t>
  </si>
  <si>
    <t>556_006 | lexAgs91-DHBR282-595-VP16</t>
  </si>
  <si>
    <t>556_007 | lexAgs91-DHBR282-595-VP16</t>
  </si>
  <si>
    <t>556_008 | lexAgs91-DHBR282-595-VP16</t>
  </si>
  <si>
    <t>556_009 | lexAgs91-DHBR282-595-VP16</t>
  </si>
  <si>
    <t>556_010 | lexAgs91-DHBR282-595-VP16</t>
  </si>
  <si>
    <t>556_011 | lexAgs91-DHBR282-595-VP16</t>
  </si>
  <si>
    <t>556_012 | lexAgs91-DHBR282-595-VP16</t>
  </si>
  <si>
    <t>556_013 | lexAgs91-DHBR282-595-VP16</t>
  </si>
  <si>
    <t>556_014 | lexAgs91-DHBR282-595-VP16</t>
  </si>
  <si>
    <t>556_015 | lexAgs91-DHBR282-595-VP16</t>
  </si>
  <si>
    <t>556_016 | lexAgs91-DHBR282-595-VP16</t>
  </si>
  <si>
    <t>556_017 | lexAgs91-DHBR282-595-VP16</t>
  </si>
  <si>
    <t>556_018 | lexAgs91-DHBR282-595-VP16</t>
  </si>
  <si>
    <t>558_001 | RecApact104-RpaR179-VP16</t>
  </si>
  <si>
    <t>558.csv</t>
  </si>
  <si>
    <t>558_002 | RecApact104-RpaR179-VP16</t>
  </si>
  <si>
    <t>558_003 | RecApact104-RpaR179-VP16</t>
  </si>
  <si>
    <t>558_004 | RecApact104-RpaR179-VP16</t>
  </si>
  <si>
    <t>558_005 | RecApact104-RpaR179-VP16</t>
  </si>
  <si>
    <t>558_006 | RecApact104-RpaR179-VP16</t>
  </si>
  <si>
    <t>558_007 | RecApact104-RpaR179-VP16</t>
  </si>
  <si>
    <t>558_008 | RecApact104-RpaR179-VP16</t>
  </si>
  <si>
    <t>558_009 | RecApact104-RpaR179-VP16</t>
  </si>
  <si>
    <t>558_010 | RecApact104-RpaR179-VP16</t>
  </si>
  <si>
    <t>558_011 | RecApact104-RpaR179-VP16</t>
  </si>
  <si>
    <t>558_012 | RecApact104-RpaR179-VP16</t>
  </si>
  <si>
    <t>558_013 | RecApact104-RpaR179-VP16</t>
  </si>
  <si>
    <t>558_014 | RecApact104-RpaR179-VP16</t>
  </si>
  <si>
    <t>558_015 | RecApact104-RpaR179-VP16</t>
  </si>
  <si>
    <t>558_016 | RecApact104-RpaR179-VP16</t>
  </si>
  <si>
    <t>558_017 | RecApact104-RpaR179-VP16</t>
  </si>
  <si>
    <t>558_018 | RecApact104-RpaR179-VP16</t>
  </si>
  <si>
    <t>559_001 | DeoR92-PR-VP16</t>
  </si>
  <si>
    <t>559.csv</t>
  </si>
  <si>
    <t>559_002 | DeoR92-PR-VP16</t>
  </si>
  <si>
    <t>559_003 | DeoR92-PR-VP16</t>
  </si>
  <si>
    <t>559_004 | DeoR92-PR-VP16</t>
  </si>
  <si>
    <t>559_005 | DeoR92-PR-VP16</t>
  </si>
  <si>
    <t>559_006 | DeoR92-PR-VP16</t>
  </si>
  <si>
    <t>559_007 | DeoR92-PR-VP16</t>
  </si>
  <si>
    <t>559_008 | DeoR92-PR-VP16</t>
  </si>
  <si>
    <t>559_009 | DeoR92-PR-VP16</t>
  </si>
  <si>
    <t>559_010 | DeoR92-PR-VP16</t>
  </si>
  <si>
    <t>559_011 | DeoR92-PR-VP16</t>
  </si>
  <si>
    <t>559_012 | DeoR92-PR-VP16</t>
  </si>
  <si>
    <t>559_013 | DeoR92-PR-VP16</t>
  </si>
  <si>
    <t>559_014 | DeoR92-PR-VP16</t>
  </si>
  <si>
    <t>559_015 | DeoR92-PR-VP16</t>
  </si>
  <si>
    <t>559_016 | DeoR92-PR-VP16</t>
  </si>
  <si>
    <t>559_017 | DeoR92-PR-VP16</t>
  </si>
  <si>
    <t>559_018 | DeoR92-PR-VP16</t>
  </si>
  <si>
    <t>Figure 6D</t>
    <phoneticPr fontId="3" type="noConversion"/>
  </si>
  <si>
    <t>Figure 6C</t>
    <phoneticPr fontId="3" type="noConversion"/>
  </si>
  <si>
    <t>Figure 6E</t>
    <phoneticPr fontId="3" type="noConversion"/>
  </si>
  <si>
    <t>1st</t>
  </si>
  <si>
    <t>CI43470-BjaR180-VP16</t>
  </si>
  <si>
    <t>lexAxa101-BjaR180-VP16</t>
  </si>
  <si>
    <t>CI43470-SmaR179-VP16</t>
  </si>
  <si>
    <t>CI94-SmaR179-VP16</t>
  </si>
  <si>
    <t>lexAmm115-acVHH-VP16</t>
  </si>
  <si>
    <t>HKCI84-acVHH-VP16</t>
  </si>
  <si>
    <t>1mM</t>
  </si>
  <si>
    <t>5mM</t>
  </si>
  <si>
    <t>0.4mM</t>
  </si>
  <si>
    <t>0.3mM</t>
  </si>
  <si>
    <t>0.5mM</t>
  </si>
  <si>
    <t>RPU=1.65196998123827</t>
  </si>
  <si>
    <t>RPU=7.58692933083177</t>
  </si>
  <si>
    <t>RPU=0.214196372732958</t>
  </si>
  <si>
    <t>RPU=0.114602876797999</t>
  </si>
  <si>
    <t>caff/nM</t>
  </si>
  <si>
    <t>RPU=0.443402126328956</t>
  </si>
  <si>
    <t>0.0609756097560976*</t>
  </si>
  <si>
    <t>0.0318949343339587*</t>
  </si>
  <si>
    <t>0.0290806754221388*</t>
  </si>
  <si>
    <t>0.0381488430268918*</t>
  </si>
  <si>
    <t>0.0353345841150719*</t>
  </si>
  <si>
    <t>0.0240775484677924*</t>
  </si>
  <si>
    <t>0.0209505941213258*</t>
  </si>
  <si>
    <t>0.032520325203252*</t>
  </si>
  <si>
    <t>2nd</t>
  </si>
  <si>
    <t>RPU = 1.89</t>
  </si>
  <si>
    <t>RPU = 6.94</t>
  </si>
  <si>
    <t>RPU=0.99</t>
  </si>
  <si>
    <t>RPU=0.21</t>
  </si>
  <si>
    <t>RPU=0.3537</t>
  </si>
  <si>
    <t>0.0417339795368875*</t>
  </si>
  <si>
    <t>0.0452342487883683*</t>
  </si>
  <si>
    <t>0.0471190091545504*</t>
  </si>
  <si>
    <t>0.0360796984383414*</t>
  </si>
  <si>
    <t>0.0522347872913301*</t>
  </si>
  <si>
    <t>0.0444264943457189*</t>
  </si>
  <si>
    <t>0.0382337102854066*</t>
  </si>
  <si>
    <t>0.0436187399030695*</t>
  </si>
  <si>
    <t>Input RPU = 1.58</t>
  </si>
  <si>
    <t>lexAmm115-CinR179-VP16</t>
  </si>
  <si>
    <t>lexAec87-CinR179-VP16</t>
  </si>
  <si>
    <t>3OHC14/nM</t>
  </si>
  <si>
    <t>RPU = 0.323052500312434</t>
  </si>
  <si>
    <t>RPU = 1.17008731162117</t>
  </si>
  <si>
    <t>RPU = 1.93207846717602</t>
  </si>
  <si>
    <t>RPU = 0.355667683988549</t>
  </si>
  <si>
    <t>RPU = 1.2950415242259</t>
  </si>
  <si>
    <t>RPU = 1.89369010123633</t>
  </si>
  <si>
    <t>12s</t>
  </si>
  <si>
    <t>lexAec87-ER282-595-VP16 Input RPU=1.786</t>
  </si>
  <si>
    <t>CI43470-CinR179 nls-VP16  Input RPU=0.98</t>
  </si>
  <si>
    <t>lexAmm115-DHBR282-595-VP16  Input RPU= 3.13</t>
  </si>
  <si>
    <t>CI94-PR-VP16  Input RPU= 0.67</t>
  </si>
  <si>
    <t>0.07494*</t>
  </si>
  <si>
    <t>0.076146*</t>
  </si>
  <si>
    <t>0.081725*</t>
  </si>
  <si>
    <t>lexAbs94-smaR179-VP16</t>
  </si>
  <si>
    <t>lexAxa101-LasR177-VP16</t>
  </si>
  <si>
    <t>RPU = 0.007143667</t>
  </si>
  <si>
    <t>RPU = 0.175643497</t>
  </si>
  <si>
    <t>RPU = 0.578183468</t>
  </si>
  <si>
    <t>RPU = 1.772196394</t>
  </si>
  <si>
    <t>RPU = 4.207846695</t>
  </si>
  <si>
    <t>RPU = 7.847715161</t>
  </si>
  <si>
    <t>3OC12/nM</t>
  </si>
  <si>
    <t>RPU = 1.977309114</t>
  </si>
  <si>
    <t>RPU = 2.112559539</t>
  </si>
  <si>
    <t>lexAfs104-LasR177-VP16</t>
  </si>
  <si>
    <t>RPU = 4.622540285</t>
  </si>
  <si>
    <t>RPU = 4.967839573</t>
  </si>
  <si>
    <t>0.355847404627892*</t>
  </si>
  <si>
    <t>统一RPU</t>
  </si>
  <si>
    <t>-0.0040630586705672*</t>
  </si>
  <si>
    <t>-0.00211279050869494*</t>
  </si>
  <si>
    <t>-0.00243783520234032*</t>
  </si>
  <si>
    <t>-0.00048756704046806*</t>
  </si>
  <si>
    <r>
      <t>log scale R</t>
    </r>
    <r>
      <rPr>
        <vertAlign val="superscript"/>
        <sz val="11"/>
        <color theme="1"/>
        <rFont val="Arial"/>
        <family val="2"/>
      </rPr>
      <t>2</t>
    </r>
    <phoneticPr fontId="3" type="noConversion"/>
  </si>
  <si>
    <t>Figure 6B</t>
    <phoneticPr fontId="3" type="noConversion"/>
  </si>
  <si>
    <t>Cross Validation Data</t>
    <phoneticPr fontId="3" type="noConversion"/>
  </si>
  <si>
    <t/>
  </si>
  <si>
    <t>−0.005907</t>
  </si>
  <si>
    <t>−19.765844</t>
  </si>
  <si>
    <t>−2.239135</t>
  </si>
  <si>
    <r>
      <t>LasR</t>
    </r>
    <r>
      <rPr>
        <b/>
        <vertAlign val="subscript"/>
        <sz val="11"/>
        <color theme="1"/>
        <rFont val="Arial"/>
        <family val="2"/>
      </rPr>
      <t>177</t>
    </r>
    <phoneticPr fontId="3" type="noConversion"/>
  </si>
  <si>
    <r>
      <t>RpaR</t>
    </r>
    <r>
      <rPr>
        <b/>
        <vertAlign val="subscript"/>
        <sz val="11"/>
        <color theme="1"/>
        <rFont val="Arial"/>
        <family val="2"/>
      </rPr>
      <t>179</t>
    </r>
    <phoneticPr fontId="3" type="noConversion"/>
  </si>
  <si>
    <r>
      <t>CinR</t>
    </r>
    <r>
      <rPr>
        <b/>
        <vertAlign val="subscript"/>
        <sz val="11"/>
        <color theme="1"/>
        <rFont val="Arial"/>
        <family val="2"/>
      </rPr>
      <t>179</t>
    </r>
    <phoneticPr fontId="3" type="noConversion"/>
  </si>
  <si>
    <r>
      <t>BjaR</t>
    </r>
    <r>
      <rPr>
        <b/>
        <vertAlign val="subscript"/>
        <sz val="11"/>
        <color theme="1"/>
        <rFont val="Arial"/>
        <family val="2"/>
      </rPr>
      <t>180</t>
    </r>
    <phoneticPr fontId="3" type="noConversion"/>
  </si>
  <si>
    <r>
      <t>BjaR</t>
    </r>
    <r>
      <rPr>
        <b/>
        <vertAlign val="subscript"/>
        <sz val="11"/>
        <color theme="1"/>
        <rFont val="Arial"/>
        <family val="2"/>
      </rPr>
      <t>180</t>
    </r>
    <r>
      <rPr>
        <b/>
        <vertAlign val="superscript"/>
        <sz val="11"/>
        <color theme="1"/>
        <rFont val="Arial"/>
        <family val="2"/>
      </rPr>
      <t>S107R</t>
    </r>
    <phoneticPr fontId="3" type="noConversion"/>
  </si>
  <si>
    <r>
      <t>CarR</t>
    </r>
    <r>
      <rPr>
        <b/>
        <vertAlign val="subscript"/>
        <sz val="11"/>
        <color theme="1"/>
        <rFont val="Arial"/>
        <family val="2"/>
      </rPr>
      <t>ecc169</t>
    </r>
    <phoneticPr fontId="3" type="noConversion"/>
  </si>
  <si>
    <r>
      <t>SmaR</t>
    </r>
    <r>
      <rPr>
        <b/>
        <vertAlign val="subscript"/>
        <sz val="11"/>
        <color theme="1"/>
        <rFont val="Arial"/>
        <family val="2"/>
      </rPr>
      <t>179</t>
    </r>
    <phoneticPr fontId="3" type="noConversion"/>
  </si>
  <si>
    <r>
      <t>TraR</t>
    </r>
    <r>
      <rPr>
        <b/>
        <vertAlign val="subscript"/>
        <sz val="11"/>
        <color theme="1"/>
        <rFont val="Arial"/>
        <family val="2"/>
      </rPr>
      <t>174</t>
    </r>
    <phoneticPr fontId="3" type="noConversion"/>
  </si>
  <si>
    <r>
      <t>ER</t>
    </r>
    <r>
      <rPr>
        <b/>
        <vertAlign val="subscript"/>
        <sz val="11"/>
        <color theme="1"/>
        <rFont val="Arial"/>
        <family val="2"/>
      </rPr>
      <t>282-595</t>
    </r>
    <phoneticPr fontId="3" type="noConversion"/>
  </si>
  <si>
    <r>
      <t>DHBR</t>
    </r>
    <r>
      <rPr>
        <b/>
        <vertAlign val="subscript"/>
        <sz val="11"/>
        <color theme="1"/>
        <rFont val="Arial"/>
        <family val="2"/>
      </rPr>
      <t>282-595</t>
    </r>
    <phoneticPr fontId="3" type="noConversion"/>
  </si>
  <si>
    <r>
      <t>G</t>
    </r>
    <r>
      <rPr>
        <b/>
        <vertAlign val="subscript"/>
        <sz val="11"/>
        <color theme="1"/>
        <rFont val="Arial"/>
        <family val="2"/>
      </rPr>
      <t>R487-777</t>
    </r>
    <phoneticPr fontId="3" type="noConversion"/>
  </si>
  <si>
    <r>
      <t>MR</t>
    </r>
    <r>
      <rPr>
        <b/>
        <vertAlign val="subscript"/>
        <sz val="11"/>
        <color theme="1"/>
        <rFont val="Arial"/>
        <family val="2"/>
      </rPr>
      <t>669-984</t>
    </r>
    <phoneticPr fontId="3" type="noConversion"/>
  </si>
  <si>
    <r>
      <t>CI434</t>
    </r>
    <r>
      <rPr>
        <b/>
        <vertAlign val="subscript"/>
        <sz val="11"/>
        <color theme="1"/>
        <rFont val="Arial"/>
        <family val="2"/>
      </rPr>
      <t>70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</si>
  <si>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bs94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</si>
  <si>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mm115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</si>
  <si>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ec87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</si>
  <si>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xa101</t>
    </r>
    <phoneticPr fontId="3" type="noConversion"/>
  </si>
  <si>
    <r>
      <t>HKCI</t>
    </r>
    <r>
      <rPr>
        <b/>
        <vertAlign val="subscript"/>
        <sz val="11"/>
        <color theme="1"/>
        <rFont val="Arial"/>
        <family val="2"/>
      </rPr>
      <t>84</t>
    </r>
    <phoneticPr fontId="3" type="noConversion"/>
  </si>
  <si>
    <r>
      <t>RecApact</t>
    </r>
    <r>
      <rPr>
        <b/>
        <vertAlign val="subscript"/>
        <sz val="11"/>
        <color theme="1"/>
        <rFont val="Arial"/>
        <family val="2"/>
      </rPr>
      <t>104</t>
    </r>
    <phoneticPr fontId="3" type="noConversion"/>
  </si>
  <si>
    <r>
      <t>DeoR</t>
    </r>
    <r>
      <rPr>
        <b/>
        <vertAlign val="subscript"/>
        <sz val="11"/>
        <color theme="1"/>
        <rFont val="Arial"/>
        <family val="2"/>
      </rPr>
      <t>92</t>
    </r>
    <phoneticPr fontId="3" type="noConversion"/>
  </si>
  <si>
    <r>
      <t>PurR</t>
    </r>
    <r>
      <rPr>
        <b/>
        <vertAlign val="subscript"/>
        <sz val="11"/>
        <color theme="1"/>
        <rFont val="Arial"/>
        <family val="2"/>
      </rPr>
      <t>60</t>
    </r>
    <phoneticPr fontId="3" type="noConversion"/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</si>
  <si>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>_O</t>
    </r>
    <r>
      <rPr>
        <b/>
        <vertAlign val="subscript"/>
        <sz val="11"/>
        <color theme="1"/>
        <rFont val="Arial"/>
        <family val="2"/>
      </rPr>
      <t>CI OL1</t>
    </r>
    <phoneticPr fontId="3" type="noConversion"/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</si>
  <si>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>_O</t>
    </r>
    <r>
      <rPr>
        <b/>
        <vertAlign val="subscript"/>
        <sz val="11"/>
        <color theme="1"/>
        <rFont val="Arial"/>
        <family val="2"/>
      </rPr>
      <t>CI OR1</t>
    </r>
    <phoneticPr fontId="3" type="noConversion"/>
  </si>
  <si>
    <r>
      <t>CI</t>
    </r>
    <r>
      <rPr>
        <b/>
        <vertAlign val="subscript"/>
        <sz val="11"/>
        <color theme="1"/>
        <rFont val="Arial"/>
        <family val="2"/>
      </rPr>
      <t>94</t>
    </r>
    <r>
      <rPr>
        <b/>
        <sz val="11"/>
        <color theme="1"/>
        <rFont val="Arial"/>
        <family val="2"/>
      </rPr>
      <t>_O</t>
    </r>
    <r>
      <rPr>
        <b/>
        <vertAlign val="subscript"/>
        <sz val="11"/>
        <color theme="1"/>
        <rFont val="Arial"/>
        <family val="2"/>
      </rPr>
      <t>CI Osym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</si>
  <si>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gs91</t>
    </r>
    <phoneticPr fontId="3" type="noConversion"/>
  </si>
  <si>
    <r>
      <t>LexA</t>
    </r>
    <r>
      <rPr>
        <b/>
        <vertAlign val="subscript"/>
        <sz val="11"/>
        <color theme="1"/>
        <rFont val="Arial"/>
        <family val="2"/>
      </rPr>
      <t>fs104</t>
    </r>
    <phoneticPr fontId="3" type="noConversion"/>
  </si>
  <si>
    <r>
      <t>lexA</t>
    </r>
    <r>
      <rPr>
        <vertAlign val="subscript"/>
        <sz val="11"/>
        <color theme="1"/>
        <rFont val="Arial"/>
        <family val="2"/>
      </rPr>
      <t>bs94</t>
    </r>
    <r>
      <rPr>
        <sz val="11"/>
        <color theme="1"/>
        <rFont val="Arial"/>
        <family val="2"/>
      </rPr>
      <t>-BjaR</t>
    </r>
    <r>
      <rPr>
        <vertAlign val="subscript"/>
        <sz val="11"/>
        <color theme="1"/>
        <rFont val="Arial"/>
        <family val="2"/>
      </rPr>
      <t>180</t>
    </r>
    <r>
      <rPr>
        <sz val="11"/>
        <color theme="1"/>
        <rFont val="Arial"/>
        <family val="2"/>
      </rPr>
      <t>-VP16</t>
    </r>
    <phoneticPr fontId="3" type="noConversion"/>
  </si>
  <si>
    <t>LXR436</t>
    <phoneticPr fontId="3" type="noConversion"/>
  </si>
  <si>
    <t>LXR437</t>
    <phoneticPr fontId="3" type="noConversion"/>
  </si>
  <si>
    <t>-0.00132*</t>
    <phoneticPr fontId="3" type="noConversion"/>
  </si>
  <si>
    <t>-0.00808*</t>
    <phoneticPr fontId="3" type="noConversion"/>
  </si>
  <si>
    <t>-0.0119*</t>
    <phoneticPr fontId="3" type="noConversion"/>
  </si>
  <si>
    <t>-0.00338*</t>
    <phoneticPr fontId="3" type="noConversion"/>
  </si>
  <si>
    <t>-0.00279*</t>
    <phoneticPr fontId="3" type="noConversion"/>
  </si>
  <si>
    <t>-0.01777*</t>
    <phoneticPr fontId="3" type="noConversion"/>
  </si>
  <si>
    <t>-0.01013*</t>
    <phoneticPr fontId="3" type="noConversion"/>
  </si>
  <si>
    <t>-0.00661*</t>
    <phoneticPr fontId="3" type="noConversion"/>
  </si>
  <si>
    <t>-0.00044*</t>
    <phoneticPr fontId="3" type="noConversion"/>
  </si>
  <si>
    <t>-0.00103*</t>
    <phoneticPr fontId="3" type="noConversion"/>
  </si>
  <si>
    <t>-0.01247*</t>
    <phoneticPr fontId="3" type="noConversion"/>
  </si>
  <si>
    <t>-0.01361*</t>
    <phoneticPr fontId="3" type="noConversion"/>
  </si>
  <si>
    <t>-0.0068*</t>
    <phoneticPr fontId="3" type="noConversion"/>
  </si>
  <si>
    <t>-0.00879*</t>
    <phoneticPr fontId="3" type="noConversion"/>
  </si>
  <si>
    <t>-0.00482*</t>
    <phoneticPr fontId="3" type="noConversion"/>
  </si>
  <si>
    <t>-0.0051*</t>
    <phoneticPr fontId="3" type="noConversion"/>
  </si>
  <si>
    <t>0.001417*</t>
    <phoneticPr fontId="3" type="noConversion"/>
  </si>
  <si>
    <t>-0.00028*</t>
    <phoneticPr fontId="3" type="noConversion"/>
  </si>
  <si>
    <t>-0.01304*</t>
    <phoneticPr fontId="3" type="noConversion"/>
  </si>
  <si>
    <t>-0.00907*</t>
    <phoneticPr fontId="3" type="noConversion"/>
  </si>
  <si>
    <t>-0.00539*</t>
    <phoneticPr fontId="3" type="noConversion"/>
  </si>
  <si>
    <t>-0.00709*</t>
    <phoneticPr fontId="3" type="noConversion"/>
  </si>
  <si>
    <t>-0.00567*</t>
    <phoneticPr fontId="3" type="noConversion"/>
  </si>
  <si>
    <t>-0.00454*</t>
    <phoneticPr fontId="3" type="noConversion"/>
  </si>
  <si>
    <t>-0.00312*</t>
    <phoneticPr fontId="3" type="noConversion"/>
  </si>
  <si>
    <t>-0.0025*</t>
    <phoneticPr fontId="3" type="noConversion"/>
  </si>
  <si>
    <t>-0.00984*</t>
    <phoneticPr fontId="3" type="noConversion"/>
  </si>
  <si>
    <t>-0.00837*</t>
    <phoneticPr fontId="3" type="noConversion"/>
  </si>
  <si>
    <t>-0.00652*</t>
    <phoneticPr fontId="3" type="noConversion"/>
  </si>
  <si>
    <t>-0.00198*</t>
    <phoneticPr fontId="3" type="noConversion"/>
  </si>
  <si>
    <t>32.49016*</t>
    <phoneticPr fontId="3" type="noConversion"/>
  </si>
  <si>
    <t>34.32354*</t>
    <phoneticPr fontId="3" type="noConversion"/>
  </si>
  <si>
    <t>35.17536*</t>
    <phoneticPr fontId="3" type="noConversion"/>
  </si>
  <si>
    <t>33.22506*</t>
    <phoneticPr fontId="3" type="noConversion"/>
  </si>
  <si>
    <t>31.2551*</t>
    <phoneticPr fontId="3" type="noConversion"/>
  </si>
  <si>
    <t>35.07118*</t>
    <phoneticPr fontId="3" type="noConversion"/>
  </si>
  <si>
    <t>33.90645*</t>
    <phoneticPr fontId="3" type="noConversion"/>
  </si>
  <si>
    <t>34.85225*</t>
    <phoneticPr fontId="3" type="noConversion"/>
  </si>
  <si>
    <t>39.78968*</t>
    <phoneticPr fontId="3" type="noConversion"/>
  </si>
  <si>
    <t>37.89059*</t>
    <phoneticPr fontId="3" type="noConversion"/>
  </si>
  <si>
    <t>39.15104*</t>
    <phoneticPr fontId="3" type="noConversion"/>
  </si>
  <si>
    <t>47.88794*</t>
    <phoneticPr fontId="3" type="noConversion"/>
  </si>
  <si>
    <t>48.18167*</t>
    <phoneticPr fontId="3" type="noConversion"/>
  </si>
  <si>
    <t>50.80159*</t>
    <phoneticPr fontId="3" type="noConversion"/>
  </si>
  <si>
    <t>46.92404*</t>
    <phoneticPr fontId="3" type="noConversion"/>
  </si>
  <si>
    <t>43.43634*</t>
    <phoneticPr fontId="3" type="noConversion"/>
  </si>
  <si>
    <t>52.96651*</t>
    <phoneticPr fontId="3" type="noConversion"/>
  </si>
  <si>
    <t>50.90454*</t>
    <phoneticPr fontId="3" type="noConversion"/>
  </si>
  <si>
    <t>54.9966*</t>
    <phoneticPr fontId="3" type="noConversion"/>
  </si>
  <si>
    <t>51.7398*</t>
    <phoneticPr fontId="3" type="noConversion"/>
  </si>
  <si>
    <t>-0.00925*</t>
    <phoneticPr fontId="3" type="noConversion"/>
  </si>
  <si>
    <t>-0.01043*</t>
    <phoneticPr fontId="3" type="noConversion"/>
  </si>
  <si>
    <t>-0.00085*</t>
    <phoneticPr fontId="3" type="noConversion"/>
  </si>
  <si>
    <t>-0.01895*</t>
    <phoneticPr fontId="3" type="noConversion"/>
  </si>
  <si>
    <t>0.027757*</t>
    <phoneticPr fontId="3" type="noConversion"/>
  </si>
  <si>
    <t>0.038625*</t>
    <phoneticPr fontId="3" type="noConversion"/>
  </si>
  <si>
    <t>-0.00283*</t>
    <phoneticPr fontId="3" type="noConversion"/>
  </si>
  <si>
    <t>-0.04337*</t>
    <phoneticPr fontId="3" type="noConversion"/>
  </si>
  <si>
    <t>-0.05244*</t>
    <phoneticPr fontId="3" type="noConversion"/>
  </si>
  <si>
    <t>-0.00455*</t>
    <phoneticPr fontId="3" type="noConversion"/>
  </si>
  <si>
    <t>-0.00104*</t>
    <phoneticPr fontId="3" type="noConversion"/>
  </si>
  <si>
    <t>-0.02405*</t>
    <phoneticPr fontId="3" type="noConversion"/>
  </si>
  <si>
    <t>-0.02486*</t>
    <phoneticPr fontId="3" type="noConversion"/>
  </si>
  <si>
    <t>-0.0473*</t>
    <phoneticPr fontId="3" type="noConversion"/>
  </si>
  <si>
    <t>0.033163*</t>
    <phoneticPr fontId="3" type="noConversion"/>
  </si>
  <si>
    <t>-0.01389*</t>
    <phoneticPr fontId="3" type="noConversion"/>
  </si>
  <si>
    <t>-0.01446*</t>
    <phoneticPr fontId="3" type="noConversion"/>
  </si>
  <si>
    <t>-0.02608*</t>
    <phoneticPr fontId="3" type="noConversion"/>
  </si>
  <si>
    <t>-0.04138*</t>
    <phoneticPr fontId="3" type="noConversion"/>
  </si>
  <si>
    <t>-0.03912*</t>
    <phoneticPr fontId="3" type="noConversion"/>
  </si>
  <si>
    <t>-0.03203*</t>
    <phoneticPr fontId="3" type="noConversion"/>
  </si>
  <si>
    <t>-0.04053*</t>
    <phoneticPr fontId="3" type="noConversion"/>
  </si>
  <si>
    <t>-0.00308*</t>
    <phoneticPr fontId="3" type="noConversion"/>
  </si>
  <si>
    <t>0.007784*</t>
    <phoneticPr fontId="3" type="noConversion"/>
  </si>
  <si>
    <t>0.006021*</t>
    <phoneticPr fontId="3" type="noConversion"/>
  </si>
  <si>
    <t>-0.01601*</t>
    <phoneticPr fontId="3" type="noConversion"/>
  </si>
  <si>
    <t>-0.0116*</t>
    <phoneticPr fontId="3" type="noConversion"/>
  </si>
  <si>
    <t>-0.01307*</t>
    <phoneticPr fontId="3" type="noConversion"/>
  </si>
  <si>
    <t>-0.00573*</t>
    <phoneticPr fontId="3" type="noConversion"/>
  </si>
  <si>
    <t>-0.01131*</t>
    <phoneticPr fontId="3" type="noConversion"/>
  </si>
  <si>
    <t>-0.02381*</t>
    <phoneticPr fontId="3" type="noConversion"/>
  </si>
  <si>
    <t>-0.01162*</t>
    <phoneticPr fontId="3" type="noConversion"/>
  </si>
  <si>
    <t>’-0.01043*</t>
    <phoneticPr fontId="3" type="noConversion"/>
  </si>
  <si>
    <t>‘-0.01571*</t>
    <phoneticPr fontId="3" type="noConversion"/>
  </si>
  <si>
    <t>’-0.01842*</t>
    <phoneticPr fontId="3" type="noConversion"/>
  </si>
  <si>
    <t>0.004051*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</si>
</sst>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0.00_);[Red]\(0.00\)"/>
    <numFmt numFmtId="177" formatCode="0.0000"/>
    <numFmt numFmtId="178" formatCode="0.000000"/>
    <numFmt numFmtId="179" formatCode="0.000"/>
    <numFmt numFmtId="180" formatCode="0.######"/>
    <numFmt numFmtId="181" formatCode="0.000000E+00"/>
    <numFmt numFmtId="182" formatCode="0.000E+00"/>
  </numFmts>
  <fonts count="6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i/>
      <sz val="10"/>
      <color rgb="FF0000FF"/>
      <name val="Arial"/>
      <family val="2"/>
    </font>
    <font>
      <vertAlign val="superscript"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Calibri"/>
      <family val="2"/>
    </font>
    <font>
      <sz val="11"/>
      <name val="Carlito"/>
    </font>
    <font>
      <b/>
      <sz val="11"/>
      <name val="Carlito"/>
    </font>
    <font>
      <b/>
      <sz val="11"/>
      <name val="Carlito"/>
      <family val="2"/>
    </font>
    <font>
      <vertAlign val="subscript"/>
      <sz val="11"/>
      <color theme="1"/>
      <name val="Arial"/>
      <family val="2"/>
    </font>
    <font>
      <vertAlign val="subscript"/>
      <sz val="11"/>
      <color theme="1"/>
      <name val="等线"/>
      <family val="3"/>
      <charset val="134"/>
      <scheme val="minor"/>
    </font>
    <font>
      <sz val="12"/>
      <name val="Arial"/>
      <family val="2"/>
    </font>
    <font>
      <b/>
      <vertAlign val="subscript"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i/>
      <sz val="11"/>
      <color rgb="FF0000FF"/>
      <name val="Arial"/>
      <family val="2"/>
    </font>
    <font>
      <sz val="11"/>
      <color theme="1"/>
      <name val="等线"/>
      <family val="3"/>
      <charset val="134"/>
      <scheme val="minor"/>
    </font>
    <font>
      <i/>
      <sz val="11"/>
      <color rgb="FF0070C0"/>
      <name val="Arial"/>
      <family val="2"/>
    </font>
    <font>
      <sz val="11"/>
      <color rgb="FF0070C0"/>
      <name val="Arial"/>
      <family val="2"/>
    </font>
    <font>
      <sz val="11"/>
      <color theme="1"/>
      <name val="Carlito"/>
    </font>
    <font>
      <b/>
      <sz val="11"/>
      <name val="Arial"/>
      <family val="2"/>
    </font>
    <font>
      <vertAlign val="subscript"/>
      <sz val="10"/>
      <name val="Arial"/>
      <family val="2"/>
    </font>
    <font>
      <sz val="10"/>
      <color theme="1"/>
      <name val="Arial"/>
      <family val="2"/>
    </font>
    <font>
      <b/>
      <vertAlign val="subscript"/>
      <sz val="11"/>
      <color theme="1"/>
      <name val="等线"/>
      <family val="3"/>
      <charset val="134"/>
      <scheme val="minor"/>
    </font>
    <font>
      <b/>
      <vertAlign val="subscript"/>
      <sz val="11"/>
      <color theme="1"/>
      <name val="Arial"/>
      <family val="2"/>
    </font>
    <font>
      <b/>
      <sz val="11"/>
      <color rgb="FF1F1F1F"/>
      <name val="Arial"/>
      <family val="2"/>
    </font>
    <font>
      <b/>
      <sz val="10"/>
      <color rgb="FF1F1F1F"/>
      <name val="Arial"/>
      <family val="2"/>
    </font>
    <font>
      <sz val="9"/>
      <color rgb="FF1F1F1F"/>
      <name val="Arial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</font>
    <font>
      <b/>
      <i/>
      <sz val="11"/>
      <color rgb="FF1F1F1F"/>
      <name val="Arial"/>
      <family val="2"/>
    </font>
    <font>
      <b/>
      <i/>
      <vertAlign val="subscript"/>
      <sz val="11"/>
      <color rgb="FF1F1F1F"/>
      <name val="Arial"/>
      <family val="2"/>
    </font>
    <font>
      <sz val="11"/>
      <color rgb="FF9C0006"/>
      <name val="Arial"/>
      <family val="2"/>
    </font>
    <font>
      <b/>
      <vertAlign val="superscript"/>
      <sz val="11"/>
      <color theme="1"/>
      <name val="Arial"/>
      <family val="2"/>
    </font>
    <font>
      <i/>
      <sz val="11"/>
      <color theme="1"/>
      <name val="等线"/>
      <family val="3"/>
      <charset val="134"/>
      <scheme val="minor"/>
    </font>
    <font>
      <i/>
      <vertAlign val="subscript"/>
      <sz val="11"/>
      <color theme="1"/>
      <name val="等线"/>
      <family val="3"/>
      <charset val="134"/>
      <scheme val="minor"/>
    </font>
    <font>
      <b/>
      <vertAlign val="subscript"/>
      <sz val="16"/>
      <color theme="1"/>
      <name val="Arial"/>
      <family val="2"/>
    </font>
    <font>
      <b/>
      <vertAlign val="subscript"/>
      <sz val="18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vertAlign val="subscript"/>
      <sz val="11"/>
      <color rgb="FFFF0000"/>
      <name val="Arial"/>
      <family val="2"/>
    </font>
    <font>
      <i/>
      <sz val="11"/>
      <color rgb="FFFF0000"/>
      <name val="Arial"/>
      <family val="2"/>
    </font>
    <font>
      <i/>
      <vertAlign val="subscript"/>
      <sz val="11"/>
      <color rgb="FFFF0000"/>
      <name val="Arial"/>
      <family val="2"/>
    </font>
    <font>
      <vertAlign val="superscript"/>
      <sz val="11"/>
      <color theme="1"/>
      <name val="等线"/>
      <family val="3"/>
      <charset val="134"/>
      <scheme val="minor"/>
    </font>
    <font>
      <b/>
      <sz val="11"/>
      <color rgb="FFFFFFFF"/>
      <name val="Carlito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CFCFF"/>
      </patternFill>
    </fill>
    <fill>
      <patternFill patternType="solid">
        <fgColor rgb="FFFCF4F6"/>
      </patternFill>
    </fill>
    <fill>
      <patternFill patternType="solid">
        <fgColor rgb="FFFCF4F7"/>
      </patternFill>
    </fill>
    <fill>
      <patternFill patternType="solid">
        <fgColor rgb="FFFCEDF0"/>
      </patternFill>
    </fill>
    <fill>
      <patternFill patternType="solid">
        <fgColor rgb="FFFBE2E5"/>
      </patternFill>
    </fill>
    <fill>
      <patternFill patternType="solid">
        <fgColor rgb="FFFBE0E3"/>
      </patternFill>
    </fill>
    <fill>
      <patternFill patternType="solid">
        <fgColor rgb="FFFAC0C2"/>
      </patternFill>
    </fill>
    <fill>
      <patternFill patternType="solid">
        <fgColor rgb="FFFAC4C7"/>
      </patternFill>
    </fill>
    <fill>
      <patternFill patternType="solid">
        <fgColor rgb="FFF8696B"/>
      </patternFill>
    </fill>
    <fill>
      <patternFill patternType="solid">
        <fgColor rgb="FFF8797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23" fillId="0" borderId="0"/>
    <xf numFmtId="0" fontId="23" fillId="0" borderId="0"/>
    <xf numFmtId="0" fontId="32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</cellStyleXfs>
  <cellXfs count="277">
    <xf numFmtId="0" fontId="0" fillId="0" borderId="0" xfId="0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1" xfId="0" applyFont="1" applyBorder="1">
      <alignment vertical="center"/>
    </xf>
    <xf numFmtId="0" fontId="6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/>
    <xf numFmtId="0" fontId="4" fillId="0" borderId="8" xfId="0" applyFont="1" applyBorder="1" applyAlignment="1"/>
    <xf numFmtId="0" fontId="6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0" fillId="0" borderId="7" xfId="0" applyBorder="1">
      <alignment vertic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/>
    <xf numFmtId="0" fontId="8" fillId="0" borderId="5" xfId="0" applyFont="1" applyBorder="1" applyAlignment="1"/>
    <xf numFmtId="0" fontId="10" fillId="0" borderId="0" xfId="0" applyFont="1">
      <alignment vertical="center"/>
    </xf>
    <xf numFmtId="0" fontId="8" fillId="0" borderId="7" xfId="0" applyFont="1" applyBorder="1" applyAlignment="1"/>
    <xf numFmtId="0" fontId="8" fillId="0" borderId="8" xfId="0" applyFont="1" applyBorder="1" applyAlignment="1"/>
    <xf numFmtId="0" fontId="2" fillId="0" borderId="0" xfId="1"/>
    <xf numFmtId="0" fontId="2" fillId="2" borderId="0" xfId="1" applyFill="1"/>
    <xf numFmtId="0" fontId="11" fillId="3" borderId="0" xfId="1" applyFont="1" applyFill="1"/>
    <xf numFmtId="0" fontId="2" fillId="3" borderId="0" xfId="1" applyFill="1"/>
    <xf numFmtId="0" fontId="11" fillId="4" borderId="0" xfId="1" applyFont="1" applyFill="1"/>
    <xf numFmtId="0" fontId="2" fillId="4" borderId="0" xfId="1" applyFill="1"/>
    <xf numFmtId="0" fontId="2" fillId="5" borderId="0" xfId="1" applyFill="1"/>
    <xf numFmtId="0" fontId="11" fillId="0" borderId="0" xfId="1" applyFont="1" applyAlignment="1">
      <alignment horizontal="center"/>
    </xf>
    <xf numFmtId="0" fontId="2" fillId="4" borderId="0" xfId="1" applyFill="1" applyAlignment="1">
      <alignment horizontal="center"/>
    </xf>
    <xf numFmtId="0" fontId="2" fillId="6" borderId="0" xfId="1" applyFill="1"/>
    <xf numFmtId="0" fontId="11" fillId="6" borderId="0" xfId="1" applyFont="1" applyFill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6" fillId="0" borderId="2" xfId="0" applyFont="1" applyBorder="1">
      <alignment vertical="center"/>
    </xf>
    <xf numFmtId="0" fontId="16" fillId="0" borderId="3" xfId="0" applyFont="1" applyBorder="1">
      <alignment vertical="center"/>
    </xf>
    <xf numFmtId="0" fontId="16" fillId="0" borderId="5" xfId="0" applyFont="1" applyBorder="1">
      <alignment vertical="center"/>
    </xf>
    <xf numFmtId="0" fontId="17" fillId="0" borderId="0" xfId="0" applyFont="1" applyAlignment="1"/>
    <xf numFmtId="0" fontId="12" fillId="0" borderId="0" xfId="0" applyFont="1" applyAlignment="1">
      <alignment horizontal="left"/>
    </xf>
    <xf numFmtId="0" fontId="0" fillId="3" borderId="0" xfId="0" applyFill="1">
      <alignment vertical="center"/>
    </xf>
    <xf numFmtId="0" fontId="18" fillId="0" borderId="0" xfId="0" applyFont="1">
      <alignment vertical="center"/>
    </xf>
    <xf numFmtId="0" fontId="4" fillId="3" borderId="0" xfId="0" applyFont="1" applyFill="1" applyAlignment="1"/>
    <xf numFmtId="0" fontId="5" fillId="0" borderId="1" xfId="0" applyFont="1" applyBorder="1" applyAlignment="1">
      <alignment horizontal="left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19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/>
    <xf numFmtId="0" fontId="0" fillId="2" borderId="0" xfId="0" applyFill="1" applyAlignment="1"/>
    <xf numFmtId="0" fontId="11" fillId="3" borderId="0" xfId="0" applyFont="1" applyFill="1" applyAlignment="1"/>
    <xf numFmtId="0" fontId="0" fillId="3" borderId="0" xfId="0" applyFill="1" applyAlignment="1"/>
    <xf numFmtId="0" fontId="11" fillId="4" borderId="0" xfId="0" applyFont="1" applyFill="1" applyAlignment="1"/>
    <xf numFmtId="0" fontId="0" fillId="4" borderId="0" xfId="0" applyFill="1" applyAlignment="1"/>
    <xf numFmtId="0" fontId="0" fillId="4" borderId="0" xfId="0" applyFill="1" applyAlignment="1">
      <alignment horizontal="center"/>
    </xf>
    <xf numFmtId="0" fontId="0" fillId="5" borderId="0" xfId="0" applyFill="1" applyAlignment="1"/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12" fillId="0" borderId="0" xfId="0" applyFont="1" applyAlignment="1">
      <alignment horizontal="center"/>
    </xf>
    <xf numFmtId="0" fontId="5" fillId="7" borderId="9" xfId="0" applyFont="1" applyFill="1" applyBorder="1">
      <alignment vertical="center"/>
    </xf>
    <xf numFmtId="0" fontId="6" fillId="0" borderId="1" xfId="0" applyFont="1" applyBorder="1" applyAlignment="1">
      <alignment horizontal="center"/>
    </xf>
    <xf numFmtId="176" fontId="5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5" fillId="0" borderId="5" xfId="0" applyFont="1" applyBorder="1" applyAlignment="1">
      <alignment horizontal="left" vertical="center"/>
    </xf>
    <xf numFmtId="0" fontId="22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2" fillId="8" borderId="1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11" fontId="5" fillId="0" borderId="5" xfId="0" applyNumberFormat="1" applyFont="1" applyBorder="1" applyAlignment="1">
      <alignment horizontal="left" vertical="center"/>
    </xf>
    <xf numFmtId="11" fontId="5" fillId="0" borderId="8" xfId="0" applyNumberFormat="1" applyFont="1" applyBorder="1" applyAlignment="1">
      <alignment horizontal="left" vertical="center"/>
    </xf>
    <xf numFmtId="0" fontId="0" fillId="0" borderId="4" xfId="0" applyBorder="1">
      <alignment vertical="center"/>
    </xf>
    <xf numFmtId="11" fontId="5" fillId="0" borderId="0" xfId="0" applyNumberFormat="1" applyFont="1">
      <alignment vertical="center"/>
    </xf>
    <xf numFmtId="0" fontId="24" fillId="0" borderId="0" xfId="3" applyFont="1" applyAlignment="1">
      <alignment horizontal="center" vertical="center" wrapText="1"/>
    </xf>
    <xf numFmtId="0" fontId="23" fillId="0" borderId="0" xfId="3" applyAlignment="1">
      <alignment vertical="top"/>
    </xf>
    <xf numFmtId="178" fontId="23" fillId="0" borderId="0" xfId="3" applyNumberFormat="1" applyAlignment="1">
      <alignment vertical="top"/>
    </xf>
    <xf numFmtId="177" fontId="23" fillId="0" borderId="0" xfId="3" applyNumberFormat="1" applyAlignment="1">
      <alignment vertical="top"/>
    </xf>
    <xf numFmtId="0" fontId="25" fillId="0" borderId="0" xfId="3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8" fillId="0" borderId="0" xfId="0" applyFont="1" applyAlignment="1"/>
    <xf numFmtId="0" fontId="5" fillId="0" borderId="12" xfId="0" applyFont="1" applyBorder="1">
      <alignment vertical="center"/>
    </xf>
    <xf numFmtId="0" fontId="5" fillId="5" borderId="12" xfId="0" applyFont="1" applyFill="1" applyBorder="1">
      <alignment vertical="center"/>
    </xf>
    <xf numFmtId="0" fontId="5" fillId="7" borderId="12" xfId="0" applyFont="1" applyFill="1" applyBorder="1">
      <alignment vertical="center"/>
    </xf>
    <xf numFmtId="0" fontId="18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1" fillId="0" borderId="0" xfId="0" applyFont="1" applyAlignment="1"/>
    <xf numFmtId="0" fontId="18" fillId="0" borderId="0" xfId="0" applyFont="1" applyAlignment="1">
      <alignment horizontal="center" vertical="center"/>
    </xf>
    <xf numFmtId="0" fontId="5" fillId="0" borderId="0" xfId="4" applyFont="1">
      <alignment vertical="center"/>
    </xf>
    <xf numFmtId="0" fontId="5" fillId="0" borderId="4" xfId="0" applyFont="1" applyBorder="1" applyAlignment="1">
      <alignment horizontal="left" vertical="center"/>
    </xf>
    <xf numFmtId="176" fontId="5" fillId="0" borderId="3" xfId="0" applyNumberFormat="1" applyFont="1" applyBorder="1" applyAlignment="1">
      <alignment horizontal="left" vertical="center"/>
    </xf>
    <xf numFmtId="0" fontId="33" fillId="0" borderId="0" xfId="4" applyFont="1">
      <alignment vertical="center"/>
    </xf>
    <xf numFmtId="0" fontId="34" fillId="0" borderId="0" xfId="0" applyFont="1">
      <alignment vertical="center"/>
    </xf>
    <xf numFmtId="0" fontId="24" fillId="0" borderId="13" xfId="3" applyFont="1" applyBorder="1" applyAlignment="1">
      <alignment horizontal="center" vertical="center" wrapText="1"/>
    </xf>
    <xf numFmtId="0" fontId="25" fillId="0" borderId="13" xfId="3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79" fontId="35" fillId="0" borderId="13" xfId="3" applyNumberFormat="1" applyFont="1" applyBorder="1"/>
    <xf numFmtId="0" fontId="5" fillId="0" borderId="0" xfId="0" applyFont="1" applyAlignment="1"/>
    <xf numFmtId="0" fontId="38" fillId="0" borderId="0" xfId="0" applyFont="1">
      <alignment vertical="center"/>
    </xf>
    <xf numFmtId="0" fontId="5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6" fillId="0" borderId="0" xfId="0" applyFont="1" applyAlignment="1">
      <alignment horizontal="left"/>
    </xf>
    <xf numFmtId="0" fontId="31" fillId="0" borderId="0" xfId="0" applyFont="1">
      <alignment vertical="center"/>
    </xf>
    <xf numFmtId="0" fontId="45" fillId="12" borderId="0" xfId="0" applyFont="1" applyFill="1" applyAlignment="1">
      <alignment horizontal="center" vertical="center" wrapText="1"/>
    </xf>
    <xf numFmtId="0" fontId="46" fillId="12" borderId="0" xfId="0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left" vertical="center"/>
    </xf>
    <xf numFmtId="0" fontId="48" fillId="0" borderId="14" xfId="0" applyFont="1" applyBorder="1" applyAlignment="1">
      <alignment horizontal="left" vertical="center"/>
    </xf>
    <xf numFmtId="180" fontId="5" fillId="14" borderId="14" xfId="0" applyNumberFormat="1" applyFont="1" applyFill="1" applyBorder="1" applyAlignment="1">
      <alignment horizontal="right" vertical="center"/>
    </xf>
    <xf numFmtId="180" fontId="5" fillId="15" borderId="14" xfId="0" applyNumberFormat="1" applyFont="1" applyFill="1" applyBorder="1" applyAlignment="1">
      <alignment horizontal="right" vertical="center"/>
    </xf>
    <xf numFmtId="180" fontId="5" fillId="16" borderId="14" xfId="0" applyNumberFormat="1" applyFont="1" applyFill="1" applyBorder="1" applyAlignment="1">
      <alignment horizontal="right" vertical="center"/>
    </xf>
    <xf numFmtId="180" fontId="5" fillId="17" borderId="14" xfId="0" applyNumberFormat="1" applyFont="1" applyFill="1" applyBorder="1" applyAlignment="1">
      <alignment horizontal="right" vertical="center"/>
    </xf>
    <xf numFmtId="180" fontId="5" fillId="18" borderId="14" xfId="0" applyNumberFormat="1" applyFont="1" applyFill="1" applyBorder="1" applyAlignment="1">
      <alignment horizontal="right" vertical="center"/>
    </xf>
    <xf numFmtId="180" fontId="5" fillId="19" borderId="14" xfId="0" applyNumberFormat="1" applyFont="1" applyFill="1" applyBorder="1" applyAlignment="1">
      <alignment horizontal="right" vertical="center"/>
    </xf>
    <xf numFmtId="180" fontId="5" fillId="20" borderId="14" xfId="0" applyNumberFormat="1" applyFont="1" applyFill="1" applyBorder="1" applyAlignment="1">
      <alignment horizontal="right" vertical="center"/>
    </xf>
    <xf numFmtId="180" fontId="5" fillId="21" borderId="14" xfId="0" applyNumberFormat="1" applyFont="1" applyFill="1" applyBorder="1" applyAlignment="1">
      <alignment horizontal="right" vertical="center"/>
    </xf>
    <xf numFmtId="180" fontId="5" fillId="22" borderId="14" xfId="0" applyNumberFormat="1" applyFont="1" applyFill="1" applyBorder="1" applyAlignment="1">
      <alignment horizontal="right" vertical="center"/>
    </xf>
    <xf numFmtId="180" fontId="5" fillId="23" borderId="14" xfId="0" applyNumberFormat="1" applyFont="1" applyFill="1" applyBorder="1" applyAlignment="1">
      <alignment horizontal="right" vertical="center"/>
    </xf>
    <xf numFmtId="180" fontId="19" fillId="0" borderId="14" xfId="0" applyNumberFormat="1" applyFont="1" applyBorder="1" applyAlignment="1">
      <alignment horizontal="right" vertical="center"/>
    </xf>
    <xf numFmtId="0" fontId="6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19" fillId="3" borderId="0" xfId="0" applyFont="1" applyFill="1" applyAlignment="1"/>
    <xf numFmtId="11" fontId="5" fillId="3" borderId="0" xfId="0" applyNumberFormat="1" applyFont="1" applyFill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0" xfId="0" quotePrefix="1" applyFont="1" applyAlignment="1">
      <alignment horizontal="center" vertical="center"/>
    </xf>
    <xf numFmtId="0" fontId="5" fillId="3" borderId="0" xfId="0" applyFont="1" applyFill="1">
      <alignment vertical="center"/>
    </xf>
    <xf numFmtId="0" fontId="36" fillId="0" borderId="0" xfId="0" applyFont="1" applyAlignment="1">
      <alignment horizontal="center"/>
    </xf>
    <xf numFmtId="0" fontId="50" fillId="0" borderId="0" xfId="0" applyFont="1">
      <alignment vertical="center"/>
    </xf>
    <xf numFmtId="181" fontId="23" fillId="0" borderId="0" xfId="3" applyNumberFormat="1" applyAlignment="1">
      <alignment vertical="top"/>
    </xf>
    <xf numFmtId="181" fontId="35" fillId="0" borderId="13" xfId="3" applyNumberFormat="1" applyFont="1" applyBorder="1" applyAlignment="1">
      <alignment vertical="top"/>
    </xf>
    <xf numFmtId="0" fontId="5" fillId="3" borderId="5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3" borderId="7" xfId="0" applyFont="1" applyFill="1" applyBorder="1" applyAlignment="1"/>
    <xf numFmtId="0" fontId="4" fillId="3" borderId="5" xfId="0" applyFont="1" applyFill="1" applyBorder="1" applyAlignment="1"/>
    <xf numFmtId="0" fontId="58" fillId="0" borderId="0" xfId="0" applyFont="1">
      <alignment vertical="center"/>
    </xf>
    <xf numFmtId="0" fontId="0" fillId="0" borderId="23" xfId="3" applyFont="1" applyBorder="1" applyAlignment="1">
      <alignment horizontal="left" vertical="center"/>
    </xf>
    <xf numFmtId="182" fontId="0" fillId="0" borderId="23" xfId="3" applyNumberFormat="1" applyFont="1" applyBorder="1" applyAlignment="1">
      <alignment horizontal="right" vertical="center"/>
    </xf>
    <xf numFmtId="0" fontId="0" fillId="0" borderId="23" xfId="3" applyFont="1" applyBorder="1" applyAlignment="1">
      <alignment horizontal="center" vertical="center"/>
    </xf>
    <xf numFmtId="0" fontId="0" fillId="0" borderId="24" xfId="3" applyFont="1" applyBorder="1" applyAlignment="1">
      <alignment horizontal="left" vertical="center"/>
    </xf>
    <xf numFmtId="182" fontId="0" fillId="0" borderId="24" xfId="3" applyNumberFormat="1" applyFont="1" applyBorder="1" applyAlignment="1">
      <alignment horizontal="right" vertical="center"/>
    </xf>
    <xf numFmtId="0" fontId="0" fillId="0" borderId="24" xfId="3" applyFont="1" applyBorder="1" applyAlignment="1">
      <alignment horizontal="center" vertical="center"/>
    </xf>
    <xf numFmtId="0" fontId="0" fillId="0" borderId="25" xfId="3" applyFont="1" applyBorder="1" applyAlignment="1">
      <alignment horizontal="left" vertical="center"/>
    </xf>
    <xf numFmtId="182" fontId="0" fillId="0" borderId="25" xfId="3" applyNumberFormat="1" applyFont="1" applyBorder="1" applyAlignment="1">
      <alignment horizontal="right" vertical="center"/>
    </xf>
    <xf numFmtId="0" fontId="0" fillId="0" borderId="25" xfId="3" applyFont="1" applyBorder="1" applyAlignment="1">
      <alignment horizontal="center" vertical="center"/>
    </xf>
    <xf numFmtId="0" fontId="61" fillId="0" borderId="0" xfId="3" applyFont="1" applyAlignment="1">
      <alignment horizontal="center" vertical="center" wrapText="1"/>
    </xf>
    <xf numFmtId="0" fontId="55" fillId="0" borderId="0" xfId="0" applyFont="1" applyAlignment="1">
      <alignment horizontal="justify" vertical="center" wrapText="1"/>
    </xf>
    <xf numFmtId="0" fontId="56" fillId="0" borderId="0" xfId="0" applyFont="1" applyAlignment="1">
      <alignment horizontal="justify" vertical="center" wrapText="1"/>
    </xf>
    <xf numFmtId="0" fontId="54" fillId="0" borderId="0" xfId="0" applyFont="1" applyAlignment="1">
      <alignment horizontal="justify" vertical="center" wrapText="1"/>
    </xf>
    <xf numFmtId="0" fontId="6" fillId="0" borderId="12" xfId="0" applyFont="1" applyBorder="1" applyAlignment="1"/>
    <xf numFmtId="0" fontId="6" fillId="5" borderId="12" xfId="0" applyFont="1" applyFill="1" applyBorder="1" applyAlignment="1"/>
    <xf numFmtId="0" fontId="6" fillId="25" borderId="12" xfId="0" applyFont="1" applyFill="1" applyBorder="1" applyAlignment="1"/>
    <xf numFmtId="0" fontId="5" fillId="25" borderId="12" xfId="0" applyFont="1" applyFill="1" applyBorder="1">
      <alignment vertical="center"/>
    </xf>
    <xf numFmtId="0" fontId="5" fillId="5" borderId="26" xfId="0" applyFont="1" applyFill="1" applyBorder="1">
      <alignment vertical="center"/>
    </xf>
    <xf numFmtId="0" fontId="6" fillId="0" borderId="26" xfId="0" applyFont="1" applyBorder="1" applyAlignment="1"/>
    <xf numFmtId="0" fontId="6" fillId="0" borderId="27" xfId="0" applyFont="1" applyBorder="1" applyAlignment="1"/>
    <xf numFmtId="0" fontId="5" fillId="5" borderId="28" xfId="0" applyFont="1" applyFill="1" applyBorder="1">
      <alignment vertical="center"/>
    </xf>
    <xf numFmtId="0" fontId="5" fillId="5" borderId="27" xfId="0" applyFont="1" applyFill="1" applyBorder="1">
      <alignment vertical="center"/>
    </xf>
    <xf numFmtId="0" fontId="6" fillId="0" borderId="15" xfId="0" applyFont="1" applyBorder="1" applyAlignment="1"/>
    <xf numFmtId="0" fontId="6" fillId="0" borderId="29" xfId="0" applyFont="1" applyBorder="1" applyAlignment="1"/>
    <xf numFmtId="0" fontId="5" fillId="5" borderId="29" xfId="0" applyFont="1" applyFill="1" applyBorder="1">
      <alignment vertical="center"/>
    </xf>
    <xf numFmtId="0" fontId="5" fillId="0" borderId="29" xfId="0" applyFont="1" applyBorder="1">
      <alignment vertical="center"/>
    </xf>
    <xf numFmtId="0" fontId="6" fillId="0" borderId="30" xfId="0" applyFont="1" applyBorder="1" applyAlignment="1"/>
    <xf numFmtId="0" fontId="6" fillId="0" borderId="22" xfId="0" applyFont="1" applyBorder="1" applyAlignment="1"/>
    <xf numFmtId="0" fontId="5" fillId="0" borderId="30" xfId="0" applyFont="1" applyBorder="1">
      <alignment vertical="center"/>
    </xf>
    <xf numFmtId="0" fontId="6" fillId="0" borderId="20" xfId="0" applyFont="1" applyBorder="1" applyAlignment="1"/>
    <xf numFmtId="0" fontId="5" fillId="5" borderId="30" xfId="0" applyFont="1" applyFill="1" applyBorder="1">
      <alignment vertical="center"/>
    </xf>
    <xf numFmtId="0" fontId="5" fillId="7" borderId="0" xfId="0" applyFont="1" applyFill="1">
      <alignment vertical="center"/>
    </xf>
    <xf numFmtId="0" fontId="31" fillId="0" borderId="0" xfId="0" quotePrefix="1" applyFont="1">
      <alignment vertical="center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31" fillId="3" borderId="0" xfId="0" applyFont="1" applyFill="1">
      <alignment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1" fillId="0" borderId="0" xfId="1" applyFont="1" applyAlignment="1">
      <alignment horizontal="center"/>
    </xf>
    <xf numFmtId="0" fontId="11" fillId="5" borderId="0" xfId="1" applyFont="1" applyFill="1" applyAlignment="1">
      <alignment horizontal="center" vertical="center" wrapText="1"/>
    </xf>
    <xf numFmtId="0" fontId="2" fillId="4" borderId="0" xfId="1" applyFill="1" applyAlignment="1">
      <alignment horizontal="center"/>
    </xf>
    <xf numFmtId="0" fontId="18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8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 vertical="center"/>
    </xf>
    <xf numFmtId="0" fontId="14" fillId="24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44" fillId="13" borderId="0" xfId="0" applyFont="1" applyFill="1" applyAlignment="1">
      <alignment horizontal="center" vertical="center" wrapText="1"/>
    </xf>
    <xf numFmtId="0" fontId="41" fillId="11" borderId="0" xfId="0" applyFont="1" applyFill="1" applyAlignment="1">
      <alignment horizontal="left" vertical="center"/>
    </xf>
    <xf numFmtId="2" fontId="42" fillId="12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  <xf numFmtId="2" fontId="41" fillId="12" borderId="0" xfId="0" applyNumberFormat="1" applyFont="1" applyFill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9">
    <cellStyle name="Normal" xfId="3" xr:uid="{61538E6C-D2BC-4912-B7CE-638908BEC3B3}"/>
    <cellStyle name="常规" xfId="0" builtinId="0"/>
    <cellStyle name="常规 2" xfId="1" xr:uid="{2FE1B533-8A8D-465D-9608-22251B559F40}"/>
    <cellStyle name="常规 2 2" xfId="7" xr:uid="{2131D219-4757-4EE2-8DAA-5F08CC23F5D2}"/>
    <cellStyle name="常规 3" xfId="2" xr:uid="{F44C141E-11F8-4576-A492-97989ABBB666}"/>
    <cellStyle name="常规 3 2" xfId="5" xr:uid="{C3F1F6A1-EC08-4D9B-ACE1-29A265BCE892}"/>
    <cellStyle name="常规 4" xfId="4" xr:uid="{0A40CD59-EB11-4BBB-9D18-34D99FB6FB3D}"/>
    <cellStyle name="常规 4 2" xfId="8" xr:uid="{FBE6E04A-C74C-4E3B-85E9-0E467D3FD078}"/>
    <cellStyle name="常规 5" xfId="6" xr:uid="{22EDFD52-9AF5-4C4A-B913-37C83079DB7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ED5252C-E3A3-40B1-89EB-CE10E1AD8AE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DA1491C2-23BC-479B-B979-5AC953E5173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5018-2E8F-4750-81D7-4D4EFAFDE067}">
  <dimension ref="A1:AH105"/>
  <sheetViews>
    <sheetView zoomScaleNormal="100" workbookViewId="0">
      <selection activeCell="F35" sqref="F35:G36"/>
    </sheetView>
  </sheetViews>
  <sheetFormatPr defaultColWidth="18.125" defaultRowHeight="14.25"/>
  <cols>
    <col min="1" max="1" width="24.25" style="4" customWidth="1"/>
    <col min="2" max="8" width="9.125" style="4" bestFit="1" customWidth="1"/>
    <col min="9" max="9" width="15.25" style="4" customWidth="1"/>
    <col min="10" max="11" width="11.375" style="4" customWidth="1"/>
    <col min="12" max="12" width="10.625" style="4" customWidth="1"/>
    <col min="13" max="15" width="7.125" style="4" bestFit="1" customWidth="1"/>
    <col min="16" max="16" width="18.125" style="4"/>
    <col min="17" max="17" width="13.25" style="4" customWidth="1"/>
    <col min="18" max="18" width="6.125" style="4" bestFit="1" customWidth="1"/>
    <col min="19" max="19" width="9" style="4" bestFit="1" customWidth="1"/>
    <col min="20" max="20" width="6.125" style="4" bestFit="1" customWidth="1"/>
    <col min="21" max="23" width="7.125" style="4" bestFit="1" customWidth="1"/>
    <col min="24" max="16384" width="18.125" style="4"/>
  </cols>
  <sheetData>
    <row r="1" spans="1:23">
      <c r="J1" s="4" t="s">
        <v>1274</v>
      </c>
      <c r="L1" s="218" t="s">
        <v>1272</v>
      </c>
      <c r="M1" s="218"/>
      <c r="N1" s="218"/>
      <c r="O1" s="218"/>
      <c r="P1" s="218" t="s">
        <v>1273</v>
      </c>
      <c r="Q1" s="218"/>
      <c r="R1" s="218"/>
      <c r="S1" s="218"/>
      <c r="T1" s="218" t="s">
        <v>1271</v>
      </c>
      <c r="U1" s="218"/>
      <c r="V1" s="218"/>
      <c r="W1" s="218"/>
    </row>
    <row r="2" spans="1:23">
      <c r="A2" s="4" t="s">
        <v>2</v>
      </c>
      <c r="B2" s="230" t="s">
        <v>0</v>
      </c>
      <c r="C2" s="230"/>
      <c r="D2" s="230"/>
      <c r="E2" s="230" t="s">
        <v>1</v>
      </c>
      <c r="F2" s="230"/>
      <c r="G2" s="230"/>
      <c r="I2" s="4" t="s">
        <v>1132</v>
      </c>
      <c r="J2" s="4" t="s">
        <v>1269</v>
      </c>
      <c r="K2" s="4" t="s">
        <v>1270</v>
      </c>
      <c r="L2" s="4">
        <v>1</v>
      </c>
      <c r="M2" s="4">
        <v>2</v>
      </c>
      <c r="N2" s="4">
        <v>3</v>
      </c>
      <c r="O2" s="4">
        <v>4</v>
      </c>
      <c r="P2" s="4">
        <v>1</v>
      </c>
      <c r="Q2" s="4">
        <v>2</v>
      </c>
      <c r="R2" s="4">
        <v>3</v>
      </c>
      <c r="S2" s="4">
        <v>4</v>
      </c>
      <c r="T2" s="4">
        <v>1</v>
      </c>
      <c r="U2" s="4">
        <v>2</v>
      </c>
      <c r="V2" s="4">
        <v>3</v>
      </c>
      <c r="W2" s="4">
        <v>4</v>
      </c>
    </row>
    <row r="3" spans="1:23" ht="18.75">
      <c r="A3" s="6" t="s">
        <v>139</v>
      </c>
      <c r="B3" s="7">
        <v>34.5</v>
      </c>
      <c r="C3" s="7">
        <v>28.3</v>
      </c>
      <c r="D3" s="7">
        <v>28.7</v>
      </c>
      <c r="E3" s="7">
        <v>4240</v>
      </c>
      <c r="F3" s="7">
        <v>4520</v>
      </c>
      <c r="G3" s="7">
        <v>4227</v>
      </c>
      <c r="J3" s="4">
        <v>0.32230904966122997</v>
      </c>
      <c r="K3" s="4">
        <v>1</v>
      </c>
      <c r="L3" s="4">
        <v>-5.3893829156561567E-3</v>
      </c>
      <c r="M3" s="4">
        <v>-9.1619509566154625E-3</v>
      </c>
      <c r="N3" s="4">
        <v>-7.9493398005928296E-3</v>
      </c>
      <c r="O3" s="4">
        <v>-7.4104015090272158E-3</v>
      </c>
      <c r="P3" s="4">
        <v>2.6909188897871195</v>
      </c>
      <c r="Q3" s="4">
        <v>3.9237402317434649</v>
      </c>
      <c r="R3" s="4">
        <v>8.8900565885206131</v>
      </c>
      <c r="S3" s="4">
        <v>10.525734303422258</v>
      </c>
      <c r="T3" s="4">
        <v>1.4915507507398699E-2</v>
      </c>
      <c r="U3" s="4">
        <v>2.2682274634970301E-2</v>
      </c>
      <c r="V3" s="4">
        <v>6.11643097378059E-2</v>
      </c>
      <c r="W3" s="4">
        <v>7.7142683242056004E-2</v>
      </c>
    </row>
    <row r="4" spans="1:23" ht="18.75">
      <c r="A4" s="6" t="s">
        <v>1460</v>
      </c>
      <c r="B4" s="7">
        <v>49.2</v>
      </c>
      <c r="C4" s="7">
        <v>49.7</v>
      </c>
      <c r="D4" s="7">
        <v>48.5</v>
      </c>
      <c r="E4" s="7">
        <v>16546</v>
      </c>
      <c r="F4" s="7">
        <v>15855</v>
      </c>
      <c r="G4" s="7">
        <v>16197</v>
      </c>
      <c r="J4" s="4">
        <v>0.32230904966122997</v>
      </c>
      <c r="K4" s="4">
        <v>2</v>
      </c>
      <c r="L4" s="4">
        <v>-1.6267247639796662E-2</v>
      </c>
      <c r="M4" s="4">
        <v>-1.6993464052287587E-2</v>
      </c>
      <c r="N4" s="4">
        <v>-1.6557734204793027E-2</v>
      </c>
      <c r="O4" s="4">
        <v>-1.8155410312273058E-2</v>
      </c>
      <c r="P4" s="4">
        <v>3.0305010893246189</v>
      </c>
      <c r="Q4" s="4">
        <v>4.8228031953522148</v>
      </c>
      <c r="R4" s="4">
        <v>9.6913580246913575</v>
      </c>
      <c r="S4" s="4">
        <v>11.406681190994917</v>
      </c>
      <c r="T4" s="4">
        <v>1.6996646823348598E-2</v>
      </c>
      <c r="U4" s="4">
        <v>2.87355467023074E-2</v>
      </c>
      <c r="V4" s="4">
        <v>6.8742271696256199E-2</v>
      </c>
      <c r="W4" s="4">
        <v>8.6634369221695595E-2</v>
      </c>
    </row>
    <row r="5" spans="1:23" ht="18.75">
      <c r="A5" s="6" t="s">
        <v>1461</v>
      </c>
      <c r="B5" s="7">
        <v>66.5</v>
      </c>
      <c r="C5" s="7">
        <v>70.5</v>
      </c>
      <c r="D5" s="7">
        <v>65.099999999999994</v>
      </c>
      <c r="E5" s="7">
        <v>17109</v>
      </c>
      <c r="F5" s="7">
        <v>17162</v>
      </c>
      <c r="G5" s="7">
        <v>15473</v>
      </c>
      <c r="J5" s="4">
        <v>0.32230904966122997</v>
      </c>
      <c r="K5" s="4">
        <v>3</v>
      </c>
      <c r="L5" s="4">
        <v>-1.590776415645067E-2</v>
      </c>
      <c r="M5" s="4">
        <v>-1.7075306479859886E-2</v>
      </c>
      <c r="N5" s="4">
        <v>-1.6199649737302969E-2</v>
      </c>
      <c r="O5" s="4">
        <v>-1.5032107413893749E-2</v>
      </c>
      <c r="P5" s="4">
        <v>3.0957384705195561</v>
      </c>
      <c r="Q5" s="4">
        <v>4.6719206071220079</v>
      </c>
      <c r="R5" s="4">
        <v>8.3774080560420305</v>
      </c>
      <c r="S5" s="4">
        <v>11.499124343257442</v>
      </c>
      <c r="T5" s="4">
        <v>1.74013973573869E-2</v>
      </c>
      <c r="U5" s="4">
        <v>2.7695296291243E-2</v>
      </c>
      <c r="V5" s="4">
        <v>5.6548033634239402E-2</v>
      </c>
      <c r="W5" s="4">
        <v>8.7670204411131006E-2</v>
      </c>
    </row>
    <row r="6" spans="1:23" ht="18.75">
      <c r="A6" s="6" t="s">
        <v>1462</v>
      </c>
      <c r="B6" s="7">
        <v>132</v>
      </c>
      <c r="C6" s="7">
        <v>157</v>
      </c>
      <c r="D6" s="7">
        <v>186</v>
      </c>
      <c r="E6" s="7">
        <v>11585</v>
      </c>
      <c r="F6" s="7">
        <v>11306</v>
      </c>
      <c r="G6" s="7">
        <v>11515</v>
      </c>
      <c r="J6" s="4">
        <v>0.93899999999999995</v>
      </c>
      <c r="K6" s="4">
        <v>1</v>
      </c>
      <c r="L6" s="4">
        <v>-7.4104015090272158E-3</v>
      </c>
      <c r="M6" s="4">
        <v>-7.5451360819186125E-3</v>
      </c>
      <c r="N6" s="4">
        <v>-6.3325249258959788E-3</v>
      </c>
      <c r="O6" s="4">
        <v>-6.0630557801131767E-3</v>
      </c>
      <c r="P6" s="4">
        <v>8.3349501482080299</v>
      </c>
      <c r="Q6" s="4">
        <v>13.08434384263002</v>
      </c>
      <c r="R6" s="4">
        <v>20.455672325518726</v>
      </c>
      <c r="S6" s="4">
        <v>22.488817030450011</v>
      </c>
      <c r="T6" s="4">
        <v>5.6173423674108401E-2</v>
      </c>
      <c r="U6" s="4">
        <v>0.106741724969974</v>
      </c>
      <c r="V6" s="4">
        <v>0.24702165349751401</v>
      </c>
      <c r="W6" s="4">
        <v>0.31294713672121</v>
      </c>
    </row>
    <row r="7" spans="1:23" ht="18.75">
      <c r="A7" s="6" t="s">
        <v>1463</v>
      </c>
      <c r="B7" s="7">
        <v>249</v>
      </c>
      <c r="C7" s="7">
        <v>250</v>
      </c>
      <c r="D7" s="7">
        <v>257</v>
      </c>
      <c r="E7" s="7">
        <v>2278</v>
      </c>
      <c r="F7" s="7">
        <v>2189</v>
      </c>
      <c r="G7" s="7">
        <v>2216</v>
      </c>
      <c r="J7" s="4">
        <v>0.93899999999999995</v>
      </c>
      <c r="K7" s="4">
        <v>2</v>
      </c>
      <c r="L7" s="4">
        <v>-1.6557734204793027E-2</v>
      </c>
      <c r="M7" s="4">
        <v>-1.8300653594771243E-2</v>
      </c>
      <c r="N7" s="4">
        <v>-1.8736383442265792E-2</v>
      </c>
      <c r="O7" s="4">
        <v>-1.7138707334785761E-2</v>
      </c>
      <c r="P7" s="4">
        <v>9.1975308641975317</v>
      </c>
      <c r="Q7" s="4">
        <v>14.713870733478577</v>
      </c>
      <c r="R7" s="4">
        <v>23.076978939724039</v>
      </c>
      <c r="S7" s="4">
        <v>23.865649963689179</v>
      </c>
      <c r="T7" s="4">
        <v>6.4018237863639402E-2</v>
      </c>
      <c r="U7" s="4">
        <v>0.12932810197297601</v>
      </c>
      <c r="V7" s="4">
        <v>0.335932375801067</v>
      </c>
      <c r="W7" s="4">
        <v>0.37029437641258001</v>
      </c>
    </row>
    <row r="8" spans="1:23" ht="18.75">
      <c r="A8" s="6" t="s">
        <v>140</v>
      </c>
      <c r="B8" s="7">
        <v>40.5</v>
      </c>
      <c r="C8" s="7">
        <v>46.4</v>
      </c>
      <c r="D8" s="7">
        <v>37.700000000000003</v>
      </c>
      <c r="E8" s="7">
        <v>1013</v>
      </c>
      <c r="F8" s="7">
        <v>925</v>
      </c>
      <c r="G8" s="7">
        <v>974</v>
      </c>
      <c r="J8" s="4">
        <v>0.93899999999999995</v>
      </c>
      <c r="K8" s="4">
        <v>3</v>
      </c>
      <c r="L8" s="4">
        <v>-1.4156450671336829E-2</v>
      </c>
      <c r="M8" s="4">
        <v>-1.5032107413893749E-2</v>
      </c>
      <c r="N8" s="4">
        <v>-1.5761821366024512E-2</v>
      </c>
      <c r="O8" s="4">
        <v>-1.4594279042615293E-2</v>
      </c>
      <c r="P8" s="4">
        <v>9.2734967892586102</v>
      </c>
      <c r="Q8" s="4">
        <v>14.78721541155867</v>
      </c>
      <c r="R8" s="4">
        <v>21.814360770577935</v>
      </c>
      <c r="S8" s="4">
        <v>24.577057793345009</v>
      </c>
      <c r="T8" s="4">
        <v>6.4733514785863894E-2</v>
      </c>
      <c r="U8" s="4">
        <v>0.13042690041243701</v>
      </c>
      <c r="V8" s="4">
        <v>0.28896061079637603</v>
      </c>
      <c r="W8" s="4">
        <v>0.40541462203867401</v>
      </c>
    </row>
    <row r="9" spans="1:23" ht="18.75">
      <c r="A9" s="6" t="s">
        <v>141</v>
      </c>
      <c r="B9" s="7">
        <v>365</v>
      </c>
      <c r="C9" s="7">
        <v>337</v>
      </c>
      <c r="D9" s="7">
        <v>335</v>
      </c>
      <c r="E9" s="7">
        <v>23630</v>
      </c>
      <c r="F9" s="7">
        <v>23415</v>
      </c>
      <c r="G9" s="7">
        <v>19743</v>
      </c>
      <c r="J9" s="4">
        <v>2.48</v>
      </c>
      <c r="K9" s="4">
        <v>1</v>
      </c>
      <c r="L9" s="4">
        <v>-5.2546483427647513E-3</v>
      </c>
      <c r="M9" s="4">
        <v>-6.0630557801131767E-3</v>
      </c>
      <c r="N9" s="4">
        <v>-7.1409323632444042E-3</v>
      </c>
      <c r="O9" s="4">
        <v>-7.8146052277014242E-3</v>
      </c>
      <c r="P9" s="4">
        <v>15.24952842899488</v>
      </c>
      <c r="Q9" s="4">
        <v>22.488817030450011</v>
      </c>
      <c r="R9" s="4">
        <v>28.892751279978441</v>
      </c>
      <c r="S9" s="4">
        <v>30.711668014012396</v>
      </c>
      <c r="T9" s="4">
        <v>0.13753304179169601</v>
      </c>
      <c r="U9" s="4">
        <v>0.31294713672121</v>
      </c>
      <c r="V9" s="4">
        <v>0.77241494967062796</v>
      </c>
      <c r="W9" s="4">
        <v>1.1117617809643801</v>
      </c>
    </row>
    <row r="10" spans="1:23" ht="18.75">
      <c r="A10" s="6" t="s">
        <v>1464</v>
      </c>
      <c r="B10" s="7">
        <v>71.099999999999994</v>
      </c>
      <c r="C10" s="7">
        <v>59.8</v>
      </c>
      <c r="D10" s="7">
        <v>69.599999999999994</v>
      </c>
      <c r="E10" s="7">
        <v>2836</v>
      </c>
      <c r="F10" s="7">
        <v>3253</v>
      </c>
      <c r="G10" s="7">
        <v>3024</v>
      </c>
      <c r="J10" s="4">
        <v>2.48</v>
      </c>
      <c r="K10" s="4">
        <v>2</v>
      </c>
      <c r="L10" s="4">
        <v>-1.6557734204793027E-2</v>
      </c>
      <c r="M10" s="4">
        <v>-1.597676107480029E-2</v>
      </c>
      <c r="N10" s="4">
        <v>-1.6993464052287587E-2</v>
      </c>
      <c r="O10" s="4">
        <v>-1.554103122730574E-2</v>
      </c>
      <c r="P10" s="4">
        <v>16.230210602759623</v>
      </c>
      <c r="Q10" s="4">
        <v>24.909949164851124</v>
      </c>
      <c r="R10" s="4">
        <v>31.906318082788673</v>
      </c>
      <c r="S10" s="4">
        <v>33.607116920842408</v>
      </c>
      <c r="T10" s="4">
        <v>0.15371561004905701</v>
      </c>
      <c r="U10" s="4">
        <v>0.42341727823665698</v>
      </c>
      <c r="V10" s="4">
        <v>1.5049561980084201</v>
      </c>
      <c r="W10" s="4">
        <v>2.7873904433931398</v>
      </c>
    </row>
    <row r="11" spans="1:23" ht="18.75">
      <c r="A11" s="6" t="s">
        <v>1465</v>
      </c>
      <c r="B11" s="7">
        <v>94.531360000000006</v>
      </c>
      <c r="C11" s="7">
        <v>99.591700000000003</v>
      </c>
      <c r="D11" s="7">
        <v>79.458020000000005</v>
      </c>
      <c r="E11" s="7">
        <v>6527.95</v>
      </c>
      <c r="F11" s="7">
        <v>5851.56</v>
      </c>
      <c r="G11" s="7">
        <v>6315.5950000000003</v>
      </c>
      <c r="J11" s="4">
        <v>2.48</v>
      </c>
      <c r="K11" s="4">
        <v>3</v>
      </c>
      <c r="L11" s="4">
        <v>-1.4594279042615293E-2</v>
      </c>
      <c r="M11" s="4">
        <v>-1.5323992994746058E-2</v>
      </c>
      <c r="N11" s="4">
        <v>-1.7075306479859886E-2</v>
      </c>
      <c r="O11" s="4">
        <v>-1.5761821366024512E-2</v>
      </c>
      <c r="P11" s="4">
        <v>16.410099241097491</v>
      </c>
      <c r="Q11" s="4">
        <v>25.032399299474605</v>
      </c>
      <c r="R11" s="4">
        <v>31.770577933450088</v>
      </c>
      <c r="S11" s="4">
        <v>32.95563339171045</v>
      </c>
      <c r="T11" s="4">
        <v>0.15686122832532001</v>
      </c>
      <c r="U11" s="4">
        <v>0.430318081560287</v>
      </c>
      <c r="V11" s="4">
        <v>1.4486834048180901</v>
      </c>
      <c r="W11" s="4">
        <v>2.1180702368476698</v>
      </c>
    </row>
    <row r="12" spans="1:23" ht="18.75">
      <c r="A12" s="6" t="s">
        <v>142</v>
      </c>
      <c r="B12" s="7">
        <v>103.68300000000001</v>
      </c>
      <c r="C12" s="7">
        <v>109.82</v>
      </c>
      <c r="D12" s="7">
        <v>85.056690000000003</v>
      </c>
      <c r="E12" s="7">
        <v>4892.03</v>
      </c>
      <c r="F12" s="7">
        <v>6197.62</v>
      </c>
      <c r="G12" s="7">
        <v>5851.56</v>
      </c>
    </row>
    <row r="13" spans="1:23" ht="18.75">
      <c r="A13" s="6" t="s">
        <v>1466</v>
      </c>
      <c r="B13" s="7">
        <v>811.37630000000001</v>
      </c>
      <c r="C13" s="7">
        <v>864.99429999999995</v>
      </c>
      <c r="D13" s="7">
        <v>719.32119999999998</v>
      </c>
      <c r="E13" s="7">
        <v>3240.38</v>
      </c>
      <c r="F13" s="7">
        <v>3350.49</v>
      </c>
      <c r="G13" s="7">
        <v>3201.0549999999998</v>
      </c>
    </row>
    <row r="14" spans="1:23" ht="18.75">
      <c r="A14" s="6" t="s">
        <v>143</v>
      </c>
      <c r="B14" s="7">
        <v>596</v>
      </c>
      <c r="C14" s="7"/>
      <c r="D14" s="7">
        <v>671</v>
      </c>
      <c r="E14" s="7">
        <v>10934</v>
      </c>
      <c r="F14" s="7">
        <v>10009</v>
      </c>
      <c r="G14" s="7">
        <v>8388</v>
      </c>
    </row>
    <row r="15" spans="1:23" ht="18.75">
      <c r="A15" s="6" t="s">
        <v>144</v>
      </c>
      <c r="B15" s="7">
        <v>73.3</v>
      </c>
      <c r="C15" s="7">
        <v>93.6</v>
      </c>
      <c r="D15" s="7">
        <v>86.4</v>
      </c>
      <c r="E15" s="7">
        <v>6840</v>
      </c>
      <c r="F15" s="7">
        <v>6167</v>
      </c>
      <c r="G15" s="7">
        <v>5715</v>
      </c>
    </row>
    <row r="16" spans="1:23" ht="18.75">
      <c r="A16" s="6" t="s">
        <v>145</v>
      </c>
      <c r="B16" s="7">
        <v>151</v>
      </c>
      <c r="C16" s="7">
        <v>170</v>
      </c>
      <c r="D16" s="7">
        <v>229</v>
      </c>
      <c r="E16" s="7">
        <v>1134</v>
      </c>
      <c r="F16" s="7">
        <v>1187</v>
      </c>
      <c r="G16" s="7">
        <v>1312</v>
      </c>
    </row>
    <row r="17" spans="1:34" ht="18.75">
      <c r="A17" s="6" t="s">
        <v>146</v>
      </c>
      <c r="B17" s="7">
        <v>106</v>
      </c>
      <c r="C17" s="7">
        <v>113</v>
      </c>
      <c r="D17" s="7">
        <v>102</v>
      </c>
      <c r="E17" s="7">
        <v>9080</v>
      </c>
      <c r="F17" s="7">
        <v>8388</v>
      </c>
      <c r="G17" s="7">
        <v>8440</v>
      </c>
    </row>
    <row r="18" spans="1:34" ht="18.75">
      <c r="A18" s="6" t="s">
        <v>147</v>
      </c>
      <c r="B18" s="7">
        <v>114</v>
      </c>
      <c r="C18" s="7">
        <v>107</v>
      </c>
      <c r="D18" s="7">
        <v>102</v>
      </c>
      <c r="E18" s="7">
        <v>8312</v>
      </c>
      <c r="F18" s="7">
        <v>7269</v>
      </c>
      <c r="G18" s="8">
        <v>8014</v>
      </c>
    </row>
    <row r="19" spans="1:34">
      <c r="A19" s="6"/>
      <c r="B19" s="7"/>
      <c r="C19" s="7"/>
      <c r="D19" s="7"/>
      <c r="E19" s="7"/>
      <c r="F19" s="7"/>
      <c r="G19" s="8"/>
    </row>
    <row r="20" spans="1:34">
      <c r="A20" s="6"/>
      <c r="B20" s="7"/>
      <c r="C20" s="7"/>
      <c r="D20" s="7"/>
      <c r="E20" s="7"/>
      <c r="F20" s="7"/>
      <c r="G20" s="8"/>
    </row>
    <row r="21" spans="1:34" ht="15">
      <c r="A21" s="170" t="s">
        <v>2114</v>
      </c>
      <c r="B21" s="230" t="s">
        <v>0</v>
      </c>
      <c r="C21" s="230"/>
      <c r="D21" s="230"/>
      <c r="E21" s="230" t="s">
        <v>1</v>
      </c>
      <c r="F21" s="230"/>
      <c r="G21" s="230"/>
      <c r="I21" s="170" t="s">
        <v>2115</v>
      </c>
      <c r="J21" s="230" t="s">
        <v>0</v>
      </c>
      <c r="K21" s="230"/>
      <c r="L21" s="230"/>
      <c r="M21" s="230" t="s">
        <v>1</v>
      </c>
      <c r="N21" s="230"/>
      <c r="O21" s="230"/>
      <c r="Q21" s="170" t="s">
        <v>2116</v>
      </c>
      <c r="R21" s="230" t="s">
        <v>0</v>
      </c>
      <c r="S21" s="230"/>
      <c r="T21" s="230"/>
      <c r="U21" s="230" t="s">
        <v>1</v>
      </c>
      <c r="V21" s="230"/>
      <c r="W21" s="230"/>
      <c r="Y21" s="121" t="s">
        <v>2023</v>
      </c>
      <c r="Z21" s="121"/>
      <c r="AA21" s="121"/>
      <c r="AB21" s="9" t="s">
        <v>93</v>
      </c>
      <c r="AC21" s="9"/>
      <c r="AD21" s="9"/>
      <c r="AE21" s="9"/>
      <c r="AF21" s="9"/>
      <c r="AG21" s="9"/>
    </row>
    <row r="22" spans="1:34">
      <c r="A22" s="6">
        <v>0</v>
      </c>
      <c r="B22" s="7">
        <v>0.331424</v>
      </c>
      <c r="C22" s="7">
        <v>0.36462699999999998</v>
      </c>
      <c r="D22" s="7">
        <v>0.36019699999999999</v>
      </c>
      <c r="E22" s="7">
        <v>14.090170000000001</v>
      </c>
      <c r="F22" s="7">
        <v>14.97608</v>
      </c>
      <c r="G22" s="7">
        <v>14.614050000000001</v>
      </c>
      <c r="I22" s="7">
        <v>8</v>
      </c>
      <c r="J22" s="7">
        <v>1.6870000000000001</v>
      </c>
      <c r="K22" s="7">
        <v>1.669</v>
      </c>
      <c r="L22" s="7">
        <v>1.976</v>
      </c>
      <c r="M22" s="7">
        <v>11.179</v>
      </c>
      <c r="N22" s="7">
        <v>10.420999999999999</v>
      </c>
      <c r="O22" s="7">
        <v>13.75</v>
      </c>
      <c r="Q22" s="6">
        <v>39</v>
      </c>
      <c r="R22" s="7">
        <v>0.193</v>
      </c>
      <c r="S22" s="7">
        <v>0.18</v>
      </c>
      <c r="T22" s="7">
        <v>0.193</v>
      </c>
      <c r="U22" s="7">
        <v>6.4020000000000001</v>
      </c>
      <c r="V22" s="7">
        <v>5.6849999999999996</v>
      </c>
      <c r="W22" s="7">
        <v>5.7549999999999999</v>
      </c>
      <c r="Y22" s="4" t="s">
        <v>90</v>
      </c>
      <c r="Z22" s="4" t="s">
        <v>91</v>
      </c>
      <c r="AA22" s="4" t="s">
        <v>92</v>
      </c>
      <c r="AB22" s="168" t="s">
        <v>94</v>
      </c>
      <c r="AC22" s="9"/>
      <c r="AD22" s="9"/>
      <c r="AE22" s="168" t="s">
        <v>95</v>
      </c>
      <c r="AF22" s="9"/>
      <c r="AG22" s="9"/>
    </row>
    <row r="23" spans="1:34">
      <c r="A23" s="6">
        <v>8</v>
      </c>
      <c r="B23" s="7">
        <v>0.21052399999999999</v>
      </c>
      <c r="C23" s="7">
        <v>0.21901599999999999</v>
      </c>
      <c r="D23" s="7">
        <v>0.24171100000000001</v>
      </c>
      <c r="E23" s="7">
        <v>14.17653</v>
      </c>
      <c r="F23" s="7">
        <v>13.54396</v>
      </c>
      <c r="G23" s="7">
        <v>13.2562</v>
      </c>
      <c r="I23" s="7">
        <v>16</v>
      </c>
      <c r="J23" s="7">
        <v>1.4059999999999999</v>
      </c>
      <c r="K23" s="7">
        <v>1.4219999999999999</v>
      </c>
      <c r="L23" s="7">
        <v>1.7749999999999999</v>
      </c>
      <c r="M23" s="7">
        <v>13.586</v>
      </c>
      <c r="N23" s="7">
        <v>12.249000000000001</v>
      </c>
      <c r="O23" s="7">
        <v>14.747</v>
      </c>
      <c r="Q23" s="6">
        <v>39</v>
      </c>
      <c r="R23" s="7">
        <v>7.4999999999999997E-2</v>
      </c>
      <c r="S23" s="7">
        <v>7.0000000000000007E-2</v>
      </c>
      <c r="T23" s="7">
        <v>7.1999999999999995E-2</v>
      </c>
      <c r="U23" s="7">
        <v>6.21</v>
      </c>
      <c r="V23" s="7">
        <v>6.0220000000000002</v>
      </c>
      <c r="W23" s="7">
        <v>6.7009999999999996</v>
      </c>
      <c r="Y23" s="4" t="s">
        <v>96</v>
      </c>
      <c r="Z23" s="4" t="s">
        <v>97</v>
      </c>
      <c r="AA23" s="4" t="s">
        <v>98</v>
      </c>
      <c r="AB23" s="7">
        <v>0.115047</v>
      </c>
      <c r="AC23" s="7">
        <v>0.114241</v>
      </c>
      <c r="AD23" s="7">
        <v>0.111844</v>
      </c>
      <c r="AE23" s="7">
        <v>13.53262</v>
      </c>
      <c r="AF23" s="7">
        <v>13.41643</v>
      </c>
      <c r="AG23" s="7">
        <v>13.078609999999999</v>
      </c>
      <c r="AH23" s="4">
        <f>AVERAGE(AE23:AG23)/AVERAGE(AB23:AD23)</f>
        <v>117.3377460924217</v>
      </c>
    </row>
    <row r="24" spans="1:34">
      <c r="A24" s="6">
        <v>16</v>
      </c>
      <c r="B24" s="7">
        <v>0.107363</v>
      </c>
      <c r="C24" s="7">
        <v>0.117064</v>
      </c>
      <c r="D24" s="7">
        <v>0.120619</v>
      </c>
      <c r="E24" s="7">
        <v>13.70973</v>
      </c>
      <c r="F24" s="7">
        <v>14.481909999999999</v>
      </c>
      <c r="G24" s="7">
        <v>14.30599</v>
      </c>
      <c r="I24" s="7">
        <v>26</v>
      </c>
      <c r="J24" s="7">
        <v>1.139</v>
      </c>
      <c r="K24" s="7">
        <v>1.0409999999999999</v>
      </c>
      <c r="L24" s="7">
        <v>1.0309999999999999</v>
      </c>
      <c r="M24" s="7">
        <v>16.16</v>
      </c>
      <c r="N24" s="7">
        <v>15.297000000000001</v>
      </c>
      <c r="O24" s="7">
        <v>14.614000000000001</v>
      </c>
      <c r="Q24" s="6">
        <v>73</v>
      </c>
      <c r="R24" s="7">
        <v>0.121</v>
      </c>
      <c r="S24" s="7">
        <v>0.123</v>
      </c>
      <c r="T24" s="7">
        <v>0.121</v>
      </c>
      <c r="U24" s="7">
        <v>7.274</v>
      </c>
      <c r="V24" s="7">
        <v>6.64</v>
      </c>
      <c r="W24" s="7">
        <v>6.8250000000000002</v>
      </c>
      <c r="Y24" s="78" t="s">
        <v>100</v>
      </c>
      <c r="Z24" s="78" t="s">
        <v>97</v>
      </c>
      <c r="AA24" s="78" t="s">
        <v>121</v>
      </c>
      <c r="AB24" s="77">
        <v>-7.7999999999999996E-3</v>
      </c>
      <c r="AC24" s="77">
        <v>-2E-3</v>
      </c>
      <c r="AD24" s="77">
        <v>1.8E-3</v>
      </c>
      <c r="AE24" s="77">
        <v>4.0195999999999996</v>
      </c>
      <c r="AF24" s="77">
        <v>3.9397000000000002</v>
      </c>
      <c r="AG24" s="77">
        <v>3.7774000000000001</v>
      </c>
      <c r="AH24" s="78">
        <f>AVERAGE(AE24:AG24)/0.01</f>
        <v>391.2233333333333</v>
      </c>
    </row>
    <row r="25" spans="1:34">
      <c r="A25" s="6">
        <v>24</v>
      </c>
      <c r="B25" s="7">
        <v>9.9427000000000001E-2</v>
      </c>
      <c r="C25" s="7">
        <v>9.8113000000000006E-2</v>
      </c>
      <c r="D25" s="7">
        <v>8.9812000000000003E-2</v>
      </c>
      <c r="E25" s="7">
        <v>13.46</v>
      </c>
      <c r="F25" s="7">
        <v>13.46</v>
      </c>
      <c r="G25" s="7">
        <v>13.46</v>
      </c>
      <c r="I25" s="7">
        <v>31</v>
      </c>
      <c r="J25" s="7">
        <v>0.48099999999999998</v>
      </c>
      <c r="K25" s="7">
        <v>0.435</v>
      </c>
      <c r="L25" s="7">
        <v>0.4</v>
      </c>
      <c r="M25" s="7">
        <v>13.962999999999999</v>
      </c>
      <c r="N25" s="7">
        <v>12.474</v>
      </c>
      <c r="O25" s="7">
        <v>12.36</v>
      </c>
      <c r="Q25" s="6">
        <v>82</v>
      </c>
      <c r="R25" s="7">
        <v>7.1999999999999995E-2</v>
      </c>
      <c r="S25" s="7">
        <v>6.7000000000000004E-2</v>
      </c>
      <c r="T25" s="7">
        <v>6.9000000000000006E-2</v>
      </c>
      <c r="U25" s="7">
        <v>7.8029999999999999</v>
      </c>
      <c r="V25" s="7">
        <v>7.923</v>
      </c>
      <c r="W25" s="7">
        <v>8.4719999999999995</v>
      </c>
      <c r="Y25" s="78" t="s">
        <v>99</v>
      </c>
      <c r="Z25" s="78" t="s">
        <v>110</v>
      </c>
      <c r="AA25" s="78" t="s">
        <v>122</v>
      </c>
      <c r="AB25" s="77">
        <v>-2.5000000000000001E-3</v>
      </c>
      <c r="AC25" s="77">
        <v>-1.4E-3</v>
      </c>
      <c r="AD25" s="77">
        <v>1.8E-3</v>
      </c>
      <c r="AE25" s="77">
        <v>4.4238999999999997</v>
      </c>
      <c r="AF25" s="77">
        <v>4.3228</v>
      </c>
      <c r="AG25" s="77">
        <v>4.4785000000000004</v>
      </c>
      <c r="AH25" s="78">
        <f>AVERAGE(AE25:AG25)/0.01</f>
        <v>440.84000000000003</v>
      </c>
    </row>
    <row r="26" spans="1:34">
      <c r="A26" s="6">
        <v>34</v>
      </c>
      <c r="B26" s="7">
        <v>0.111331</v>
      </c>
      <c r="C26" s="7">
        <v>0.113937</v>
      </c>
      <c r="D26" s="7">
        <v>0.11278299999999999</v>
      </c>
      <c r="E26" s="7">
        <v>16.405419999999999</v>
      </c>
      <c r="F26" s="7">
        <v>15.24912</v>
      </c>
      <c r="G26" s="7">
        <v>15.11157</v>
      </c>
      <c r="I26" s="7">
        <v>36</v>
      </c>
      <c r="J26" s="7">
        <v>0.377</v>
      </c>
      <c r="K26" s="7">
        <v>0.34699999999999998</v>
      </c>
      <c r="L26" s="7">
        <v>0.32900000000000001</v>
      </c>
      <c r="M26" s="7">
        <v>13.750999999999999</v>
      </c>
      <c r="N26" s="7">
        <v>13.707000000000001</v>
      </c>
      <c r="O26" s="7">
        <v>12.782</v>
      </c>
      <c r="Q26" s="6">
        <v>84</v>
      </c>
      <c r="R26" s="7">
        <v>0.11799999999999999</v>
      </c>
      <c r="S26" s="7">
        <v>0.12</v>
      </c>
      <c r="T26" s="7">
        <v>0.122</v>
      </c>
      <c r="U26" s="7">
        <v>9.5410000000000004</v>
      </c>
      <c r="V26" s="7">
        <v>9.0310000000000006</v>
      </c>
      <c r="W26" s="7">
        <v>8.218</v>
      </c>
      <c r="Y26" s="78" t="s">
        <v>101</v>
      </c>
      <c r="Z26" s="78" t="s">
        <v>111</v>
      </c>
      <c r="AA26" s="78" t="s">
        <v>123</v>
      </c>
      <c r="AB26" s="77">
        <v>8.5000000000000006E-3</v>
      </c>
      <c r="AC26" s="77">
        <v>1.41E-2</v>
      </c>
      <c r="AD26" s="77">
        <v>1.5900000000000001E-2</v>
      </c>
      <c r="AE26" s="77">
        <v>3.6953</v>
      </c>
      <c r="AF26" s="77">
        <v>3.8195999999999999</v>
      </c>
      <c r="AG26" s="77">
        <v>3.7886000000000002</v>
      </c>
      <c r="AH26" s="78">
        <f t="shared" ref="AH26:AH45" si="0">AVERAGE(AE26:AG26)/AVERAGE(AB26:AD26)</f>
        <v>293.59740259740255</v>
      </c>
    </row>
    <row r="27" spans="1:34">
      <c r="A27" s="6">
        <v>44</v>
      </c>
      <c r="B27" s="7">
        <v>0.10197000000000001</v>
      </c>
      <c r="C27" s="7">
        <v>9.8232E-2</v>
      </c>
      <c r="D27" s="7">
        <v>9.9287E-2</v>
      </c>
      <c r="E27" s="7">
        <v>14.523160000000001</v>
      </c>
      <c r="F27" s="7">
        <v>14.04508</v>
      </c>
      <c r="G27" s="7">
        <v>13.62387</v>
      </c>
      <c r="I27" s="7">
        <v>41</v>
      </c>
      <c r="J27" s="7">
        <v>0.186</v>
      </c>
      <c r="K27" s="7">
        <v>0.17199999999999999</v>
      </c>
      <c r="L27" s="7">
        <v>0.185</v>
      </c>
      <c r="M27" s="7">
        <v>13.586</v>
      </c>
      <c r="N27" s="7">
        <v>10.294</v>
      </c>
      <c r="O27" s="7">
        <v>12.1</v>
      </c>
      <c r="Q27" s="6">
        <v>90</v>
      </c>
      <c r="R27" s="7">
        <v>8.5000000000000006E-2</v>
      </c>
      <c r="S27" s="7">
        <v>9.1999999999999998E-2</v>
      </c>
      <c r="T27" s="7">
        <v>9.0999999999999998E-2</v>
      </c>
      <c r="U27" s="7">
        <v>12.473000000000001</v>
      </c>
      <c r="V27" s="7">
        <v>12.135999999999999</v>
      </c>
      <c r="W27" s="7">
        <v>12.285</v>
      </c>
      <c r="Y27" s="4" t="s">
        <v>102</v>
      </c>
      <c r="Z27" s="4" t="s">
        <v>112</v>
      </c>
      <c r="AA27" s="4" t="s">
        <v>124</v>
      </c>
      <c r="AB27" s="77">
        <v>2.3E-3</v>
      </c>
      <c r="AC27" s="77">
        <v>5.8999999999999999E-3</v>
      </c>
      <c r="AD27" s="77">
        <v>1.14E-2</v>
      </c>
      <c r="AE27" s="77">
        <v>6.4660000000000002</v>
      </c>
      <c r="AF27" s="77">
        <v>6.6596000000000002</v>
      </c>
      <c r="AG27" s="77">
        <v>6.5236000000000001</v>
      </c>
      <c r="AH27" s="78">
        <f t="shared" si="0"/>
        <v>1002.5102040816327</v>
      </c>
    </row>
    <row r="28" spans="1:34">
      <c r="A28" s="6">
        <v>54</v>
      </c>
      <c r="B28" s="7">
        <v>0.10932500000000001</v>
      </c>
      <c r="C28" s="7">
        <v>9.3304999999999999E-2</v>
      </c>
      <c r="D28" s="7">
        <v>9.7037999999999999E-2</v>
      </c>
      <c r="E28" s="7">
        <v>15.770200000000001</v>
      </c>
      <c r="F28" s="7">
        <v>13.96194</v>
      </c>
      <c r="G28" s="7">
        <v>13.0937</v>
      </c>
      <c r="I28" s="7">
        <v>46</v>
      </c>
      <c r="J28" s="7">
        <v>0.182</v>
      </c>
      <c r="K28" s="7">
        <v>0.18</v>
      </c>
      <c r="L28" s="7">
        <v>0.16300000000000001</v>
      </c>
      <c r="M28" s="7">
        <v>12.666</v>
      </c>
      <c r="N28" s="7">
        <v>12.436</v>
      </c>
      <c r="O28" s="7">
        <v>11.558999999999999</v>
      </c>
      <c r="Q28" s="6">
        <v>90</v>
      </c>
      <c r="R28" s="7">
        <v>0.1</v>
      </c>
      <c r="S28" s="7">
        <v>0.108</v>
      </c>
      <c r="T28" s="7">
        <v>0.111</v>
      </c>
      <c r="U28" s="7">
        <v>12.025</v>
      </c>
      <c r="V28" s="7">
        <v>13.297000000000001</v>
      </c>
      <c r="W28" s="7">
        <v>11.628</v>
      </c>
      <c r="Y28" s="4" t="s">
        <v>103</v>
      </c>
      <c r="Z28" s="4" t="s">
        <v>113</v>
      </c>
      <c r="AA28" s="4" t="s">
        <v>125</v>
      </c>
      <c r="AB28" s="7">
        <v>2.5100000000000001E-2</v>
      </c>
      <c r="AC28" s="7">
        <v>2.4299999999999999E-2</v>
      </c>
      <c r="AD28" s="7">
        <v>3.3300000000000003E-2</v>
      </c>
      <c r="AE28" s="7">
        <v>4.7506000000000004</v>
      </c>
      <c r="AF28" s="7">
        <v>4.3364000000000003</v>
      </c>
      <c r="AG28" s="7">
        <v>4.3691000000000004</v>
      </c>
      <c r="AH28" s="4">
        <f t="shared" si="0"/>
        <v>162.70979443772671</v>
      </c>
    </row>
    <row r="29" spans="1:34">
      <c r="A29" s="6"/>
      <c r="B29" s="7"/>
      <c r="C29" s="7"/>
      <c r="D29" s="7"/>
      <c r="E29" s="7"/>
      <c r="F29" s="7"/>
      <c r="G29" s="8"/>
      <c r="I29" s="7">
        <v>51</v>
      </c>
      <c r="J29" s="7">
        <v>0.13</v>
      </c>
      <c r="K29" s="7">
        <v>0.17499999999999999</v>
      </c>
      <c r="L29" s="7">
        <v>0.122</v>
      </c>
      <c r="M29" s="7">
        <v>13.420999999999999</v>
      </c>
      <c r="N29" s="7">
        <v>11.523</v>
      </c>
      <c r="O29" s="7">
        <v>10.581</v>
      </c>
      <c r="Q29" s="6">
        <v>90</v>
      </c>
      <c r="R29" s="7">
        <v>9.0999999999999998E-2</v>
      </c>
      <c r="S29" s="7">
        <v>0.09</v>
      </c>
      <c r="T29" s="7">
        <v>8.8999999999999996E-2</v>
      </c>
      <c r="U29" s="7">
        <v>13.46</v>
      </c>
      <c r="V29" s="7">
        <v>13.46</v>
      </c>
      <c r="W29" s="7">
        <v>13.46</v>
      </c>
      <c r="Y29" s="4" t="s">
        <v>104</v>
      </c>
      <c r="Z29" s="4" t="s">
        <v>114</v>
      </c>
      <c r="AA29" s="4" t="s">
        <v>126</v>
      </c>
      <c r="AB29" s="7">
        <v>2.3300000000000001E-2</v>
      </c>
      <c r="AC29" s="7">
        <v>1.9E-2</v>
      </c>
      <c r="AD29" s="7">
        <v>2.5899999999999999E-2</v>
      </c>
      <c r="AE29" s="7">
        <v>4.7209000000000003</v>
      </c>
      <c r="AF29" s="7">
        <v>4.8917000000000002</v>
      </c>
      <c r="AG29" s="7">
        <v>5.0209999999999999</v>
      </c>
      <c r="AH29" s="4">
        <f t="shared" si="0"/>
        <v>214.5689149560117</v>
      </c>
    </row>
    <row r="30" spans="1:34">
      <c r="A30" s="6"/>
      <c r="B30" s="7"/>
      <c r="C30" s="7"/>
      <c r="D30" s="7"/>
      <c r="E30" s="7"/>
      <c r="F30" s="7"/>
      <c r="G30" s="8"/>
      <c r="I30" s="7">
        <v>61</v>
      </c>
      <c r="J30" s="7">
        <v>0.11</v>
      </c>
      <c r="K30" s="7">
        <v>8.4000000000000005E-2</v>
      </c>
      <c r="L30" s="7">
        <v>9.0999999999999998E-2</v>
      </c>
      <c r="M30" s="7">
        <v>13.46</v>
      </c>
      <c r="N30" s="7">
        <v>13.46</v>
      </c>
      <c r="O30" s="7">
        <v>13.46</v>
      </c>
      <c r="Q30" s="6">
        <v>91</v>
      </c>
      <c r="R30" s="7">
        <v>0.2</v>
      </c>
      <c r="S30" s="7">
        <v>0.19</v>
      </c>
      <c r="T30" s="7">
        <v>0.184</v>
      </c>
      <c r="U30" s="7">
        <v>7.7089999999999996</v>
      </c>
      <c r="V30" s="7">
        <v>7.1440000000000001</v>
      </c>
      <c r="W30" s="7">
        <v>6.8879999999999999</v>
      </c>
      <c r="Y30" s="4" t="s">
        <v>105</v>
      </c>
      <c r="Z30" s="4" t="s">
        <v>115</v>
      </c>
      <c r="AA30" s="4" t="s">
        <v>127</v>
      </c>
      <c r="AB30" s="7">
        <v>9.8199999999999996E-2</v>
      </c>
      <c r="AC30" s="7">
        <v>0.11020000000000001</v>
      </c>
      <c r="AD30" s="7">
        <v>0.1065</v>
      </c>
      <c r="AE30" s="7">
        <v>10.036099999999999</v>
      </c>
      <c r="AF30" s="7">
        <v>10.1432</v>
      </c>
      <c r="AG30" s="7">
        <v>9.8145000000000007</v>
      </c>
      <c r="AH30" s="4">
        <f t="shared" si="0"/>
        <v>95.248650365195303</v>
      </c>
    </row>
    <row r="31" spans="1:34">
      <c r="A31" s="6"/>
      <c r="B31" s="7"/>
      <c r="C31" s="7"/>
      <c r="D31" s="7"/>
      <c r="E31" s="7"/>
      <c r="F31" s="7"/>
      <c r="G31" s="8"/>
      <c r="I31" s="7">
        <v>71</v>
      </c>
      <c r="J31" s="7">
        <v>0.11700000000000001</v>
      </c>
      <c r="K31" s="7">
        <v>0.1</v>
      </c>
      <c r="L31" s="7">
        <v>9.4E-2</v>
      </c>
      <c r="M31" s="7">
        <v>12.548999999999999</v>
      </c>
      <c r="N31" s="7">
        <v>11.244</v>
      </c>
      <c r="O31" s="7">
        <v>12.061999999999999</v>
      </c>
      <c r="Q31" s="6">
        <v>101</v>
      </c>
      <c r="R31" s="7">
        <v>0.104</v>
      </c>
      <c r="S31" s="7">
        <v>0.10199999999999999</v>
      </c>
      <c r="T31" s="7">
        <v>0.105</v>
      </c>
      <c r="U31" s="7">
        <v>5.72</v>
      </c>
      <c r="V31" s="7">
        <v>5.032</v>
      </c>
      <c r="W31" s="7">
        <v>5.1879999999999997</v>
      </c>
      <c r="Y31" s="78" t="s">
        <v>106</v>
      </c>
      <c r="Z31" s="78" t="s">
        <v>116</v>
      </c>
      <c r="AA31" s="78" t="s">
        <v>128</v>
      </c>
      <c r="AB31" s="77">
        <v>2.47E-2</v>
      </c>
      <c r="AC31" s="77">
        <v>2.4500000000000001E-2</v>
      </c>
      <c r="AD31" s="77">
        <v>2.5499999999999998E-2</v>
      </c>
      <c r="AE31" s="77">
        <v>6.9204999999999997</v>
      </c>
      <c r="AF31" s="77">
        <v>6.8045999999999998</v>
      </c>
      <c r="AG31" s="77">
        <v>6.8316999999999997</v>
      </c>
      <c r="AH31" s="78">
        <f t="shared" si="0"/>
        <v>275.19143239625163</v>
      </c>
    </row>
    <row r="32" spans="1:34">
      <c r="A32" s="6"/>
      <c r="B32" s="7"/>
      <c r="C32" s="7"/>
      <c r="D32" s="7"/>
      <c r="E32" s="7"/>
      <c r="F32" s="7"/>
      <c r="G32" s="8"/>
      <c r="I32" s="7">
        <v>81</v>
      </c>
      <c r="J32" s="7">
        <v>0.17899999999999999</v>
      </c>
      <c r="K32" s="7">
        <v>0.156</v>
      </c>
      <c r="L32" s="7"/>
      <c r="M32" s="7">
        <v>10.909000000000001</v>
      </c>
      <c r="N32" s="7">
        <v>11.246</v>
      </c>
      <c r="O32" s="7"/>
      <c r="Q32" s="6">
        <v>102</v>
      </c>
      <c r="R32" s="7">
        <v>0.23200000000000001</v>
      </c>
      <c r="S32" s="7">
        <v>0.218</v>
      </c>
      <c r="T32" s="7">
        <v>0.224</v>
      </c>
      <c r="U32" s="7">
        <v>6.9290000000000003</v>
      </c>
      <c r="V32" s="7">
        <v>6.7830000000000004</v>
      </c>
      <c r="W32" s="7">
        <v>5.7370000000000001</v>
      </c>
      <c r="Y32" s="4" t="s">
        <v>107</v>
      </c>
      <c r="Z32" s="4" t="s">
        <v>117</v>
      </c>
      <c r="AA32" s="4" t="s">
        <v>129</v>
      </c>
      <c r="AB32" s="7">
        <v>8.4500000000000006E-2</v>
      </c>
      <c r="AC32" s="7">
        <v>8.14E-2</v>
      </c>
      <c r="AD32" s="7">
        <v>8.5300000000000001E-2</v>
      </c>
      <c r="AE32" s="7">
        <v>7.9461000000000004</v>
      </c>
      <c r="AF32" s="7">
        <v>7.7656000000000001</v>
      </c>
      <c r="AG32" s="7">
        <v>7.9166999999999996</v>
      </c>
      <c r="AH32" s="4">
        <f t="shared" si="0"/>
        <v>94.062101910828034</v>
      </c>
    </row>
    <row r="33" spans="1:34">
      <c r="A33" s="6"/>
      <c r="B33" s="7"/>
      <c r="C33" s="7"/>
      <c r="D33" s="7"/>
      <c r="E33" s="7"/>
      <c r="F33" s="7"/>
      <c r="G33" s="8"/>
      <c r="I33" s="7">
        <v>91</v>
      </c>
      <c r="J33" s="7">
        <v>0.13900000000000001</v>
      </c>
      <c r="K33" s="7">
        <v>0.122</v>
      </c>
      <c r="L33" s="7">
        <v>0.159</v>
      </c>
      <c r="M33" s="7">
        <v>11.952999999999999</v>
      </c>
      <c r="N33" s="7">
        <v>11.178000000000001</v>
      </c>
      <c r="O33" s="7">
        <v>14.657999999999999</v>
      </c>
      <c r="Y33" s="4" t="s">
        <v>108</v>
      </c>
      <c r="Z33" s="4" t="s">
        <v>118</v>
      </c>
      <c r="AA33" s="4" t="s">
        <v>130</v>
      </c>
      <c r="AB33" s="7">
        <v>0.80359999999999998</v>
      </c>
      <c r="AC33" s="7">
        <v>0.73250000000000004</v>
      </c>
      <c r="AD33" s="7">
        <v>0.72540000000000004</v>
      </c>
      <c r="AE33" s="7">
        <v>8.9032</v>
      </c>
      <c r="AF33" s="7">
        <v>8.7266999999999992</v>
      </c>
      <c r="AG33" s="7">
        <v>8.6803000000000008</v>
      </c>
      <c r="AH33" s="4">
        <f t="shared" si="0"/>
        <v>11.63395976122043</v>
      </c>
    </row>
    <row r="34" spans="1:34">
      <c r="A34" s="6"/>
      <c r="B34" s="7"/>
      <c r="C34" s="7"/>
      <c r="D34" s="7"/>
      <c r="E34" s="7"/>
      <c r="F34" s="7"/>
      <c r="G34" s="8"/>
      <c r="I34" s="7">
        <v>101</v>
      </c>
      <c r="J34" s="7">
        <v>0.108</v>
      </c>
      <c r="K34" s="7">
        <v>0.11</v>
      </c>
      <c r="L34" s="7">
        <v>0.14499999999999999</v>
      </c>
      <c r="M34" s="7">
        <v>15.112</v>
      </c>
      <c r="N34" s="7">
        <v>14.57</v>
      </c>
      <c r="O34" s="7">
        <v>16.254999999999999</v>
      </c>
      <c r="Y34" s="4" t="s">
        <v>109</v>
      </c>
      <c r="Z34" s="4" t="s">
        <v>119</v>
      </c>
      <c r="AA34" s="4" t="s">
        <v>131</v>
      </c>
      <c r="AB34" s="7">
        <v>0.4153</v>
      </c>
      <c r="AC34" s="7">
        <v>6.9599999999999995E-2</v>
      </c>
      <c r="AD34" s="7">
        <v>7.3499999999999996E-2</v>
      </c>
      <c r="AE34" s="7">
        <v>9.5244</v>
      </c>
      <c r="AF34" s="7">
        <v>5.5014000000000003</v>
      </c>
      <c r="AG34" s="7">
        <v>5.1303999999999998</v>
      </c>
      <c r="AH34" s="4">
        <f t="shared" si="0"/>
        <v>36.096346704871053</v>
      </c>
    </row>
    <row r="35" spans="1:34">
      <c r="A35" s="6"/>
      <c r="B35" s="7"/>
      <c r="C35" s="7"/>
      <c r="D35" s="7"/>
      <c r="E35" s="7"/>
      <c r="F35" s="7"/>
      <c r="G35" s="8"/>
      <c r="I35" s="7">
        <v>111</v>
      </c>
      <c r="J35" s="7">
        <v>0.104</v>
      </c>
      <c r="K35" s="7">
        <v>0.10100000000000001</v>
      </c>
      <c r="L35" s="7">
        <v>0.13100000000000001</v>
      </c>
      <c r="M35" s="7">
        <v>12.026999999999999</v>
      </c>
      <c r="N35" s="7">
        <v>10.678000000000001</v>
      </c>
      <c r="O35" s="7">
        <v>12.742000000000001</v>
      </c>
      <c r="Y35" s="4" t="s">
        <v>106</v>
      </c>
      <c r="Z35" s="4" t="s">
        <v>97</v>
      </c>
      <c r="AA35" s="4" t="s">
        <v>126</v>
      </c>
      <c r="AB35" s="7">
        <v>6.7900000000000002E-2</v>
      </c>
      <c r="AC35" s="7">
        <v>6.9199999999999998E-2</v>
      </c>
      <c r="AD35" s="7">
        <v>6.3299999999999995E-2</v>
      </c>
      <c r="AE35" s="7">
        <v>11.6099</v>
      </c>
      <c r="AF35" s="7">
        <v>11.513299999999999</v>
      </c>
      <c r="AG35" s="7">
        <v>12.039300000000001</v>
      </c>
      <c r="AH35" s="4">
        <f t="shared" si="0"/>
        <v>175.46157684630737</v>
      </c>
    </row>
    <row r="36" spans="1:34">
      <c r="A36" s="6"/>
      <c r="B36" s="7"/>
      <c r="C36" s="7"/>
      <c r="D36" s="7"/>
      <c r="E36" s="7"/>
      <c r="F36" s="7"/>
      <c r="G36" s="8"/>
      <c r="I36" s="7">
        <v>121</v>
      </c>
      <c r="J36" s="7">
        <v>8.2000000000000003E-2</v>
      </c>
      <c r="K36" s="7">
        <v>7.9000000000000001E-2</v>
      </c>
      <c r="L36" s="7">
        <v>9.5000000000000001E-2</v>
      </c>
      <c r="M36" s="7">
        <v>11.111000000000001</v>
      </c>
      <c r="N36" s="7">
        <v>10.582000000000001</v>
      </c>
      <c r="O36" s="7">
        <v>15.436</v>
      </c>
      <c r="Y36" s="4" t="s">
        <v>102</v>
      </c>
      <c r="Z36" s="4" t="s">
        <v>97</v>
      </c>
      <c r="AA36" s="4" t="s">
        <v>127</v>
      </c>
      <c r="AB36" s="7">
        <v>9.9900000000000003E-2</v>
      </c>
      <c r="AC36" s="7">
        <v>9.8699999999999996E-2</v>
      </c>
      <c r="AD36" s="7">
        <v>8.9200000000000002E-2</v>
      </c>
      <c r="AE36" s="7">
        <v>11.2956</v>
      </c>
      <c r="AF36" s="7">
        <v>11.513299999999999</v>
      </c>
      <c r="AG36" s="7">
        <v>10.488300000000001</v>
      </c>
      <c r="AH36" s="4">
        <f>AVERAGE(AE36:AG36)/AVERAGE(AB36:AD36)</f>
        <v>115.69562195969425</v>
      </c>
    </row>
    <row r="37" spans="1:34">
      <c r="A37" s="6"/>
      <c r="B37" s="7"/>
      <c r="C37" s="7"/>
      <c r="D37" s="7"/>
      <c r="E37" s="7"/>
      <c r="F37" s="7"/>
      <c r="G37" s="8"/>
      <c r="I37" s="7">
        <v>141</v>
      </c>
      <c r="J37" s="7">
        <v>8.1000000000000003E-2</v>
      </c>
      <c r="K37" s="7">
        <v>7.0999999999999994E-2</v>
      </c>
      <c r="L37" s="7">
        <v>8.5000000000000006E-2</v>
      </c>
      <c r="M37" s="7">
        <v>13.791</v>
      </c>
      <c r="N37" s="7">
        <v>11.523</v>
      </c>
      <c r="O37" s="7">
        <v>12.396000000000001</v>
      </c>
      <c r="Y37" s="4" t="s">
        <v>101</v>
      </c>
      <c r="Z37" s="4" t="s">
        <v>97</v>
      </c>
      <c r="AA37" s="4" t="s">
        <v>129</v>
      </c>
      <c r="AB37" s="7">
        <v>0.1103</v>
      </c>
      <c r="AC37" s="7">
        <v>0.1042</v>
      </c>
      <c r="AD37" s="7">
        <v>9.7299999999999998E-2</v>
      </c>
      <c r="AE37" s="7">
        <v>9.5139999999999993</v>
      </c>
      <c r="AF37" s="7">
        <v>8.0175999999999998</v>
      </c>
      <c r="AG37" s="7">
        <v>8.1062999999999992</v>
      </c>
      <c r="AH37" s="4">
        <f t="shared" si="0"/>
        <v>82.225465041693383</v>
      </c>
    </row>
    <row r="38" spans="1:34">
      <c r="A38" s="6"/>
      <c r="B38" s="7"/>
      <c r="C38" s="7"/>
      <c r="D38" s="7"/>
      <c r="E38" s="7"/>
      <c r="F38" s="7"/>
      <c r="G38" s="8"/>
      <c r="I38" s="7">
        <v>161</v>
      </c>
      <c r="J38" s="7">
        <v>8.2000000000000003E-2</v>
      </c>
      <c r="K38" s="7">
        <v>8.5000000000000006E-2</v>
      </c>
      <c r="L38" s="7">
        <v>8.2000000000000003E-2</v>
      </c>
      <c r="M38" s="7">
        <v>9.6850000000000005</v>
      </c>
      <c r="N38" s="7">
        <v>9.8940000000000001</v>
      </c>
      <c r="O38" s="7">
        <v>10.231</v>
      </c>
      <c r="Y38" s="78" t="s">
        <v>102</v>
      </c>
      <c r="Z38" s="78" t="s">
        <v>110</v>
      </c>
      <c r="AA38" s="78" t="s">
        <v>129</v>
      </c>
      <c r="AB38" s="77">
        <v>3.1399999999999997E-2</v>
      </c>
      <c r="AC38" s="77">
        <v>3.7100000000000001E-2</v>
      </c>
      <c r="AD38" s="77">
        <v>3.09E-2</v>
      </c>
      <c r="AE38" s="77">
        <v>9.0852000000000004</v>
      </c>
      <c r="AF38" s="77">
        <v>9.2048000000000005</v>
      </c>
      <c r="AG38" s="77">
        <v>8.8079999999999998</v>
      </c>
      <c r="AH38" s="78">
        <f t="shared" si="0"/>
        <v>272.61569416498992</v>
      </c>
    </row>
    <row r="39" spans="1:34">
      <c r="A39" s="6"/>
      <c r="B39" s="7"/>
      <c r="C39" s="7"/>
      <c r="D39" s="7"/>
      <c r="E39" s="7"/>
      <c r="F39" s="7"/>
      <c r="G39" s="8"/>
      <c r="I39" s="7">
        <v>181</v>
      </c>
      <c r="J39" s="7">
        <v>8.5000000000000006E-2</v>
      </c>
      <c r="K39" s="7">
        <v>8.1000000000000003E-2</v>
      </c>
      <c r="L39" s="7">
        <v>7.6999999999999999E-2</v>
      </c>
      <c r="M39" s="7">
        <v>8.4990000000000006</v>
      </c>
      <c r="N39" s="7">
        <v>7.5439999999999996</v>
      </c>
      <c r="O39" s="7">
        <v>7.9459999999999997</v>
      </c>
      <c r="Y39" s="78" t="s">
        <v>106</v>
      </c>
      <c r="Z39" s="78" t="s">
        <v>110</v>
      </c>
      <c r="AA39" s="78" t="s">
        <v>126</v>
      </c>
      <c r="AB39" s="77">
        <v>6.5500000000000003E-2</v>
      </c>
      <c r="AC39" s="77">
        <v>6.1899999999999997E-2</v>
      </c>
      <c r="AD39" s="77">
        <v>6.3299999999999995E-2</v>
      </c>
      <c r="AE39" s="77">
        <v>11.3995</v>
      </c>
      <c r="AF39" s="77">
        <v>10.963100000000001</v>
      </c>
      <c r="AG39" s="77">
        <v>11.153</v>
      </c>
      <c r="AH39" s="78">
        <f t="shared" si="0"/>
        <v>175.75039328788671</v>
      </c>
    </row>
    <row r="40" spans="1:34">
      <c r="A40" s="6"/>
      <c r="B40" s="7"/>
      <c r="C40" s="7"/>
      <c r="D40" s="7"/>
      <c r="E40" s="7"/>
      <c r="F40" s="7"/>
      <c r="G40" s="8"/>
      <c r="I40" s="7">
        <v>201</v>
      </c>
      <c r="J40" s="7">
        <v>0.08</v>
      </c>
      <c r="K40" s="7">
        <v>7.2999999999999995E-2</v>
      </c>
      <c r="L40" s="7">
        <v>7.5999999999999998E-2</v>
      </c>
      <c r="M40" s="7">
        <v>6.2850000000000001</v>
      </c>
      <c r="N40" s="7">
        <v>5.7889999999999997</v>
      </c>
      <c r="O40" s="7">
        <v>6.3239999999999998</v>
      </c>
      <c r="Y40" s="4" t="s">
        <v>105</v>
      </c>
      <c r="Z40" s="4" t="s">
        <v>120</v>
      </c>
      <c r="AA40" s="4" t="s">
        <v>125</v>
      </c>
      <c r="AB40" s="7">
        <v>7.7799999999999994E-2</v>
      </c>
      <c r="AC40" s="7">
        <v>7.4200000000000002E-2</v>
      </c>
      <c r="AD40" s="7">
        <v>7.1499999999999994E-2</v>
      </c>
      <c r="AE40" s="7">
        <v>11.364800000000001</v>
      </c>
      <c r="AF40" s="7">
        <v>10.8947</v>
      </c>
      <c r="AG40" s="7">
        <v>11.1187</v>
      </c>
      <c r="AH40" s="4">
        <f t="shared" si="0"/>
        <v>149.34317673378078</v>
      </c>
    </row>
    <row r="41" spans="1:34">
      <c r="A41" s="6"/>
      <c r="B41" s="7"/>
      <c r="C41" s="7"/>
      <c r="D41" s="7"/>
      <c r="E41" s="7"/>
      <c r="F41" s="7"/>
      <c r="G41" s="8"/>
      <c r="I41" s="7">
        <v>221</v>
      </c>
      <c r="J41" s="7">
        <v>0.08</v>
      </c>
      <c r="K41" s="7">
        <v>7.2999999999999995E-2</v>
      </c>
      <c r="L41" s="7">
        <v>7.8E-2</v>
      </c>
      <c r="M41" s="7">
        <v>6.5389999999999997</v>
      </c>
      <c r="N41" s="7">
        <v>5.718</v>
      </c>
      <c r="O41" s="7">
        <v>6.0209999999999999</v>
      </c>
      <c r="Y41" s="4" t="s">
        <v>99</v>
      </c>
      <c r="Z41" s="4" t="s">
        <v>110</v>
      </c>
      <c r="AA41" s="4" t="s">
        <v>132</v>
      </c>
      <c r="AB41" s="77">
        <v>1.8599999999999998E-2</v>
      </c>
      <c r="AC41" s="77">
        <v>1.7899999999999999E-2</v>
      </c>
      <c r="AD41" s="77">
        <v>1.1900000000000001E-2</v>
      </c>
      <c r="AE41" s="77">
        <v>7.7217000000000002</v>
      </c>
      <c r="AF41" s="77">
        <v>7.3331999999999997</v>
      </c>
      <c r="AG41" s="77">
        <v>7.46</v>
      </c>
      <c r="AH41" s="78">
        <f t="shared" si="0"/>
        <v>465.18388429752071</v>
      </c>
    </row>
    <row r="42" spans="1:34">
      <c r="A42" s="6"/>
      <c r="B42" s="7"/>
      <c r="C42" s="7"/>
      <c r="D42" s="7"/>
      <c r="E42" s="7"/>
      <c r="F42" s="7"/>
      <c r="G42" s="8"/>
      <c r="I42" s="7">
        <v>241</v>
      </c>
      <c r="J42" s="7">
        <v>0.10199999999999999</v>
      </c>
      <c r="K42" s="7">
        <v>6.9000000000000006E-2</v>
      </c>
      <c r="L42" s="7">
        <v>7.3999999999999996E-2</v>
      </c>
      <c r="M42" s="7">
        <v>4.2060000000000004</v>
      </c>
      <c r="N42" s="7">
        <v>4.1790000000000003</v>
      </c>
      <c r="O42" s="7">
        <v>5.125</v>
      </c>
      <c r="Y42" s="4" t="s">
        <v>107</v>
      </c>
      <c r="Z42" s="4" t="s">
        <v>111</v>
      </c>
      <c r="AA42" s="4" t="s">
        <v>127</v>
      </c>
      <c r="AB42" s="7">
        <v>0.10489999999999999</v>
      </c>
      <c r="AC42" s="7">
        <v>0.12609999999999999</v>
      </c>
      <c r="AD42" s="7">
        <v>0.1082</v>
      </c>
      <c r="AE42" s="7">
        <v>9.2556999999999992</v>
      </c>
      <c r="AF42" s="7">
        <v>10.6631</v>
      </c>
      <c r="AG42" s="7">
        <v>10.1111</v>
      </c>
      <c r="AH42" s="4">
        <f t="shared" si="0"/>
        <v>88.531544811320742</v>
      </c>
    </row>
    <row r="43" spans="1:34">
      <c r="A43" s="6"/>
      <c r="B43" s="7"/>
      <c r="C43" s="7"/>
      <c r="D43" s="7"/>
      <c r="E43" s="7"/>
      <c r="F43" s="7"/>
      <c r="G43" s="8"/>
      <c r="Y43" s="4" t="s">
        <v>102</v>
      </c>
      <c r="Z43" s="4" t="s">
        <v>114</v>
      </c>
      <c r="AA43" s="4" t="s">
        <v>123</v>
      </c>
      <c r="AB43" s="7">
        <v>5.91E-2</v>
      </c>
      <c r="AC43" s="7">
        <v>5.9499999999999997E-2</v>
      </c>
      <c r="AD43" s="7">
        <v>5.1700000000000003E-2</v>
      </c>
      <c r="AE43" s="7">
        <v>6.2835999999999999</v>
      </c>
      <c r="AF43" s="7">
        <v>6.2119</v>
      </c>
      <c r="AG43" s="7">
        <v>5.9063999999999997</v>
      </c>
      <c r="AH43" s="4">
        <f t="shared" si="0"/>
        <v>108.05578391074573</v>
      </c>
    </row>
    <row r="44" spans="1:34">
      <c r="Y44" s="4" t="s">
        <v>101</v>
      </c>
      <c r="Z44" s="4" t="s">
        <v>115</v>
      </c>
      <c r="AA44" s="4" t="s">
        <v>128</v>
      </c>
      <c r="AB44" s="7">
        <v>7.3200000000000001E-2</v>
      </c>
      <c r="AC44" s="7">
        <v>7.6899999999999996E-2</v>
      </c>
      <c r="AD44" s="7">
        <v>6.9400000000000003E-2</v>
      </c>
      <c r="AE44" s="7">
        <v>7.2397</v>
      </c>
      <c r="AF44" s="7">
        <v>7.6806999999999999</v>
      </c>
      <c r="AG44" s="7">
        <v>7.2568999999999999</v>
      </c>
      <c r="AH44" s="4">
        <f t="shared" si="0"/>
        <v>101.03553530751708</v>
      </c>
    </row>
    <row r="45" spans="1:34">
      <c r="B45" s="230"/>
      <c r="C45" s="230"/>
      <c r="D45" s="230"/>
      <c r="E45" s="230"/>
      <c r="F45" s="230"/>
      <c r="G45" s="230"/>
      <c r="J45" s="5"/>
      <c r="K45" s="5"/>
      <c r="L45" s="5"/>
      <c r="M45" s="5"/>
      <c r="N45" s="5"/>
      <c r="O45" s="5"/>
      <c r="R45" s="230"/>
      <c r="S45" s="230"/>
      <c r="T45" s="230"/>
      <c r="U45" s="230"/>
      <c r="V45" s="230"/>
      <c r="W45" s="230"/>
      <c r="Y45" s="4" t="s">
        <v>103</v>
      </c>
      <c r="Z45" s="4" t="s">
        <v>113</v>
      </c>
      <c r="AA45" s="4" t="s">
        <v>124</v>
      </c>
      <c r="AB45" s="7">
        <v>3.5700000000000003E-2</v>
      </c>
      <c r="AC45" s="7">
        <v>3.6600000000000001E-2</v>
      </c>
      <c r="AD45" s="7">
        <v>3.56E-2</v>
      </c>
      <c r="AE45" s="7">
        <v>5.6257999999999999</v>
      </c>
      <c r="AF45" s="7">
        <v>5.7355</v>
      </c>
      <c r="AG45" s="7">
        <v>5.5872000000000002</v>
      </c>
      <c r="AH45" s="4">
        <f t="shared" si="0"/>
        <v>157.07599629286375</v>
      </c>
    </row>
    <row r="46" spans="1:34">
      <c r="A46" s="6"/>
      <c r="B46" s="7"/>
      <c r="C46" s="7"/>
      <c r="D46" s="7"/>
      <c r="E46" s="7"/>
      <c r="F46" s="7"/>
      <c r="G46" s="7"/>
      <c r="I46" s="76"/>
      <c r="J46" s="77"/>
      <c r="K46" s="77"/>
      <c r="L46" s="77"/>
      <c r="M46" s="77"/>
      <c r="N46" s="77"/>
      <c r="O46" s="77"/>
      <c r="Q46" s="76"/>
      <c r="R46" s="77"/>
      <c r="S46" s="77"/>
      <c r="T46" s="77"/>
      <c r="U46" s="77"/>
      <c r="V46" s="77"/>
      <c r="W46" s="77"/>
      <c r="Y46" s="4" t="s">
        <v>2024</v>
      </c>
      <c r="AE46" s="2">
        <v>14.94464</v>
      </c>
      <c r="AF46" s="2">
        <v>17.666370000000001</v>
      </c>
      <c r="AG46" s="2">
        <v>17.14828</v>
      </c>
    </row>
    <row r="47" spans="1:34">
      <c r="A47" s="6"/>
      <c r="B47" s="7"/>
      <c r="C47" s="7"/>
      <c r="D47" s="7"/>
      <c r="E47" s="7"/>
      <c r="F47" s="7"/>
      <c r="G47" s="7"/>
      <c r="I47" s="76"/>
      <c r="J47" s="77"/>
      <c r="K47" s="77"/>
      <c r="L47" s="77"/>
      <c r="M47" s="77"/>
      <c r="N47" s="77"/>
      <c r="O47" s="77"/>
      <c r="Q47" s="76"/>
      <c r="R47" s="77"/>
      <c r="S47" s="77"/>
      <c r="T47" s="77"/>
      <c r="U47" s="77"/>
      <c r="V47" s="77"/>
      <c r="W47" s="77"/>
    </row>
    <row r="48" spans="1:34">
      <c r="A48" s="6"/>
      <c r="B48" s="7"/>
      <c r="C48" s="7"/>
      <c r="D48" s="7"/>
      <c r="E48" s="7"/>
      <c r="F48" s="7"/>
      <c r="G48" s="7"/>
      <c r="I48" s="76"/>
      <c r="J48" s="77"/>
      <c r="K48" s="77"/>
      <c r="L48" s="77"/>
      <c r="M48" s="77"/>
      <c r="N48" s="77"/>
      <c r="O48" s="77"/>
      <c r="Q48" s="76"/>
      <c r="R48" s="77"/>
      <c r="S48" s="77"/>
      <c r="T48" s="77"/>
      <c r="U48" s="77"/>
      <c r="V48" s="77"/>
      <c r="W48" s="77"/>
    </row>
    <row r="49" spans="1:23">
      <c r="A49" s="76"/>
      <c r="B49" s="77"/>
      <c r="C49" s="77"/>
      <c r="D49" s="77"/>
      <c r="E49" s="77"/>
      <c r="F49" s="77"/>
      <c r="G49" s="77"/>
      <c r="I49" s="76"/>
      <c r="J49" s="77"/>
      <c r="K49" s="77"/>
      <c r="L49" s="77"/>
      <c r="M49" s="77"/>
      <c r="N49" s="77"/>
      <c r="O49" s="77"/>
      <c r="Q49" s="76"/>
      <c r="R49" s="77"/>
      <c r="S49" s="77"/>
      <c r="T49" s="77"/>
      <c r="U49" s="77"/>
      <c r="V49" s="77"/>
      <c r="W49" s="77"/>
    </row>
    <row r="50" spans="1:23">
      <c r="A50" s="76"/>
      <c r="B50" s="77"/>
      <c r="C50" s="77"/>
      <c r="D50" s="77"/>
      <c r="E50" s="77"/>
      <c r="F50" s="77"/>
      <c r="G50" s="77"/>
      <c r="I50" s="76"/>
      <c r="J50" s="77"/>
      <c r="K50" s="77"/>
      <c r="L50" s="77"/>
      <c r="M50" s="77"/>
      <c r="N50" s="77"/>
      <c r="O50" s="77"/>
      <c r="Q50" s="76"/>
      <c r="R50" s="77"/>
      <c r="S50" s="77"/>
      <c r="T50" s="77"/>
      <c r="U50" s="77"/>
      <c r="V50" s="77"/>
      <c r="W50" s="77"/>
    </row>
    <row r="51" spans="1:23">
      <c r="A51" s="76"/>
      <c r="B51" s="77"/>
      <c r="C51" s="77"/>
      <c r="D51" s="77"/>
      <c r="E51" s="77"/>
      <c r="F51" s="77"/>
      <c r="G51" s="77"/>
      <c r="I51" s="76"/>
      <c r="J51" s="77"/>
      <c r="K51" s="77"/>
      <c r="L51" s="77"/>
      <c r="M51" s="77"/>
      <c r="N51" s="77"/>
      <c r="O51" s="77"/>
      <c r="Q51" s="76"/>
      <c r="R51" s="77"/>
      <c r="S51" s="77"/>
      <c r="T51" s="77"/>
      <c r="U51" s="77"/>
      <c r="V51" s="77"/>
      <c r="W51" s="77"/>
    </row>
    <row r="52" spans="1:23">
      <c r="A52" s="76"/>
      <c r="B52" s="77"/>
      <c r="C52" s="77"/>
      <c r="D52" s="77"/>
      <c r="E52" s="77"/>
      <c r="F52" s="77"/>
      <c r="G52" s="77"/>
      <c r="I52" s="76"/>
      <c r="J52" s="77"/>
      <c r="K52" s="77"/>
      <c r="L52" s="77"/>
      <c r="M52" s="77"/>
      <c r="N52" s="77"/>
      <c r="O52" s="77"/>
      <c r="Q52" s="6"/>
      <c r="R52" s="7"/>
      <c r="S52" s="7"/>
      <c r="T52" s="7"/>
      <c r="U52" s="7"/>
      <c r="V52" s="7"/>
      <c r="W52" s="7"/>
    </row>
    <row r="53" spans="1:23">
      <c r="A53" s="6"/>
      <c r="B53" s="7"/>
      <c r="C53" s="7"/>
      <c r="D53" s="7"/>
      <c r="E53" s="7"/>
      <c r="F53" s="7"/>
      <c r="G53" s="7"/>
      <c r="I53" s="6"/>
      <c r="J53" s="7"/>
      <c r="K53" s="7"/>
      <c r="L53" s="7"/>
      <c r="M53" s="7"/>
      <c r="N53" s="7"/>
      <c r="O53" s="7"/>
      <c r="Q53" s="76"/>
      <c r="R53" s="77"/>
      <c r="S53" s="77"/>
      <c r="T53" s="77"/>
      <c r="U53" s="77"/>
      <c r="V53" s="77"/>
      <c r="W53" s="77"/>
    </row>
    <row r="54" spans="1:23">
      <c r="A54" s="76"/>
      <c r="B54" s="77"/>
      <c r="C54" s="77"/>
      <c r="D54" s="77"/>
      <c r="E54" s="77"/>
      <c r="F54" s="77"/>
      <c r="G54" s="77"/>
      <c r="I54" s="76"/>
      <c r="J54" s="77"/>
      <c r="K54" s="77"/>
      <c r="L54" s="77"/>
      <c r="M54" s="77"/>
      <c r="N54" s="77"/>
      <c r="O54" s="77"/>
      <c r="Q54" s="6"/>
      <c r="R54" s="7"/>
      <c r="S54" s="7"/>
      <c r="T54" s="7"/>
      <c r="U54" s="7"/>
      <c r="V54" s="7"/>
      <c r="W54" s="7"/>
    </row>
    <row r="55" spans="1:23">
      <c r="A55" s="6"/>
      <c r="B55" s="7"/>
      <c r="C55" s="7"/>
      <c r="D55" s="7"/>
      <c r="E55" s="7"/>
      <c r="F55" s="7"/>
      <c r="G55" s="7"/>
      <c r="I55" s="76"/>
      <c r="J55" s="77"/>
      <c r="K55" s="77"/>
      <c r="L55" s="77"/>
      <c r="M55" s="77"/>
      <c r="N55" s="77"/>
      <c r="O55" s="77"/>
      <c r="Q55" s="76"/>
      <c r="R55" s="77"/>
      <c r="S55" s="77"/>
      <c r="T55" s="77"/>
      <c r="U55" s="77"/>
      <c r="V55" s="77"/>
      <c r="W55" s="77"/>
    </row>
    <row r="56" spans="1:23">
      <c r="A56" s="76"/>
      <c r="B56" s="77"/>
      <c r="C56" s="77"/>
      <c r="D56" s="77"/>
      <c r="E56" s="77"/>
      <c r="F56" s="77"/>
      <c r="G56" s="77"/>
      <c r="I56" s="6"/>
      <c r="J56" s="7"/>
      <c r="K56" s="7"/>
      <c r="L56" s="7"/>
      <c r="M56" s="7"/>
      <c r="N56" s="7"/>
      <c r="O56" s="7"/>
      <c r="Q56" s="76"/>
      <c r="R56" s="77"/>
      <c r="S56" s="77"/>
      <c r="T56" s="77"/>
      <c r="U56" s="77"/>
      <c r="V56" s="77"/>
      <c r="W56" s="77"/>
    </row>
    <row r="57" spans="1:23">
      <c r="A57" s="76"/>
      <c r="B57" s="77"/>
      <c r="C57" s="77"/>
      <c r="D57" s="77"/>
      <c r="E57" s="77"/>
      <c r="F57" s="77"/>
      <c r="G57" s="77"/>
      <c r="I57" s="6"/>
      <c r="J57" s="7"/>
      <c r="K57" s="7"/>
      <c r="L57" s="7"/>
      <c r="M57" s="7"/>
      <c r="N57" s="7"/>
      <c r="O57" s="7"/>
      <c r="Q57" s="76"/>
      <c r="R57" s="77"/>
      <c r="S57" s="77"/>
      <c r="T57" s="77"/>
      <c r="U57" s="77"/>
      <c r="V57" s="77"/>
      <c r="W57" s="77"/>
    </row>
    <row r="58" spans="1:23">
      <c r="A58" s="76"/>
      <c r="B58" s="77"/>
      <c r="C58" s="77"/>
      <c r="D58" s="77"/>
      <c r="E58" s="77"/>
      <c r="F58" s="77"/>
      <c r="G58" s="77"/>
      <c r="I58" s="6"/>
      <c r="J58" s="7"/>
      <c r="K58" s="7"/>
      <c r="L58" s="7"/>
      <c r="M58" s="7"/>
      <c r="N58" s="7"/>
      <c r="O58" s="7"/>
      <c r="Q58" s="76"/>
      <c r="R58" s="77"/>
      <c r="S58" s="77"/>
      <c r="T58" s="77"/>
      <c r="U58" s="77"/>
      <c r="V58" s="77"/>
      <c r="W58" s="77"/>
    </row>
    <row r="59" spans="1:23">
      <c r="A59" s="76"/>
      <c r="B59" s="77"/>
      <c r="C59" s="77"/>
      <c r="D59" s="77"/>
      <c r="E59" s="77"/>
      <c r="F59" s="77"/>
      <c r="G59" s="77"/>
      <c r="I59" s="76"/>
      <c r="J59" s="77"/>
      <c r="K59" s="77"/>
      <c r="L59" s="77"/>
      <c r="M59" s="77"/>
      <c r="N59" s="77"/>
      <c r="O59" s="77"/>
      <c r="Q59" s="6"/>
      <c r="R59" s="7"/>
      <c r="S59" s="7"/>
      <c r="T59" s="7"/>
      <c r="U59" s="7"/>
      <c r="V59" s="7"/>
      <c r="W59" s="7"/>
    </row>
    <row r="60" spans="1:23">
      <c r="A60" s="76"/>
      <c r="B60" s="77"/>
      <c r="C60" s="77"/>
      <c r="D60" s="77"/>
      <c r="E60" s="77"/>
      <c r="F60" s="77"/>
      <c r="G60" s="77"/>
      <c r="I60" s="6"/>
      <c r="J60" s="7"/>
      <c r="K60" s="7"/>
      <c r="L60" s="7"/>
      <c r="M60" s="7"/>
      <c r="N60" s="7"/>
      <c r="O60" s="7"/>
      <c r="Q60" s="6"/>
      <c r="R60" s="7"/>
      <c r="S60" s="7"/>
      <c r="T60" s="7"/>
      <c r="U60" s="7"/>
      <c r="V60" s="7"/>
      <c r="W60" s="7"/>
    </row>
    <row r="61" spans="1:23">
      <c r="A61" s="6"/>
      <c r="B61" s="7"/>
      <c r="C61" s="7"/>
      <c r="D61" s="7"/>
      <c r="E61" s="7"/>
      <c r="F61" s="7"/>
      <c r="G61" s="7"/>
      <c r="I61" s="6"/>
      <c r="J61" s="7"/>
      <c r="K61" s="7"/>
      <c r="L61" s="7"/>
      <c r="M61" s="7"/>
      <c r="N61" s="7"/>
      <c r="O61" s="7"/>
      <c r="Q61" s="6"/>
      <c r="R61" s="7"/>
      <c r="S61" s="7"/>
      <c r="T61" s="7"/>
      <c r="U61" s="7"/>
      <c r="V61" s="7"/>
      <c r="W61" s="7"/>
    </row>
    <row r="62" spans="1:23">
      <c r="A62" s="6"/>
      <c r="B62" s="7"/>
      <c r="C62" s="7"/>
      <c r="D62" s="7"/>
      <c r="E62" s="7"/>
      <c r="F62" s="7"/>
      <c r="G62" s="7"/>
      <c r="I62" s="76"/>
      <c r="J62" s="77"/>
      <c r="K62" s="77"/>
      <c r="L62" s="77"/>
      <c r="M62" s="77"/>
      <c r="N62" s="77"/>
      <c r="O62" s="77"/>
      <c r="Q62" s="6"/>
      <c r="R62" s="7"/>
      <c r="S62" s="7"/>
      <c r="T62" s="7"/>
      <c r="U62" s="7"/>
      <c r="V62" s="7"/>
      <c r="W62" s="7"/>
    </row>
    <row r="63" spans="1:23">
      <c r="A63" s="6"/>
      <c r="B63" s="7"/>
      <c r="C63" s="7"/>
      <c r="D63" s="7"/>
      <c r="E63" s="7"/>
      <c r="F63" s="7"/>
      <c r="G63" s="7"/>
      <c r="I63" s="6"/>
      <c r="J63" s="7"/>
      <c r="K63" s="7"/>
      <c r="L63" s="7"/>
      <c r="M63" s="7"/>
      <c r="N63" s="7"/>
      <c r="O63" s="7"/>
      <c r="Q63" s="6"/>
      <c r="R63" s="7"/>
      <c r="S63" s="7"/>
      <c r="T63" s="7"/>
      <c r="U63" s="7"/>
      <c r="V63" s="7"/>
      <c r="W63" s="7"/>
    </row>
    <row r="64" spans="1:23">
      <c r="A64" s="6"/>
      <c r="B64" s="7"/>
      <c r="C64" s="7"/>
      <c r="D64" s="7"/>
      <c r="E64" s="7"/>
      <c r="F64" s="7"/>
      <c r="G64" s="7"/>
      <c r="I64" s="76"/>
      <c r="J64" s="77"/>
      <c r="K64" s="77"/>
      <c r="L64" s="77"/>
      <c r="M64" s="77"/>
      <c r="N64" s="77"/>
      <c r="O64" s="77"/>
      <c r="Q64" s="6"/>
      <c r="R64" s="7"/>
      <c r="S64" s="7"/>
      <c r="T64" s="7"/>
      <c r="U64" s="7"/>
      <c r="V64" s="7"/>
      <c r="W64" s="7"/>
    </row>
    <row r="65" spans="1:23">
      <c r="A65" s="6"/>
      <c r="B65" s="7"/>
      <c r="C65" s="7"/>
      <c r="D65" s="7"/>
      <c r="E65" s="7"/>
      <c r="F65" s="7"/>
      <c r="G65" s="7"/>
      <c r="I65" s="6"/>
      <c r="J65" s="7"/>
      <c r="K65" s="7"/>
      <c r="L65" s="7"/>
      <c r="M65" s="7"/>
      <c r="N65" s="7"/>
      <c r="O65" s="7"/>
      <c r="Q65" s="6"/>
      <c r="R65" s="7"/>
      <c r="S65" s="7"/>
      <c r="T65" s="7"/>
      <c r="U65" s="7"/>
      <c r="V65" s="7"/>
      <c r="W65" s="7"/>
    </row>
    <row r="66" spans="1:23">
      <c r="A66" s="6"/>
      <c r="B66" s="7"/>
      <c r="C66" s="7"/>
      <c r="D66" s="7"/>
      <c r="E66" s="7"/>
      <c r="F66" s="7"/>
      <c r="G66" s="7"/>
      <c r="I66" s="6"/>
      <c r="J66" s="7"/>
      <c r="K66" s="7"/>
      <c r="L66" s="7"/>
      <c r="M66" s="7"/>
      <c r="N66" s="7"/>
      <c r="O66" s="7"/>
      <c r="Q66" s="6"/>
      <c r="R66" s="7"/>
      <c r="S66" s="7"/>
      <c r="T66" s="7"/>
      <c r="U66" s="7"/>
      <c r="V66" s="7"/>
      <c r="W66" s="7"/>
    </row>
    <row r="67" spans="1:23">
      <c r="A67" s="76"/>
      <c r="B67" s="77"/>
      <c r="C67" s="77"/>
      <c r="D67" s="77"/>
      <c r="E67" s="77"/>
      <c r="F67" s="77"/>
      <c r="G67" s="77"/>
      <c r="I67" s="6"/>
      <c r="J67" s="7"/>
      <c r="K67" s="7"/>
      <c r="L67" s="7"/>
      <c r="M67" s="7"/>
      <c r="N67" s="7"/>
      <c r="O67" s="7"/>
      <c r="Q67" s="6"/>
      <c r="R67" s="7"/>
      <c r="S67" s="7"/>
      <c r="T67" s="7"/>
      <c r="U67" s="7"/>
      <c r="V67" s="7"/>
      <c r="W67" s="7"/>
    </row>
    <row r="68" spans="1:23">
      <c r="A68" s="6"/>
      <c r="B68" s="7"/>
      <c r="C68" s="7"/>
      <c r="D68" s="7"/>
      <c r="E68" s="7"/>
      <c r="F68" s="7"/>
      <c r="G68" s="7"/>
      <c r="I68" s="6"/>
      <c r="J68" s="7"/>
      <c r="K68" s="7"/>
      <c r="L68" s="7"/>
      <c r="M68" s="7"/>
      <c r="N68" s="7"/>
      <c r="O68" s="7"/>
      <c r="Q68" s="6"/>
      <c r="R68" s="7"/>
      <c r="S68" s="7"/>
      <c r="T68" s="7"/>
      <c r="U68" s="7"/>
      <c r="V68" s="7"/>
      <c r="W68" s="7"/>
    </row>
    <row r="69" spans="1:23">
      <c r="A69" s="76"/>
      <c r="B69" s="77"/>
      <c r="C69" s="77"/>
      <c r="D69" s="77"/>
      <c r="E69" s="77"/>
      <c r="F69" s="77"/>
      <c r="G69" s="77"/>
      <c r="I69" s="6"/>
      <c r="J69" s="7"/>
      <c r="K69" s="7"/>
      <c r="L69" s="7"/>
      <c r="M69" s="7"/>
      <c r="N69" s="7"/>
      <c r="O69" s="7"/>
      <c r="Q69" s="76"/>
      <c r="R69" s="77"/>
      <c r="S69" s="77"/>
      <c r="T69" s="77"/>
      <c r="U69" s="77"/>
      <c r="V69" s="77"/>
      <c r="W69" s="77"/>
    </row>
    <row r="70" spans="1:23">
      <c r="A70" s="6"/>
      <c r="B70" s="7"/>
      <c r="C70" s="7"/>
      <c r="D70" s="7"/>
      <c r="E70" s="7"/>
      <c r="F70" s="7"/>
      <c r="G70" s="7"/>
      <c r="I70" s="6"/>
      <c r="J70" s="7"/>
      <c r="K70" s="7"/>
      <c r="L70" s="7"/>
      <c r="M70" s="7"/>
      <c r="N70" s="7"/>
      <c r="O70" s="7"/>
      <c r="Q70" s="6"/>
      <c r="R70" s="7"/>
      <c r="S70" s="7"/>
      <c r="T70" s="7"/>
      <c r="U70" s="7"/>
      <c r="V70" s="7"/>
      <c r="W70" s="7"/>
    </row>
    <row r="71" spans="1:23">
      <c r="A71" s="6"/>
      <c r="B71" s="7"/>
      <c r="C71" s="7"/>
      <c r="D71" s="7"/>
      <c r="E71" s="7"/>
      <c r="F71" s="7"/>
      <c r="G71" s="7"/>
      <c r="I71" s="6"/>
      <c r="J71" s="7"/>
      <c r="K71" s="7"/>
      <c r="L71" s="7"/>
      <c r="M71" s="7"/>
      <c r="N71" s="7"/>
      <c r="O71" s="7"/>
      <c r="Q71" s="6"/>
      <c r="R71" s="7"/>
      <c r="S71" s="7"/>
      <c r="T71" s="7"/>
      <c r="U71" s="7"/>
      <c r="V71" s="7"/>
      <c r="W71" s="7"/>
    </row>
    <row r="72" spans="1:23">
      <c r="I72" s="6"/>
      <c r="J72" s="7"/>
      <c r="K72" s="7"/>
      <c r="L72" s="7"/>
      <c r="M72" s="7"/>
      <c r="N72" s="7"/>
      <c r="O72" s="7"/>
      <c r="Q72" s="6"/>
      <c r="R72" s="7"/>
      <c r="S72" s="7"/>
      <c r="T72" s="7"/>
      <c r="U72" s="7"/>
      <c r="V72" s="7"/>
      <c r="W72" s="7"/>
    </row>
    <row r="73" spans="1:23">
      <c r="I73" s="6"/>
      <c r="J73" s="7"/>
      <c r="K73" s="7"/>
      <c r="L73" s="7"/>
      <c r="M73" s="7"/>
      <c r="N73" s="7"/>
      <c r="O73" s="7"/>
      <c r="Q73" s="6"/>
      <c r="R73" s="7"/>
      <c r="S73" s="7"/>
      <c r="T73" s="7"/>
      <c r="U73" s="7"/>
      <c r="V73" s="7"/>
      <c r="W73" s="7"/>
    </row>
    <row r="74" spans="1:23">
      <c r="I74" s="6"/>
      <c r="J74" s="7"/>
      <c r="K74" s="7"/>
      <c r="L74" s="7"/>
      <c r="M74" s="7"/>
      <c r="N74" s="7"/>
      <c r="O74" s="7"/>
      <c r="Q74" s="76"/>
      <c r="R74" s="77"/>
      <c r="S74" s="77"/>
      <c r="T74" s="77"/>
      <c r="U74" s="77"/>
      <c r="V74" s="77"/>
      <c r="W74" s="7"/>
    </row>
    <row r="75" spans="1:23">
      <c r="I75" s="6"/>
      <c r="J75" s="7"/>
      <c r="K75" s="7"/>
      <c r="L75" s="7"/>
      <c r="M75" s="7"/>
      <c r="N75" s="7"/>
      <c r="O75" s="7"/>
    </row>
    <row r="77" spans="1:23">
      <c r="C77" s="9"/>
      <c r="D77" s="9"/>
      <c r="E77" s="9"/>
      <c r="F77" s="9"/>
      <c r="G77" s="9"/>
      <c r="H77" s="9"/>
    </row>
    <row r="81" spans="12:18">
      <c r="L81" s="3"/>
      <c r="M81" s="2"/>
      <c r="N81" s="2"/>
      <c r="O81" s="2"/>
      <c r="P81" s="2"/>
      <c r="Q81" s="2"/>
      <c r="R81" s="2"/>
    </row>
    <row r="82" spans="12:18">
      <c r="L82" s="1"/>
      <c r="M82" s="2"/>
      <c r="N82" s="2"/>
      <c r="O82" s="2"/>
      <c r="P82" s="2"/>
      <c r="Q82" s="2"/>
      <c r="R82" s="2"/>
    </row>
    <row r="83" spans="12:18">
      <c r="L83" s="1"/>
      <c r="M83" s="2"/>
      <c r="N83" s="2"/>
      <c r="O83" s="2"/>
      <c r="P83" s="2"/>
      <c r="Q83" s="2"/>
      <c r="R83" s="2"/>
    </row>
    <row r="84" spans="12:18">
      <c r="L84" s="1"/>
      <c r="M84" s="10"/>
      <c r="N84" s="10"/>
      <c r="O84" s="2"/>
      <c r="P84" s="2"/>
      <c r="Q84" s="2"/>
      <c r="R84" s="2"/>
    </row>
    <row r="85" spans="12:18">
      <c r="L85" s="1"/>
      <c r="M85" s="10"/>
      <c r="N85" s="10"/>
      <c r="O85" s="2"/>
      <c r="P85" s="2"/>
      <c r="Q85" s="2"/>
      <c r="R85" s="2"/>
    </row>
    <row r="86" spans="12:18">
      <c r="L86" s="1"/>
      <c r="M86" s="2"/>
      <c r="N86" s="2"/>
      <c r="O86" s="2"/>
      <c r="P86" s="2"/>
      <c r="Q86" s="2"/>
      <c r="R86" s="2"/>
    </row>
    <row r="87" spans="12:18">
      <c r="L87" s="1"/>
      <c r="M87" s="2"/>
      <c r="N87" s="2"/>
      <c r="O87" s="2"/>
      <c r="P87" s="2"/>
      <c r="Q87" s="2"/>
      <c r="R87" s="2"/>
    </row>
    <row r="88" spans="12:18">
      <c r="L88" s="1"/>
      <c r="M88" s="2"/>
      <c r="N88" s="2"/>
      <c r="O88" s="2"/>
      <c r="P88" s="2"/>
      <c r="Q88" s="2"/>
      <c r="R88" s="2"/>
    </row>
    <row r="89" spans="12:18">
      <c r="L89" s="1"/>
      <c r="M89" s="2"/>
      <c r="N89" s="2"/>
      <c r="O89" s="2"/>
      <c r="P89" s="2"/>
      <c r="Q89" s="2"/>
      <c r="R89" s="2"/>
    </row>
    <row r="90" spans="12:18">
      <c r="L90" s="1"/>
      <c r="M90" s="2"/>
      <c r="N90" s="2"/>
      <c r="O90" s="2"/>
      <c r="P90" s="2"/>
      <c r="Q90" s="2"/>
      <c r="R90" s="2"/>
    </row>
    <row r="91" spans="12:18">
      <c r="L91" s="1"/>
      <c r="M91" s="2"/>
      <c r="N91" s="2"/>
      <c r="O91" s="2"/>
      <c r="P91" s="2"/>
      <c r="Q91" s="2"/>
      <c r="R91" s="2"/>
    </row>
    <row r="92" spans="12:18">
      <c r="L92" s="1"/>
      <c r="M92" s="2"/>
      <c r="N92" s="2"/>
      <c r="O92" s="2"/>
      <c r="P92" s="2"/>
      <c r="Q92" s="2"/>
      <c r="R92" s="2"/>
    </row>
    <row r="93" spans="12:18">
      <c r="L93" s="1"/>
      <c r="M93" s="2"/>
      <c r="N93" s="2"/>
      <c r="O93" s="2"/>
      <c r="P93" s="2"/>
      <c r="Q93" s="2"/>
      <c r="R93" s="2"/>
    </row>
    <row r="94" spans="12:18">
      <c r="L94" s="1"/>
      <c r="M94" s="2"/>
      <c r="N94" s="2"/>
      <c r="O94" s="2"/>
      <c r="P94" s="2"/>
      <c r="Q94" s="2"/>
      <c r="R94" s="2"/>
    </row>
    <row r="95" spans="12:18">
      <c r="L95" s="1"/>
      <c r="M95" s="2"/>
      <c r="N95" s="2"/>
      <c r="O95" s="2"/>
      <c r="P95" s="2"/>
      <c r="Q95" s="2"/>
      <c r="R95" s="2"/>
    </row>
    <row r="96" spans="12:18">
      <c r="L96" s="1"/>
      <c r="M96" s="2"/>
      <c r="N96" s="2"/>
      <c r="O96" s="2"/>
      <c r="P96" s="2"/>
      <c r="Q96" s="2"/>
      <c r="R96" s="2"/>
    </row>
    <row r="97" spans="12:18">
      <c r="L97" s="1"/>
      <c r="M97" s="2"/>
      <c r="N97" s="2"/>
      <c r="O97" s="2"/>
      <c r="P97" s="2"/>
      <c r="Q97" s="2"/>
      <c r="R97" s="2"/>
    </row>
    <row r="98" spans="12:18">
      <c r="L98" s="1"/>
      <c r="M98" s="2"/>
      <c r="N98" s="2"/>
      <c r="O98" s="2"/>
      <c r="P98" s="2"/>
      <c r="Q98" s="2"/>
      <c r="R98" s="2"/>
    </row>
    <row r="99" spans="12:18">
      <c r="L99" s="1"/>
      <c r="M99" s="2"/>
      <c r="N99" s="2"/>
      <c r="O99" s="2"/>
      <c r="P99" s="2"/>
      <c r="Q99" s="2"/>
      <c r="R99" s="2"/>
    </row>
    <row r="100" spans="12:18">
      <c r="L100" s="1"/>
      <c r="M100" s="2"/>
      <c r="N100" s="2"/>
      <c r="O100" s="2"/>
      <c r="P100" s="2"/>
      <c r="Q100" s="2"/>
      <c r="R100" s="2"/>
    </row>
    <row r="101" spans="12:18">
      <c r="L101" s="1"/>
      <c r="M101" s="2"/>
      <c r="N101" s="2"/>
      <c r="O101" s="2"/>
      <c r="P101" s="2"/>
      <c r="Q101" s="2"/>
      <c r="R101" s="2"/>
    </row>
    <row r="102" spans="12:18">
      <c r="L102" s="1"/>
      <c r="M102" s="2"/>
      <c r="N102" s="2"/>
      <c r="O102" s="2"/>
      <c r="P102" s="2"/>
      <c r="Q102" s="2"/>
      <c r="R102" s="2"/>
    </row>
    <row r="103" spans="12:18">
      <c r="L103" s="1"/>
      <c r="M103" s="2"/>
      <c r="N103" s="2"/>
      <c r="O103" s="2"/>
      <c r="P103" s="2"/>
      <c r="Q103" s="2"/>
      <c r="R103" s="2"/>
    </row>
    <row r="104" spans="12:18">
      <c r="L104" s="1"/>
      <c r="M104" s="2"/>
      <c r="N104" s="2"/>
      <c r="O104" s="2"/>
      <c r="P104" s="2"/>
      <c r="Q104" s="2"/>
      <c r="R104" s="2"/>
    </row>
    <row r="105" spans="12:18">
      <c r="L105" s="1"/>
      <c r="M105" s="2"/>
      <c r="N105" s="2"/>
      <c r="O105" s="2"/>
      <c r="P105" s="2"/>
      <c r="Q105" s="2"/>
      <c r="R105" s="2"/>
    </row>
  </sheetData>
  <mergeCells count="15">
    <mergeCell ref="E2:G2"/>
    <mergeCell ref="B2:D2"/>
    <mergeCell ref="E45:G45"/>
    <mergeCell ref="B45:D45"/>
    <mergeCell ref="B21:D21"/>
    <mergeCell ref="E21:G21"/>
    <mergeCell ref="R45:T45"/>
    <mergeCell ref="T1:W1"/>
    <mergeCell ref="L1:O1"/>
    <mergeCell ref="P1:S1"/>
    <mergeCell ref="U45:W45"/>
    <mergeCell ref="J21:L21"/>
    <mergeCell ref="M21:O21"/>
    <mergeCell ref="R21:T21"/>
    <mergeCell ref="U21:W21"/>
  </mergeCells>
  <phoneticPr fontId="3" type="noConversion"/>
  <conditionalFormatting sqref="H46:H7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{57FB4EF6-0CF3-4532-8C5C-5C2596208584}</x14:id>
        </ext>
      </extLst>
    </cfRule>
  </conditionalFormatting>
  <conditionalFormatting sqref="P46:P7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{397CD118-C096-4807-ABB8-11EEFB93CDF1}</x14:id>
        </ext>
      </extLst>
    </cfRule>
  </conditionalFormatting>
  <conditionalFormatting sqref="S82:S10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{3D77242B-93FD-4935-8348-D0789AAD515F}</x14:id>
        </ext>
      </extLst>
    </cfRule>
  </conditionalFormatting>
  <conditionalFormatting sqref="X46:X7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{53FB5C34-FC69-46CA-89F9-CD5DE1644D42}</x14:id>
        </ext>
      </extLst>
    </cfRule>
  </conditionalFormatting>
  <conditionalFormatting sqref="AH23:AH46 J105:J10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{ECCE9713-2608-4843-863B-D1AA951C668B}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B4EF6-0CF3-4532-8C5C-5C2596208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H46:H71</xm:sqref>
        </x14:conditionalFormatting>
        <x14:conditionalFormatting xmlns:xm="http://schemas.microsoft.com/office/excel/2006/main">
          <x14:cfRule type="dataBar" id="{397CD118-C096-4807-ABB8-11EEFB93CD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P46:P75</xm:sqref>
        </x14:conditionalFormatting>
        <x14:conditionalFormatting xmlns:xm="http://schemas.microsoft.com/office/excel/2006/main">
          <x14:cfRule type="dataBar" id="{3D77242B-93FD-4935-8348-D0789AAD51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S82:S105</xm:sqref>
        </x14:conditionalFormatting>
        <x14:conditionalFormatting xmlns:xm="http://schemas.microsoft.com/office/excel/2006/main">
          <x14:cfRule type="dataBar" id="{53FB5C34-FC69-46CA-89F9-CD5DE1644D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X46:X75</xm:sqref>
        </x14:conditionalFormatting>
        <x14:conditionalFormatting xmlns:xm="http://schemas.microsoft.com/office/excel/2006/main">
          <x14:cfRule type="dataBar" id="{ECCE9713-2608-4843-863B-D1AA951C6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AH23:AH46 J105:J109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0C6E-077F-45B0-838D-CB378BA9108B}">
  <dimension ref="A1:AH73"/>
  <sheetViews>
    <sheetView zoomScale="80" zoomScaleNormal="80" workbookViewId="0">
      <selection activeCell="U32" sqref="U32"/>
    </sheetView>
  </sheetViews>
  <sheetFormatPr defaultColWidth="8.625" defaultRowHeight="14.25"/>
  <cols>
    <col min="1" max="1" width="10.125" style="11" customWidth="1"/>
    <col min="2" max="2" width="13.875" style="11" customWidth="1"/>
    <col min="3" max="9" width="8.625" style="11"/>
    <col min="10" max="10" width="13.625" style="11" customWidth="1"/>
    <col min="11" max="16" width="8.625" style="11"/>
    <col min="17" max="17" width="12.75" style="11" customWidth="1"/>
    <col min="18" max="18" width="10.75" style="11" customWidth="1"/>
    <col min="19" max="19" width="12.625" style="11" customWidth="1"/>
    <col min="20" max="20" width="18" style="11" customWidth="1"/>
    <col min="21" max="21" width="19.25" style="11" customWidth="1"/>
    <col min="22" max="22" width="17.875" style="11" customWidth="1"/>
    <col min="23" max="23" width="6.375" style="11" customWidth="1"/>
    <col min="24" max="24" width="7.375" style="11" customWidth="1"/>
    <col min="25" max="25" width="7.125" style="11" customWidth="1"/>
    <col min="26" max="26" width="11.125" style="11" customWidth="1"/>
    <col min="27" max="28" width="8.625" style="11"/>
    <col min="29" max="29" width="14.625" style="11" customWidth="1"/>
    <col min="30" max="30" width="16.5" style="94" customWidth="1"/>
    <col min="31" max="31" width="12.125" style="11" customWidth="1"/>
    <col min="32" max="16384" width="8.625" style="11"/>
  </cols>
  <sheetData>
    <row r="1" spans="1:28">
      <c r="A1" s="11" t="s">
        <v>1581</v>
      </c>
      <c r="B1" s="1" t="s">
        <v>29</v>
      </c>
      <c r="C1" s="1"/>
      <c r="D1" s="1"/>
      <c r="E1" s="1" t="s">
        <v>30</v>
      </c>
      <c r="F1" s="1"/>
      <c r="G1" s="1"/>
      <c r="Q1" s="11" t="s">
        <v>1582</v>
      </c>
    </row>
    <row r="2" spans="1:28" ht="18.75" customHeight="1">
      <c r="A2" s="1" t="s">
        <v>148</v>
      </c>
      <c r="B2" s="1">
        <v>1.9096999999999999E-2</v>
      </c>
      <c r="C2" s="1">
        <v>2.2859000000000001E-2</v>
      </c>
      <c r="D2" s="1"/>
      <c r="E2" s="1">
        <v>9.5474540000000001</v>
      </c>
      <c r="F2" s="1">
        <v>9.5763890000000007</v>
      </c>
      <c r="G2" s="1"/>
      <c r="H2" s="11">
        <f>AVERAGE(E2:G2)/AVERAGE(B2:D2)</f>
        <v>455.80710744589572</v>
      </c>
      <c r="I2" s="1"/>
      <c r="J2" s="1"/>
      <c r="K2" s="1"/>
      <c r="Q2" s="129" t="s">
        <v>252</v>
      </c>
      <c r="R2" s="129" t="s">
        <v>220</v>
      </c>
      <c r="S2" s="121" t="s">
        <v>1596</v>
      </c>
      <c r="T2" s="127" t="s">
        <v>1598</v>
      </c>
      <c r="U2" s="128" t="s">
        <v>1597</v>
      </c>
      <c r="V2" s="8"/>
      <c r="W2" s="8"/>
      <c r="X2" s="231"/>
      <c r="Y2" s="231"/>
      <c r="Z2" s="231"/>
    </row>
    <row r="3" spans="1:28">
      <c r="A3" s="1" t="s">
        <v>149</v>
      </c>
      <c r="B3" s="1">
        <v>5.4947850000000003</v>
      </c>
      <c r="C3" s="1">
        <v>3.163284</v>
      </c>
      <c r="D3" s="1">
        <v>2.9614220000000002</v>
      </c>
      <c r="E3" s="1">
        <v>31.773800000000001</v>
      </c>
      <c r="F3" s="1">
        <v>28.204219999999999</v>
      </c>
      <c r="G3" s="1">
        <v>34.192779999999999</v>
      </c>
      <c r="H3" s="11">
        <f t="shared" ref="H3:H7" si="0">AVERAGE(E3:G3)/AVERAGE(B3:D3)</f>
        <v>8.1045546659487915</v>
      </c>
      <c r="I3" s="1"/>
      <c r="J3" s="1"/>
      <c r="K3" s="1"/>
      <c r="Q3" s="118" t="s">
        <v>1467</v>
      </c>
      <c r="R3" s="9">
        <v>0.945759817</v>
      </c>
      <c r="S3" s="130">
        <v>1.3504080000000001</v>
      </c>
      <c r="T3" s="130">
        <v>1.245568</v>
      </c>
      <c r="U3" s="130">
        <v>1.46628</v>
      </c>
      <c r="V3" s="9"/>
      <c r="W3" s="9"/>
      <c r="X3" s="9"/>
      <c r="Y3" s="9"/>
      <c r="Z3" s="9"/>
    </row>
    <row r="4" spans="1:28">
      <c r="A4" s="1" t="s">
        <v>150</v>
      </c>
      <c r="B4" s="1">
        <v>6.7374999999999998</v>
      </c>
      <c r="C4" s="1">
        <v>7.1875</v>
      </c>
      <c r="D4" s="1">
        <v>6.6737500000000001</v>
      </c>
      <c r="E4" s="1">
        <v>37.66375</v>
      </c>
      <c r="F4" s="1">
        <v>39.67</v>
      </c>
      <c r="G4" s="1">
        <v>36.527500000000003</v>
      </c>
      <c r="H4" s="11">
        <f t="shared" si="0"/>
        <v>5.5275805570726382</v>
      </c>
      <c r="I4" s="1"/>
      <c r="J4" s="1"/>
      <c r="K4" s="1"/>
      <c r="Q4" s="118" t="s">
        <v>1297</v>
      </c>
      <c r="R4" s="119">
        <v>1.5306031091634005</v>
      </c>
      <c r="S4" s="130">
        <v>1.696974</v>
      </c>
      <c r="T4" s="130">
        <v>1.434439</v>
      </c>
      <c r="U4" s="130">
        <v>2.2735539999999999</v>
      </c>
      <c r="V4" s="9"/>
      <c r="W4" s="9"/>
      <c r="X4" s="9"/>
      <c r="Y4" s="9"/>
      <c r="Z4" s="9"/>
    </row>
    <row r="5" spans="1:28">
      <c r="A5" s="1" t="s">
        <v>151</v>
      </c>
      <c r="B5" s="1">
        <v>4.7344400000000002</v>
      </c>
      <c r="C5" s="1">
        <v>4.546036</v>
      </c>
      <c r="D5" s="1">
        <v>4.5191210000000002</v>
      </c>
      <c r="E5" s="1">
        <v>29.798919999999999</v>
      </c>
      <c r="F5" s="1">
        <v>30.350680000000001</v>
      </c>
      <c r="G5" s="1">
        <v>31.198499999999999</v>
      </c>
      <c r="H5" s="11">
        <f t="shared" si="0"/>
        <v>6.6196208483479619</v>
      </c>
      <c r="I5" s="1"/>
      <c r="J5" s="1"/>
      <c r="K5" s="1"/>
      <c r="Q5" s="118" t="s">
        <v>1468</v>
      </c>
      <c r="R5" s="119">
        <v>1.4937715790127923</v>
      </c>
      <c r="S5" s="130">
        <v>2.8985289999999999</v>
      </c>
      <c r="T5" s="130">
        <v>2.661959</v>
      </c>
      <c r="U5" s="130">
        <v>3.2416680000000002</v>
      </c>
      <c r="V5" s="9"/>
      <c r="W5" s="9"/>
      <c r="X5" s="9"/>
      <c r="Y5" s="9"/>
      <c r="Z5" s="9"/>
    </row>
    <row r="6" spans="1:28">
      <c r="A6" s="1" t="s">
        <v>152</v>
      </c>
      <c r="B6" s="1">
        <v>1.357E-2</v>
      </c>
      <c r="C6" s="1">
        <v>1.2897E-2</v>
      </c>
      <c r="D6" s="1">
        <v>1.5587999999999999E-2</v>
      </c>
      <c r="E6" s="1">
        <v>3.3584170000000002</v>
      </c>
      <c r="F6" s="1">
        <v>3.0085229999999998</v>
      </c>
      <c r="G6" s="1">
        <v>3.5838290000000002</v>
      </c>
      <c r="H6" s="11">
        <f t="shared" si="0"/>
        <v>236.61322078230884</v>
      </c>
      <c r="I6" s="1"/>
      <c r="J6" s="1"/>
      <c r="K6" s="1"/>
      <c r="Q6" s="118" t="s">
        <v>1469</v>
      </c>
      <c r="R6" s="119">
        <v>2.1237586413748621</v>
      </c>
      <c r="S6" s="130">
        <v>2.1375510000000002</v>
      </c>
      <c r="T6" s="130">
        <v>2.0605859999999998</v>
      </c>
      <c r="U6" s="130">
        <v>2.2163499999999998</v>
      </c>
      <c r="V6" s="9"/>
      <c r="W6" s="9"/>
      <c r="X6" s="9"/>
      <c r="Y6" s="9"/>
      <c r="Z6" s="9"/>
    </row>
    <row r="7" spans="1:28">
      <c r="A7" s="1" t="s">
        <v>153</v>
      </c>
      <c r="B7" s="1">
        <v>59.418750000000003</v>
      </c>
      <c r="C7" s="1">
        <v>58.877090000000003</v>
      </c>
      <c r="D7" s="1">
        <v>59.418750000000003</v>
      </c>
      <c r="E7" s="1">
        <v>59.600430000000003</v>
      </c>
      <c r="F7" s="1">
        <v>61.44746</v>
      </c>
      <c r="G7" s="1">
        <v>60.148820000000001</v>
      </c>
      <c r="H7" s="11">
        <f t="shared" si="0"/>
        <v>1.0195938892805594</v>
      </c>
      <c r="I7" s="1"/>
      <c r="J7" s="1"/>
      <c r="K7" s="1"/>
      <c r="Q7" s="118" t="s">
        <v>1470</v>
      </c>
      <c r="R7" s="119">
        <v>0.95720764096580058</v>
      </c>
      <c r="S7" s="130">
        <v>1.67455</v>
      </c>
      <c r="T7" s="130">
        <v>1.5693649999999999</v>
      </c>
      <c r="U7" s="130">
        <v>1.7994429999999999</v>
      </c>
      <c r="V7" s="9"/>
      <c r="W7" s="9"/>
      <c r="X7" s="9"/>
      <c r="Y7" s="9"/>
      <c r="Z7" s="9"/>
    </row>
    <row r="8" spans="1:28">
      <c r="I8" s="1"/>
      <c r="J8" s="1"/>
      <c r="K8" s="1"/>
      <c r="Q8" s="118" t="s">
        <v>1471</v>
      </c>
      <c r="R8" s="119">
        <v>1.3262684131992923</v>
      </c>
      <c r="S8" s="130">
        <v>2.7598479999999999</v>
      </c>
      <c r="T8" s="130">
        <v>2.4543740000000001</v>
      </c>
      <c r="U8" s="130">
        <v>2.9968050000000002</v>
      </c>
      <c r="V8" s="9"/>
      <c r="W8" s="9"/>
      <c r="X8" s="9"/>
      <c r="Y8" s="9"/>
      <c r="Z8" s="218" t="s">
        <v>2231</v>
      </c>
      <c r="AA8" s="218"/>
      <c r="AB8" s="218"/>
    </row>
    <row r="9" spans="1:28">
      <c r="I9" s="1"/>
      <c r="J9" s="1"/>
      <c r="K9" s="1"/>
      <c r="Q9" s="118" t="s">
        <v>1472</v>
      </c>
      <c r="R9" s="119">
        <v>1.5788329736057729</v>
      </c>
      <c r="S9" s="130">
        <v>2.0621870000000002</v>
      </c>
      <c r="T9" s="130">
        <v>1.808581</v>
      </c>
      <c r="U9" s="130">
        <v>2.3072659999999998</v>
      </c>
      <c r="V9" s="9"/>
      <c r="W9" s="9"/>
      <c r="X9" s="9"/>
      <c r="Y9" s="9"/>
      <c r="Z9" t="s">
        <v>456</v>
      </c>
      <c r="AA9" t="s">
        <v>206</v>
      </c>
      <c r="AB9" t="s">
        <v>2224</v>
      </c>
    </row>
    <row r="10" spans="1:28">
      <c r="A10" s="66" t="s">
        <v>1583</v>
      </c>
      <c r="B10" s="234" t="s">
        <v>201</v>
      </c>
      <c r="C10" s="234"/>
      <c r="D10" s="234"/>
      <c r="E10" s="234"/>
      <c r="F10" s="234"/>
      <c r="G10" s="234"/>
      <c r="I10" s="1"/>
      <c r="J10" s="1"/>
      <c r="K10" s="1"/>
      <c r="Q10" s="118" t="s">
        <v>1473</v>
      </c>
      <c r="R10" s="119">
        <v>0.97640188888364332</v>
      </c>
      <c r="S10" s="130">
        <v>1.307685</v>
      </c>
      <c r="T10" s="130">
        <v>1.1301079999999999</v>
      </c>
      <c r="U10" s="130">
        <v>1.432671</v>
      </c>
      <c r="V10" s="9"/>
      <c r="W10" s="9"/>
      <c r="X10" s="9"/>
      <c r="Y10" s="9"/>
      <c r="Z10" t="s">
        <v>2225</v>
      </c>
      <c r="AA10">
        <v>40.977046970000004</v>
      </c>
      <c r="AB10">
        <v>36.862853999999999</v>
      </c>
    </row>
    <row r="11" spans="1:28">
      <c r="A11" s="11" t="s">
        <v>1131</v>
      </c>
      <c r="B11" s="233" t="s">
        <v>29</v>
      </c>
      <c r="C11" s="233"/>
      <c r="D11" s="233"/>
      <c r="E11" s="233" t="s">
        <v>30</v>
      </c>
      <c r="F11" s="233"/>
      <c r="G11" s="233"/>
      <c r="I11" s="1"/>
      <c r="J11" s="1"/>
      <c r="K11" s="1"/>
      <c r="Q11" s="118" t="s">
        <v>1474</v>
      </c>
      <c r="R11" s="119">
        <v>1.1020274485845227</v>
      </c>
      <c r="S11" s="130">
        <v>1.863513</v>
      </c>
      <c r="T11" s="130">
        <v>1.75519</v>
      </c>
      <c r="U11" s="130">
        <v>1.966072</v>
      </c>
      <c r="V11" s="9"/>
      <c r="W11" s="9"/>
      <c r="X11" s="9"/>
      <c r="Y11" s="9"/>
      <c r="Z11" t="s">
        <v>133</v>
      </c>
      <c r="AA11">
        <v>6.2163476940000004</v>
      </c>
      <c r="AB11">
        <v>5.7341656680000002</v>
      </c>
    </row>
    <row r="12" spans="1:28">
      <c r="A12" s="1" t="s">
        <v>154</v>
      </c>
      <c r="B12" s="1">
        <v>0.65371699999999999</v>
      </c>
      <c r="C12" s="1">
        <v>0.67658499999999999</v>
      </c>
      <c r="D12" s="1">
        <v>0.65383800000000003</v>
      </c>
      <c r="E12" s="1">
        <v>3.1002999999999999E-2</v>
      </c>
      <c r="F12" s="1">
        <v>3.2545999999999999E-2</v>
      </c>
      <c r="G12" s="1">
        <v>2.7615000000000001E-2</v>
      </c>
      <c r="I12" s="1"/>
      <c r="J12" s="1"/>
      <c r="K12" s="1"/>
      <c r="Q12" s="118" t="s">
        <v>1475</v>
      </c>
      <c r="R12" s="119">
        <v>1.3220618230354877</v>
      </c>
      <c r="S12" s="130">
        <v>1.6469549999999999</v>
      </c>
      <c r="T12" s="130">
        <v>1.5377460000000001</v>
      </c>
      <c r="U12" s="130">
        <v>1.72824</v>
      </c>
      <c r="V12" s="9"/>
      <c r="W12" s="9"/>
      <c r="X12" s="9"/>
      <c r="Y12" s="9"/>
      <c r="Z12" t="s">
        <v>2226</v>
      </c>
      <c r="AA12">
        <v>1.4453525540000001</v>
      </c>
      <c r="AB12">
        <v>1.4963667389999999</v>
      </c>
    </row>
    <row r="13" spans="1:28">
      <c r="A13" s="1" t="s">
        <v>155</v>
      </c>
      <c r="B13" s="1">
        <v>2.1742999999999998E-2</v>
      </c>
      <c r="C13" s="1">
        <v>2.0516E-2</v>
      </c>
      <c r="D13" s="1">
        <v>2.0094999999999998E-2</v>
      </c>
      <c r="E13" s="1">
        <v>2.6120000000000002E-3</v>
      </c>
      <c r="F13" s="1">
        <v>3.114E-3</v>
      </c>
      <c r="G13" s="1">
        <v>4.4409999999999996E-3</v>
      </c>
      <c r="I13" s="1"/>
      <c r="J13" s="1"/>
      <c r="K13" s="1"/>
      <c r="Q13" s="118" t="s">
        <v>1476</v>
      </c>
      <c r="R13" s="119">
        <v>1.9749900361050212</v>
      </c>
      <c r="S13" s="130">
        <v>1.2226090000000001</v>
      </c>
      <c r="T13" s="130">
        <v>1.1594040000000001</v>
      </c>
      <c r="U13" s="130">
        <v>1.2849680000000001</v>
      </c>
      <c r="V13" s="9"/>
      <c r="W13" s="9"/>
      <c r="X13" s="9"/>
      <c r="Y13" s="9"/>
      <c r="Z13" t="s">
        <v>2227</v>
      </c>
      <c r="AA13">
        <v>5.3744940760000004</v>
      </c>
      <c r="AB13">
        <v>3.2006235119999999</v>
      </c>
    </row>
    <row r="14" spans="1:28">
      <c r="A14" s="1" t="s">
        <v>156</v>
      </c>
      <c r="B14" s="1">
        <v>4.0379999999999999E-2</v>
      </c>
      <c r="C14" s="1">
        <v>3.9892999999999998E-2</v>
      </c>
      <c r="D14" s="1">
        <v>3.9751000000000002E-2</v>
      </c>
      <c r="E14" s="1">
        <v>2.568E-3</v>
      </c>
      <c r="F14" s="1">
        <v>2.784E-3</v>
      </c>
      <c r="G14" s="1">
        <v>3.3110000000000001E-3</v>
      </c>
      <c r="I14" s="1"/>
      <c r="J14" s="1"/>
      <c r="K14" s="1"/>
      <c r="Q14" s="118" t="s">
        <v>1477</v>
      </c>
      <c r="R14" s="119">
        <v>1.5155968107350455</v>
      </c>
      <c r="S14" s="130">
        <v>1.427225</v>
      </c>
      <c r="T14" s="130">
        <v>1.243579</v>
      </c>
      <c r="U14" s="130">
        <v>1.576848</v>
      </c>
      <c r="V14" s="9"/>
      <c r="W14" s="9"/>
      <c r="X14" s="9"/>
      <c r="Y14" s="9"/>
      <c r="Z14" t="s">
        <v>134</v>
      </c>
      <c r="AA14">
        <v>5.0665125849999999</v>
      </c>
      <c r="AB14">
        <v>7.196235604</v>
      </c>
    </row>
    <row r="15" spans="1:28">
      <c r="A15" s="1" t="s">
        <v>157</v>
      </c>
      <c r="B15" s="1">
        <v>2.1217E-2</v>
      </c>
      <c r="C15" s="1">
        <v>2.2935000000000001E-2</v>
      </c>
      <c r="D15" s="1">
        <v>2.1319000000000001E-2</v>
      </c>
      <c r="E15" s="1">
        <v>1.1100000000000001E-3</v>
      </c>
      <c r="F15" s="1">
        <v>1.1850000000000001E-3</v>
      </c>
      <c r="G15" s="1">
        <v>4.73E-4</v>
      </c>
      <c r="I15" s="1"/>
      <c r="J15" s="1"/>
      <c r="K15" s="1"/>
      <c r="Q15" s="118" t="s">
        <v>1478</v>
      </c>
      <c r="R15" s="119">
        <v>1.7890221710740843</v>
      </c>
      <c r="S15" s="130">
        <v>1.9032610000000001</v>
      </c>
      <c r="T15" s="130">
        <v>1.752534</v>
      </c>
      <c r="U15" s="130">
        <v>2.0944769999999999</v>
      </c>
      <c r="V15" s="9"/>
      <c r="W15" s="9"/>
      <c r="X15" s="9"/>
      <c r="Y15" s="9"/>
      <c r="Z15" t="s">
        <v>135</v>
      </c>
      <c r="AA15">
        <v>2.9565908909999998</v>
      </c>
      <c r="AB15">
        <v>4.2635112289999997</v>
      </c>
    </row>
    <row r="16" spans="1:28">
      <c r="A16" s="1" t="s">
        <v>158</v>
      </c>
      <c r="B16" s="1">
        <v>0.88204000000000005</v>
      </c>
      <c r="C16" s="1">
        <v>0.85839200000000004</v>
      </c>
      <c r="D16" s="1">
        <v>0.94383600000000001</v>
      </c>
      <c r="E16" s="1">
        <v>1.3582E-2</v>
      </c>
      <c r="F16" s="1">
        <v>1.4159E-2</v>
      </c>
      <c r="G16" s="1">
        <v>1.6677000000000001E-2</v>
      </c>
      <c r="I16" s="1"/>
      <c r="J16" s="1"/>
      <c r="Q16" s="118" t="s">
        <v>1479</v>
      </c>
      <c r="R16" s="119">
        <v>1.5668956248011021</v>
      </c>
      <c r="S16" s="130">
        <v>1.743655</v>
      </c>
      <c r="T16" s="130">
        <v>1.408026</v>
      </c>
      <c r="U16" s="130">
        <v>2.2126920000000001</v>
      </c>
      <c r="V16" s="9"/>
      <c r="W16" s="9"/>
      <c r="X16" s="9"/>
      <c r="Y16" s="9"/>
      <c r="Z16" t="s">
        <v>136</v>
      </c>
      <c r="AA16">
        <v>0.60705576500000002</v>
      </c>
      <c r="AB16">
        <v>0.61387881600000005</v>
      </c>
    </row>
    <row r="17" spans="1:34" ht="15" thickBot="1">
      <c r="A17" s="1" t="s">
        <v>159</v>
      </c>
      <c r="B17" s="1">
        <v>0.74281399999999997</v>
      </c>
      <c r="C17" s="1">
        <v>0.75050499999999998</v>
      </c>
      <c r="D17" s="1">
        <v>0.86241400000000001</v>
      </c>
      <c r="E17" s="1">
        <v>1.891E-2</v>
      </c>
      <c r="F17" s="1">
        <v>2.3623000000000002E-2</v>
      </c>
      <c r="G17" s="1">
        <v>2.5455999999999999E-2</v>
      </c>
      <c r="I17" s="91" t="s">
        <v>1584</v>
      </c>
      <c r="J17" s="1"/>
      <c r="K17" s="1"/>
      <c r="Q17" s="118" t="s">
        <v>1480</v>
      </c>
      <c r="R17" s="119">
        <v>1.5564315954986285</v>
      </c>
      <c r="S17" s="130">
        <v>1.69811</v>
      </c>
      <c r="T17" s="130">
        <v>1.390798</v>
      </c>
      <c r="U17" s="130">
        <v>1.9274579999999999</v>
      </c>
      <c r="V17" s="9"/>
      <c r="W17" s="9"/>
      <c r="X17" s="9"/>
      <c r="Y17" s="9"/>
      <c r="Z17" t="s">
        <v>137</v>
      </c>
      <c r="AA17">
        <v>1.13083303</v>
      </c>
      <c r="AB17">
        <v>1.6684289729999999</v>
      </c>
    </row>
    <row r="18" spans="1:34">
      <c r="A18" s="1" t="s">
        <v>160</v>
      </c>
      <c r="B18" s="1">
        <v>0.57339399999999996</v>
      </c>
      <c r="C18" s="1">
        <v>0.59685200000000005</v>
      </c>
      <c r="D18" s="1">
        <v>0.43914500000000001</v>
      </c>
      <c r="E18" s="1">
        <v>0.62853499999999995</v>
      </c>
      <c r="F18" s="1">
        <v>0.68027899999999997</v>
      </c>
      <c r="G18" s="1">
        <v>0.72570400000000002</v>
      </c>
      <c r="I18" s="70"/>
      <c r="J18" s="222" t="s">
        <v>200</v>
      </c>
      <c r="K18" s="222"/>
      <c r="L18" s="222"/>
      <c r="M18" s="222"/>
      <c r="N18" s="222"/>
      <c r="O18" s="237"/>
      <c r="Q18" s="118" t="s">
        <v>1481</v>
      </c>
      <c r="R18" s="119">
        <v>0.54882519784381867</v>
      </c>
      <c r="S18" s="130">
        <v>1.4356359999999999</v>
      </c>
      <c r="T18" s="130">
        <v>1.4210959999999999</v>
      </c>
      <c r="U18" s="130">
        <v>1.4518150000000001</v>
      </c>
      <c r="V18" s="9"/>
      <c r="W18" s="9"/>
      <c r="X18" s="9"/>
      <c r="Y18" s="9"/>
      <c r="Z18" t="s">
        <v>2228</v>
      </c>
      <c r="AA18">
        <v>0.34352847800000003</v>
      </c>
      <c r="AB18">
        <v>0.46912325900000001</v>
      </c>
    </row>
    <row r="19" spans="1:34">
      <c r="A19" s="1" t="s">
        <v>161</v>
      </c>
      <c r="B19" s="1">
        <v>0.52679699999999996</v>
      </c>
      <c r="C19" s="1">
        <v>0.65734400000000004</v>
      </c>
      <c r="D19" s="1">
        <v>0.58816500000000005</v>
      </c>
      <c r="E19" s="1">
        <v>0.86166900000000002</v>
      </c>
      <c r="F19" s="1">
        <v>0.94642099999999996</v>
      </c>
      <c r="G19" s="1">
        <v>0.98705100000000001</v>
      </c>
      <c r="I19" s="123"/>
      <c r="J19" s="235" t="s">
        <v>29</v>
      </c>
      <c r="K19" s="235"/>
      <c r="L19" s="235"/>
      <c r="M19" s="235" t="s">
        <v>30</v>
      </c>
      <c r="N19" s="235"/>
      <c r="O19" s="236"/>
      <c r="Q19" s="118" t="s">
        <v>1482</v>
      </c>
      <c r="R19" s="119">
        <v>0.10942265864417243</v>
      </c>
      <c r="S19" s="130">
        <v>1.683403</v>
      </c>
      <c r="T19" s="130">
        <v>1.658507</v>
      </c>
      <c r="U19" s="130">
        <v>1.7011289999999999</v>
      </c>
      <c r="V19" s="9"/>
      <c r="W19" s="9"/>
      <c r="X19" s="9"/>
      <c r="Y19" s="9"/>
      <c r="Z19" t="s">
        <v>2229</v>
      </c>
      <c r="AA19">
        <v>0.102414004</v>
      </c>
      <c r="AB19">
        <v>8.0209785000000006E-2</v>
      </c>
    </row>
    <row r="20" spans="1:34">
      <c r="A20" s="1" t="s">
        <v>162</v>
      </c>
      <c r="B20" s="1">
        <v>2.4123480000000002</v>
      </c>
      <c r="C20" s="1">
        <v>2.4865430000000002</v>
      </c>
      <c r="D20" s="1">
        <v>2.4614850000000001</v>
      </c>
      <c r="E20" s="1">
        <v>0.169016</v>
      </c>
      <c r="F20" s="1">
        <v>0.16369400000000001</v>
      </c>
      <c r="G20" s="1">
        <v>0.16178300000000001</v>
      </c>
      <c r="I20" s="19" t="s">
        <v>196</v>
      </c>
      <c r="J20" s="2">
        <v>2.3897999999999999E-2</v>
      </c>
      <c r="K20" s="2">
        <v>2.0232E-2</v>
      </c>
      <c r="L20" s="2">
        <v>2.4917000000000002E-2</v>
      </c>
      <c r="M20" s="2">
        <v>28.542940000000002</v>
      </c>
      <c r="N20" s="2">
        <v>29.69781</v>
      </c>
      <c r="O20" s="20">
        <v>29.789459999999998</v>
      </c>
      <c r="Z20" t="s">
        <v>2230</v>
      </c>
      <c r="AA20">
        <v>30.086978909999999</v>
      </c>
      <c r="AB20">
        <v>40.918431040000002</v>
      </c>
    </row>
    <row r="21" spans="1:34">
      <c r="A21" s="1" t="s">
        <v>163</v>
      </c>
      <c r="B21" s="1">
        <v>0.23667299999999999</v>
      </c>
      <c r="C21" s="1">
        <v>0.22497200000000001</v>
      </c>
      <c r="D21" s="1">
        <v>0.231131</v>
      </c>
      <c r="E21" s="1">
        <v>8.9200000000000008E-3</v>
      </c>
      <c r="F21" s="1">
        <v>9.1959999999999993E-3</v>
      </c>
      <c r="G21" s="1">
        <v>5.607E-3</v>
      </c>
      <c r="I21" s="19" t="s">
        <v>162</v>
      </c>
      <c r="J21" s="2">
        <v>1.4034E-2</v>
      </c>
      <c r="K21" s="2">
        <v>1.6552999999999998E-2</v>
      </c>
      <c r="L21" s="2">
        <v>1.6653000000000001E-2</v>
      </c>
      <c r="M21" s="2">
        <v>28.64639</v>
      </c>
      <c r="N21" s="2">
        <v>28.213270000000001</v>
      </c>
      <c r="O21" s="20">
        <v>27.870799999999999</v>
      </c>
      <c r="Z21"/>
      <c r="AA21"/>
      <c r="AB21"/>
    </row>
    <row r="22" spans="1:34">
      <c r="A22" s="1" t="s">
        <v>164</v>
      </c>
      <c r="B22" s="1">
        <v>0.20205600000000001</v>
      </c>
      <c r="C22" s="1">
        <v>0.19206300000000001</v>
      </c>
      <c r="D22" s="1">
        <v>0.18778500000000001</v>
      </c>
      <c r="E22" s="1">
        <v>1.2237E-2</v>
      </c>
      <c r="F22" s="1">
        <v>1.2090999999999999E-2</v>
      </c>
      <c r="G22" s="1">
        <v>1.166E-2</v>
      </c>
      <c r="I22" s="19" t="s">
        <v>172</v>
      </c>
      <c r="J22" s="2">
        <v>0.10660699999999999</v>
      </c>
      <c r="K22" s="2">
        <v>0.107109</v>
      </c>
      <c r="L22" s="2">
        <v>0.101422</v>
      </c>
      <c r="M22" s="2">
        <v>2.3983829999999999</v>
      </c>
      <c r="N22" s="2">
        <v>2.4050739999999999</v>
      </c>
      <c r="O22" s="20">
        <v>2.8951769999999999</v>
      </c>
      <c r="Z22"/>
      <c r="AA22"/>
      <c r="AB22"/>
    </row>
    <row r="23" spans="1:34">
      <c r="A23" s="1" t="s">
        <v>165</v>
      </c>
      <c r="B23" s="1">
        <v>0.66118200000000005</v>
      </c>
      <c r="C23" s="1">
        <v>0.65635600000000005</v>
      </c>
      <c r="D23" s="1">
        <v>0.69681999999999999</v>
      </c>
      <c r="E23" s="1">
        <v>5.7840000000000003E-2</v>
      </c>
      <c r="F23" s="1">
        <v>5.8800999999999999E-2</v>
      </c>
      <c r="G23" s="1">
        <v>5.7543999999999998E-2</v>
      </c>
      <c r="I23" s="19" t="s">
        <v>171</v>
      </c>
      <c r="J23" s="2">
        <v>0.194353</v>
      </c>
      <c r="K23" s="2">
        <v>0.22806799999999999</v>
      </c>
      <c r="L23" s="2">
        <v>0.22806799999999999</v>
      </c>
      <c r="M23" s="2">
        <v>4.0505019999999998</v>
      </c>
      <c r="N23" s="2">
        <v>3.6143149999999999</v>
      </c>
      <c r="O23" s="20">
        <v>2.3226100000000001</v>
      </c>
      <c r="Z23" t="s">
        <v>456</v>
      </c>
      <c r="AA23" t="s">
        <v>206</v>
      </c>
      <c r="AB23" t="s">
        <v>209</v>
      </c>
    </row>
    <row r="24" spans="1:34">
      <c r="A24" s="1" t="s">
        <v>166</v>
      </c>
      <c r="B24" s="1">
        <v>1.386282</v>
      </c>
      <c r="C24" s="1">
        <v>1.3026450000000001</v>
      </c>
      <c r="D24" s="1">
        <v>1.35412</v>
      </c>
      <c r="E24" s="1">
        <v>9.9745E-2</v>
      </c>
      <c r="F24" s="1">
        <v>9.4460000000000002E-2</v>
      </c>
      <c r="G24" s="1">
        <v>6.4223000000000002E-2</v>
      </c>
      <c r="I24" s="19" t="s">
        <v>169</v>
      </c>
      <c r="J24" s="2">
        <v>0.20713699999999999</v>
      </c>
      <c r="K24" s="2">
        <v>0.16866500000000001</v>
      </c>
      <c r="L24" s="2">
        <v>0.18204600000000001</v>
      </c>
      <c r="M24" s="2">
        <v>11.722049999999999</v>
      </c>
      <c r="N24" s="2">
        <v>12.011430000000001</v>
      </c>
      <c r="O24" s="20">
        <v>13.20574</v>
      </c>
      <c r="Z24" t="s">
        <v>2225</v>
      </c>
      <c r="AA24">
        <v>40.977046970000004</v>
      </c>
      <c r="AB24">
        <v>18.866573330000001</v>
      </c>
    </row>
    <row r="25" spans="1:34">
      <c r="A25" s="1" t="s">
        <v>167</v>
      </c>
      <c r="B25" s="1">
        <v>0.61994800000000005</v>
      </c>
      <c r="C25" s="1">
        <v>0.58402799999999999</v>
      </c>
      <c r="D25" s="1">
        <v>0.55378499999999997</v>
      </c>
      <c r="E25" s="1">
        <v>0.105336</v>
      </c>
      <c r="F25" s="1">
        <v>0.100425</v>
      </c>
      <c r="G25" s="1">
        <v>0.108044</v>
      </c>
      <c r="I25" s="19" t="s">
        <v>168</v>
      </c>
      <c r="J25" s="2">
        <v>3.8439000000000001E-2</v>
      </c>
      <c r="K25" s="2">
        <v>4.0169000000000003E-2</v>
      </c>
      <c r="L25" s="2">
        <v>4.0361000000000001E-2</v>
      </c>
      <c r="M25" s="2">
        <v>4.8593120000000001</v>
      </c>
      <c r="N25" s="2">
        <v>4.9342689999999996</v>
      </c>
      <c r="O25" s="20">
        <v>5.0899479999999997</v>
      </c>
      <c r="Z25" t="s">
        <v>133</v>
      </c>
      <c r="AA25">
        <v>6.2163476940000004</v>
      </c>
      <c r="AB25">
        <v>2.1996989249999999</v>
      </c>
    </row>
    <row r="26" spans="1:34">
      <c r="A26" s="1" t="s">
        <v>168</v>
      </c>
      <c r="B26" s="1">
        <v>1.756624</v>
      </c>
      <c r="C26" s="1">
        <v>1.622466</v>
      </c>
      <c r="D26" s="1">
        <v>1.7386619999999999</v>
      </c>
      <c r="E26" s="1">
        <v>0.123294</v>
      </c>
      <c r="F26" s="1">
        <v>0.12132800000000001</v>
      </c>
      <c r="G26" s="1">
        <v>0.13775999999999999</v>
      </c>
      <c r="I26" s="19" t="s">
        <v>174</v>
      </c>
      <c r="J26" s="2">
        <v>1.0378999999999999E-2</v>
      </c>
      <c r="K26" s="2">
        <v>1.1532000000000001E-2</v>
      </c>
      <c r="L26" s="2">
        <v>1.2685E-2</v>
      </c>
      <c r="M26" s="2">
        <v>16.27965</v>
      </c>
      <c r="N26" s="2">
        <v>17.46358</v>
      </c>
      <c r="O26" s="20">
        <v>16.785119999999999</v>
      </c>
      <c r="Z26" t="s">
        <v>2226</v>
      </c>
      <c r="AA26">
        <v>1.4453525540000001</v>
      </c>
      <c r="AB26">
        <v>9.7334318000000003E-2</v>
      </c>
    </row>
    <row r="27" spans="1:34">
      <c r="A27" s="1" t="s">
        <v>169</v>
      </c>
      <c r="B27" s="1">
        <v>0.94163200000000002</v>
      </c>
      <c r="C27" s="1">
        <v>0.97588699999999995</v>
      </c>
      <c r="D27" s="1">
        <v>1.022105</v>
      </c>
      <c r="E27" s="1">
        <v>1.3908E-2</v>
      </c>
      <c r="F27" s="1">
        <v>1.6795999999999998E-2</v>
      </c>
      <c r="G27" s="1">
        <v>1.6067999999999999E-2</v>
      </c>
      <c r="I27" s="19" t="s">
        <v>158</v>
      </c>
      <c r="J27" s="2">
        <v>9.8019999999999999E-3</v>
      </c>
      <c r="K27" s="2">
        <v>9.4179999999999993E-3</v>
      </c>
      <c r="L27" s="2">
        <v>9.6100000000000005E-3</v>
      </c>
      <c r="M27" s="2">
        <v>12.0321</v>
      </c>
      <c r="N27" s="2">
        <v>12.06861</v>
      </c>
      <c r="O27" s="20">
        <v>12.105130000000001</v>
      </c>
    </row>
    <row r="28" spans="1:34">
      <c r="A28" s="1" t="s">
        <v>170</v>
      </c>
      <c r="B28" s="1">
        <v>0.354298</v>
      </c>
      <c r="C28" s="1">
        <v>0.307421</v>
      </c>
      <c r="D28" s="1">
        <v>0.27275199999999999</v>
      </c>
      <c r="E28" s="1">
        <v>0.25793199999999999</v>
      </c>
      <c r="F28" s="1">
        <v>0.26425399999999999</v>
      </c>
      <c r="G28" s="1">
        <v>0.26348199999999999</v>
      </c>
      <c r="I28" s="19" t="s">
        <v>159</v>
      </c>
      <c r="J28" s="2">
        <v>1.5277000000000001E-2</v>
      </c>
      <c r="K28" s="2">
        <v>1.4943E-2</v>
      </c>
      <c r="L28" s="2">
        <v>2.2637000000000001E-2</v>
      </c>
      <c r="M28" s="2">
        <v>0.13521</v>
      </c>
      <c r="N28" s="2">
        <v>0.18371899999999999</v>
      </c>
      <c r="O28" s="20">
        <v>0.160301</v>
      </c>
    </row>
    <row r="29" spans="1:34">
      <c r="A29" s="1" t="s">
        <v>171</v>
      </c>
      <c r="B29" s="1">
        <v>0.373973</v>
      </c>
      <c r="C29" s="1">
        <v>0.37211699999999998</v>
      </c>
      <c r="D29" s="1">
        <v>0.41920600000000002</v>
      </c>
      <c r="E29" s="1">
        <v>3.6197E-2</v>
      </c>
      <c r="F29" s="1">
        <v>3.6422000000000003E-2</v>
      </c>
      <c r="G29" s="1">
        <v>3.6285999999999999E-2</v>
      </c>
      <c r="I29" s="19" t="s">
        <v>135</v>
      </c>
      <c r="J29" s="2">
        <v>1.6114E-2</v>
      </c>
      <c r="K29" s="2">
        <v>2.1634E-2</v>
      </c>
      <c r="L29" s="2">
        <v>2.4309999999999998E-2</v>
      </c>
      <c r="M29" s="2">
        <v>18.93309</v>
      </c>
      <c r="N29" s="2">
        <v>16.301919999999999</v>
      </c>
      <c r="O29" s="20">
        <v>17.541399999999999</v>
      </c>
    </row>
    <row r="30" spans="1:34">
      <c r="A30" s="1" t="s">
        <v>172</v>
      </c>
      <c r="B30" s="1">
        <v>0.73779899999999998</v>
      </c>
      <c r="C30" s="1">
        <v>0.79277900000000001</v>
      </c>
      <c r="D30" s="1">
        <v>0.85136100000000003</v>
      </c>
      <c r="E30" s="1">
        <v>5.8500000000000003E-2</v>
      </c>
      <c r="F30" s="1">
        <v>5.9752E-2</v>
      </c>
      <c r="G30" s="1">
        <v>5.8171E-2</v>
      </c>
      <c r="I30" s="19" t="s">
        <v>136</v>
      </c>
      <c r="J30" s="2">
        <v>2.1801000000000001E-2</v>
      </c>
      <c r="K30" s="2">
        <v>3.0834E-2</v>
      </c>
      <c r="L30" s="2">
        <v>2.7823000000000001E-2</v>
      </c>
      <c r="M30" s="2">
        <v>5.6584890000000003</v>
      </c>
      <c r="N30" s="2">
        <v>5.7454700000000001</v>
      </c>
      <c r="O30" s="20">
        <v>4.1630890000000003</v>
      </c>
      <c r="AH30" s="94"/>
    </row>
    <row r="31" spans="1:34">
      <c r="A31" s="1" t="s">
        <v>173</v>
      </c>
      <c r="B31" s="1">
        <v>0.50745700000000005</v>
      </c>
      <c r="C31" s="1">
        <v>0.52338200000000001</v>
      </c>
      <c r="D31" s="1">
        <v>0.43703500000000001</v>
      </c>
      <c r="E31" s="1">
        <v>5.3515E-2</v>
      </c>
      <c r="F31" s="1">
        <v>4.8293000000000003E-2</v>
      </c>
      <c r="G31" s="1">
        <v>4.9111000000000002E-2</v>
      </c>
      <c r="I31" s="19" t="s">
        <v>134</v>
      </c>
      <c r="J31" s="2">
        <v>1.3939E-2</v>
      </c>
      <c r="K31" s="2">
        <v>1.5611999999999999E-2</v>
      </c>
      <c r="L31" s="2">
        <v>1.4274E-2</v>
      </c>
      <c r="M31" s="2">
        <v>17.976299999999998</v>
      </c>
      <c r="N31" s="2">
        <v>18.197099999999999</v>
      </c>
      <c r="O31" s="20">
        <v>17.921099999999999</v>
      </c>
    </row>
    <row r="32" spans="1:34">
      <c r="A32" s="1" t="s">
        <v>174</v>
      </c>
      <c r="B32" s="1">
        <v>0.86802400000000002</v>
      </c>
      <c r="C32" s="1">
        <v>0.88966900000000004</v>
      </c>
      <c r="D32" s="1">
        <v>0.84253800000000001</v>
      </c>
      <c r="E32" s="1">
        <v>8.4465999999999999E-2</v>
      </c>
      <c r="F32" s="1">
        <v>8.8057999999999997E-2</v>
      </c>
      <c r="G32" s="1">
        <v>8.7507000000000001E-2</v>
      </c>
      <c r="I32" s="19" t="s">
        <v>197</v>
      </c>
      <c r="J32" s="2">
        <v>3.4514000000000003E-2</v>
      </c>
      <c r="K32" s="2">
        <v>3.0164E-2</v>
      </c>
      <c r="L32" s="2">
        <v>4.1036999999999997E-2</v>
      </c>
      <c r="M32" s="2">
        <v>5.8173959999999996</v>
      </c>
      <c r="N32" s="2">
        <v>4.7351549999999998</v>
      </c>
      <c r="O32" s="20">
        <v>5.5547810000000002</v>
      </c>
    </row>
    <row r="33" spans="1:30">
      <c r="A33" s="1" t="s">
        <v>175</v>
      </c>
      <c r="B33" s="1">
        <v>0.51454</v>
      </c>
      <c r="C33" s="1">
        <v>0.52306299999999994</v>
      </c>
      <c r="D33" s="1">
        <v>0.533111</v>
      </c>
      <c r="E33" s="1">
        <v>0.65465399999999996</v>
      </c>
      <c r="F33" s="1">
        <v>0.62833499999999998</v>
      </c>
      <c r="G33" s="1">
        <v>0.625691</v>
      </c>
      <c r="I33" s="19" t="s">
        <v>133</v>
      </c>
      <c r="J33" s="2">
        <v>4.5719999999999997E-3</v>
      </c>
      <c r="K33" s="2">
        <v>3.0669999999999998E-3</v>
      </c>
      <c r="L33" s="2">
        <v>5.7429999999999998E-3</v>
      </c>
      <c r="M33" s="2">
        <v>32.388350000000003</v>
      </c>
      <c r="N33" s="2">
        <v>36.59019</v>
      </c>
      <c r="O33" s="20">
        <v>36.367719999999998</v>
      </c>
    </row>
    <row r="34" spans="1:30">
      <c r="A34" s="1" t="s">
        <v>176</v>
      </c>
      <c r="B34" s="1">
        <v>0.379075</v>
      </c>
      <c r="C34" s="1">
        <v>0.37216900000000003</v>
      </c>
      <c r="D34" s="1">
        <v>0.493643</v>
      </c>
      <c r="E34" s="1">
        <v>9.0359999999999996E-2</v>
      </c>
      <c r="F34" s="1">
        <v>9.0879000000000001E-2</v>
      </c>
      <c r="G34" s="12" t="s">
        <v>177</v>
      </c>
      <c r="I34" s="19" t="s">
        <v>137</v>
      </c>
      <c r="J34" s="2">
        <v>7.1146000000000001E-2</v>
      </c>
      <c r="K34" s="2">
        <v>6.4119999999999996E-2</v>
      </c>
      <c r="L34" s="2">
        <v>5.4753000000000003E-2</v>
      </c>
      <c r="M34" s="2">
        <v>12.807639999999999</v>
      </c>
      <c r="N34" s="2">
        <v>11.439360000000001</v>
      </c>
      <c r="O34" s="20">
        <v>12.04823</v>
      </c>
    </row>
    <row r="35" spans="1:30">
      <c r="A35" s="1" t="s">
        <v>178</v>
      </c>
      <c r="B35" s="1">
        <v>6.6705E-2</v>
      </c>
      <c r="C35" s="1">
        <v>6.5514000000000003E-2</v>
      </c>
      <c r="D35" s="1">
        <v>6.4157000000000006E-2</v>
      </c>
      <c r="E35" s="1">
        <v>0.13495699999999999</v>
      </c>
      <c r="F35" s="1">
        <v>0.15392</v>
      </c>
      <c r="G35" s="1">
        <v>0.17997099999999999</v>
      </c>
      <c r="I35" s="19" t="s">
        <v>138</v>
      </c>
      <c r="J35" s="2">
        <v>3.1779821479999999</v>
      </c>
      <c r="K35" s="2">
        <v>2.9848525829999999</v>
      </c>
      <c r="L35" s="2">
        <v>3.1098187720000001</v>
      </c>
      <c r="M35" s="2">
        <v>11.96781174</v>
      </c>
      <c r="N35" s="2">
        <v>11.6416013</v>
      </c>
      <c r="O35" s="20">
        <v>11.894779550000001</v>
      </c>
    </row>
    <row r="36" spans="1:30">
      <c r="A36" s="1" t="s">
        <v>179</v>
      </c>
      <c r="B36" s="1">
        <v>0.88987799999999995</v>
      </c>
      <c r="C36" s="1">
        <v>0.933342</v>
      </c>
      <c r="D36" s="1">
        <v>1.0928910000000001</v>
      </c>
      <c r="E36" s="1">
        <v>1.066462</v>
      </c>
      <c r="F36" s="1">
        <v>1.1229560000000001</v>
      </c>
      <c r="G36" s="1">
        <v>1.4493990000000001</v>
      </c>
      <c r="I36" s="19" t="s">
        <v>198</v>
      </c>
      <c r="J36" s="2">
        <v>1.545307006</v>
      </c>
      <c r="K36" s="2">
        <v>1.7449283200000001</v>
      </c>
      <c r="L36" s="2">
        <v>1.6686502569999999</v>
      </c>
      <c r="M36" s="2">
        <v>2.527184203</v>
      </c>
      <c r="N36" s="2">
        <v>2.6748715170000001</v>
      </c>
      <c r="O36" s="20">
        <v>2.4346767649999999</v>
      </c>
    </row>
    <row r="37" spans="1:30" ht="15" thickBot="1">
      <c r="A37" s="1" t="s">
        <v>180</v>
      </c>
      <c r="B37" s="1">
        <v>0.51346199999999997</v>
      </c>
      <c r="C37" s="1">
        <v>0.44343900000000003</v>
      </c>
      <c r="D37" s="1">
        <v>0.44351600000000002</v>
      </c>
      <c r="E37" s="1">
        <v>0.52690300000000001</v>
      </c>
      <c r="F37" s="1">
        <v>0.568859</v>
      </c>
      <c r="G37" s="1">
        <v>0.66765300000000005</v>
      </c>
      <c r="I37" s="21" t="s">
        <v>199</v>
      </c>
      <c r="J37" s="22">
        <v>0.12691371400000001</v>
      </c>
      <c r="K37" s="22">
        <v>0.13324316999999999</v>
      </c>
      <c r="L37" s="22">
        <v>0.13324316999999999</v>
      </c>
      <c r="M37" s="22">
        <v>4.7497971E-2</v>
      </c>
      <c r="N37" s="22">
        <v>4.9445495999999999E-2</v>
      </c>
      <c r="O37" s="23">
        <v>4.8634028000000003E-2</v>
      </c>
    </row>
    <row r="38" spans="1:30" ht="16.5" customHeight="1" thickBot="1">
      <c r="A38" s="1" t="s">
        <v>181</v>
      </c>
      <c r="B38" s="1">
        <v>0.47737099999999999</v>
      </c>
      <c r="C38" s="1">
        <v>0.47537200000000002</v>
      </c>
      <c r="D38" s="1">
        <v>0.47074500000000002</v>
      </c>
      <c r="E38" s="1">
        <v>0.44744899999999999</v>
      </c>
      <c r="F38" s="1">
        <v>0.436637</v>
      </c>
      <c r="G38" s="1">
        <v>0.44379299999999999</v>
      </c>
      <c r="J38" s="218" t="s">
        <v>219</v>
      </c>
      <c r="K38" s="218"/>
      <c r="L38" s="218"/>
      <c r="M38" s="218"/>
      <c r="N38" s="218"/>
      <c r="O38" s="218"/>
      <c r="P38" s="218"/>
      <c r="Q38" s="218"/>
      <c r="R38" s="218"/>
      <c r="Y38" s="238" t="s">
        <v>1587</v>
      </c>
      <c r="Z38" s="238"/>
      <c r="AA38" s="238"/>
      <c r="AB38" s="238"/>
      <c r="AC38" s="238"/>
      <c r="AD38" s="238"/>
    </row>
    <row r="39" spans="1:30" ht="15">
      <c r="A39" s="1" t="s">
        <v>182</v>
      </c>
      <c r="B39" s="1">
        <v>0.62212699999999999</v>
      </c>
      <c r="C39" s="1">
        <v>0.57535599999999998</v>
      </c>
      <c r="D39" s="1">
        <v>0.61240700000000003</v>
      </c>
      <c r="E39" s="1">
        <v>0.30939800000000001</v>
      </c>
      <c r="F39" s="1">
        <v>0.32436599999999999</v>
      </c>
      <c r="G39" s="1">
        <v>0.34503699999999998</v>
      </c>
      <c r="I39" s="100" t="s">
        <v>218</v>
      </c>
      <c r="J39" s="232" t="s">
        <v>202</v>
      </c>
      <c r="K39" s="232"/>
      <c r="L39" s="232"/>
      <c r="M39" s="232" t="s">
        <v>203</v>
      </c>
      <c r="N39" s="232"/>
      <c r="O39" s="232"/>
      <c r="P39" s="232" t="s">
        <v>204</v>
      </c>
      <c r="Q39" s="232"/>
      <c r="R39" s="232"/>
      <c r="S39" s="101" t="s">
        <v>1131</v>
      </c>
      <c r="T39" s="101" t="s">
        <v>1295</v>
      </c>
      <c r="U39" s="101" t="s">
        <v>1292</v>
      </c>
      <c r="V39" s="102" t="s">
        <v>1310</v>
      </c>
      <c r="Y39" s="36" t="s">
        <v>1277</v>
      </c>
      <c r="Z39" s="37" t="s">
        <v>252</v>
      </c>
      <c r="AA39" s="37" t="s">
        <v>1311</v>
      </c>
      <c r="AB39" s="37" t="s">
        <v>1312</v>
      </c>
      <c r="AC39" s="37" t="s">
        <v>1313</v>
      </c>
      <c r="AD39" s="124" t="s">
        <v>1324</v>
      </c>
    </row>
    <row r="40" spans="1:30" ht="18.75">
      <c r="A40" s="1" t="s">
        <v>183</v>
      </c>
      <c r="B40" s="1">
        <v>0.27898699999999999</v>
      </c>
      <c r="C40" s="1">
        <v>0.364927</v>
      </c>
      <c r="D40" s="1">
        <v>0.34651700000000002</v>
      </c>
      <c r="E40" s="1">
        <v>0.316548</v>
      </c>
      <c r="F40" s="1">
        <v>0.33138299999999998</v>
      </c>
      <c r="G40" s="1">
        <v>0.30996899999999999</v>
      </c>
      <c r="I40" s="19" t="s">
        <v>205</v>
      </c>
      <c r="J40" s="2">
        <v>4.8009000000000003E-2</v>
      </c>
      <c r="K40" s="2">
        <v>4.7621999999999998E-2</v>
      </c>
      <c r="L40" s="2">
        <v>4.4142000000000001E-2</v>
      </c>
      <c r="M40" s="2">
        <v>5.0224260000000003</v>
      </c>
      <c r="N40" s="2">
        <v>4.6937749999999996</v>
      </c>
      <c r="O40" s="2">
        <v>4.1776</v>
      </c>
      <c r="P40" s="2">
        <v>23.544789999999999</v>
      </c>
      <c r="Q40" s="2">
        <v>22.767620000000001</v>
      </c>
      <c r="R40" s="2">
        <v>24.34901</v>
      </c>
      <c r="S40" s="11" t="s">
        <v>1266</v>
      </c>
      <c r="T40" s="11">
        <v>1.9431929999999999</v>
      </c>
      <c r="U40" s="11" t="s">
        <v>1291</v>
      </c>
      <c r="V40" s="96">
        <v>100</v>
      </c>
      <c r="Y40" s="105" t="s">
        <v>205</v>
      </c>
      <c r="Z40" s="4" t="s">
        <v>1381</v>
      </c>
      <c r="AA40">
        <v>1.9431929999999999</v>
      </c>
      <c r="AB40" t="s">
        <v>1314</v>
      </c>
      <c r="AC40">
        <v>100</v>
      </c>
      <c r="AD40" s="103">
        <v>1.1435170669018299E-3</v>
      </c>
    </row>
    <row r="41" spans="1:30" ht="18.75">
      <c r="A41" s="1" t="s">
        <v>184</v>
      </c>
      <c r="B41" s="1">
        <v>1.0539369999999999</v>
      </c>
      <c r="C41" s="1">
        <v>1.047121</v>
      </c>
      <c r="D41" s="1">
        <v>0.99563000000000001</v>
      </c>
      <c r="E41" s="1">
        <v>0.113688</v>
      </c>
      <c r="F41" s="1">
        <v>0.117747</v>
      </c>
      <c r="G41" s="1">
        <v>0.11333</v>
      </c>
      <c r="I41" s="29" t="s">
        <v>1364</v>
      </c>
      <c r="J41" s="2">
        <v>2.3897999999999999E-2</v>
      </c>
      <c r="K41" s="2">
        <v>2.0232E-2</v>
      </c>
      <c r="L41" s="2">
        <v>2.4917000000000002E-2</v>
      </c>
      <c r="M41" s="2">
        <v>0.192749</v>
      </c>
      <c r="N41" s="2">
        <v>0.202933</v>
      </c>
      <c r="O41" s="2">
        <v>0.24774299999999999</v>
      </c>
      <c r="P41" s="2">
        <v>28.542940000000002</v>
      </c>
      <c r="Q41" s="2">
        <v>29.69781</v>
      </c>
      <c r="R41" s="2">
        <v>29.789459999999998</v>
      </c>
      <c r="S41" s="11" t="s">
        <v>1266</v>
      </c>
      <c r="T41" s="11">
        <v>1.9431929999999999</v>
      </c>
      <c r="U41" s="11" t="s">
        <v>1293</v>
      </c>
      <c r="V41" s="96">
        <v>100</v>
      </c>
      <c r="Y41" s="29" t="s">
        <v>1364</v>
      </c>
      <c r="Z41" s="4" t="s">
        <v>1381</v>
      </c>
      <c r="AA41">
        <v>1.9431929999999999</v>
      </c>
      <c r="AB41" t="s">
        <v>1282</v>
      </c>
      <c r="AC41">
        <v>100</v>
      </c>
      <c r="AD41" s="103">
        <v>6.1824244552928301E-2</v>
      </c>
    </row>
    <row r="42" spans="1:30" ht="18.75">
      <c r="A42" s="1" t="s">
        <v>185</v>
      </c>
      <c r="B42" s="1">
        <v>0.31979600000000002</v>
      </c>
      <c r="C42" s="1">
        <v>0.31605299999999997</v>
      </c>
      <c r="D42" s="1">
        <v>0.321108</v>
      </c>
      <c r="E42" s="1">
        <v>3.5004E-2</v>
      </c>
      <c r="F42" s="1">
        <v>3.4431999999999997E-2</v>
      </c>
      <c r="G42" s="1">
        <v>3.4963000000000001E-2</v>
      </c>
      <c r="I42" s="29" t="s">
        <v>1365</v>
      </c>
      <c r="J42" s="2">
        <v>0.38153599999999999</v>
      </c>
      <c r="K42" s="2">
        <v>0.33826200000000001</v>
      </c>
      <c r="L42" s="2">
        <v>0.37973299999999999</v>
      </c>
      <c r="M42" s="2">
        <v>0.47349400000000003</v>
      </c>
      <c r="N42" s="2">
        <v>0.40137</v>
      </c>
      <c r="O42" s="2">
        <v>0.41940100000000002</v>
      </c>
      <c r="P42" s="2">
        <v>0.78543099999999999</v>
      </c>
      <c r="Q42" s="2">
        <v>0.75297499999999995</v>
      </c>
      <c r="R42" s="2">
        <v>0.83591800000000005</v>
      </c>
      <c r="S42" s="11" t="s">
        <v>1266</v>
      </c>
      <c r="T42" s="11">
        <v>1.9431929999999999</v>
      </c>
      <c r="U42" s="11" t="s">
        <v>1298</v>
      </c>
      <c r="V42" s="96">
        <v>100</v>
      </c>
      <c r="Y42" s="29" t="s">
        <v>1365</v>
      </c>
      <c r="Z42" s="4" t="s">
        <v>1381</v>
      </c>
      <c r="AA42">
        <v>1.9431929999999999</v>
      </c>
      <c r="AB42" t="s">
        <v>1283</v>
      </c>
      <c r="AC42">
        <v>100</v>
      </c>
      <c r="AD42" s="103">
        <v>6.6062648231179357E-4</v>
      </c>
    </row>
    <row r="43" spans="1:30" ht="18.75">
      <c r="A43" s="1" t="s">
        <v>186</v>
      </c>
      <c r="B43" s="1">
        <v>0.13212599999999999</v>
      </c>
      <c r="C43" s="1">
        <v>0.10907</v>
      </c>
      <c r="D43" s="1">
        <v>0.114481</v>
      </c>
      <c r="E43" s="1">
        <v>5.4288000000000003E-2</v>
      </c>
      <c r="F43" s="1">
        <v>5.6774999999999999E-2</v>
      </c>
      <c r="G43" s="1">
        <v>5.8935000000000001E-2</v>
      </c>
      <c r="I43" s="29" t="s">
        <v>1366</v>
      </c>
      <c r="J43" s="2">
        <v>0.24570600000000001</v>
      </c>
      <c r="K43" s="2">
        <v>0.26607399999999998</v>
      </c>
      <c r="L43" s="2">
        <v>0.26607399999999998</v>
      </c>
      <c r="M43" s="2">
        <v>0.37402400000000002</v>
      </c>
      <c r="N43" s="2">
        <v>0.433091</v>
      </c>
      <c r="O43" s="2">
        <v>0.47586400000000001</v>
      </c>
      <c r="P43" s="2">
        <v>8.2055129999999998</v>
      </c>
      <c r="Q43" s="2">
        <v>8.3053159999999995</v>
      </c>
      <c r="R43" s="2">
        <v>9.0772630000000003</v>
      </c>
      <c r="S43" s="11" t="s">
        <v>1266</v>
      </c>
      <c r="T43" s="11">
        <v>1.9431929999999999</v>
      </c>
      <c r="U43" s="11" t="s">
        <v>1380</v>
      </c>
      <c r="V43" s="96">
        <v>10</v>
      </c>
      <c r="Y43" s="29" t="s">
        <v>1366</v>
      </c>
      <c r="Z43" s="4" t="s">
        <v>1381</v>
      </c>
      <c r="AA43">
        <v>1.9431929999999999</v>
      </c>
      <c r="AB43" t="s">
        <v>1315</v>
      </c>
      <c r="AC43">
        <v>10</v>
      </c>
      <c r="AD43" s="103">
        <v>0.62187847104178773</v>
      </c>
    </row>
    <row r="44" spans="1:30" ht="18.75">
      <c r="A44" s="1" t="s">
        <v>187</v>
      </c>
      <c r="B44" s="1">
        <v>0.55795399999999995</v>
      </c>
      <c r="C44" s="1">
        <v>0.61646000000000001</v>
      </c>
      <c r="D44" s="1">
        <v>0.60853299999999999</v>
      </c>
      <c r="E44" s="1">
        <v>6.2059999999999997E-2</v>
      </c>
      <c r="F44" s="1">
        <v>4.4776000000000003E-2</v>
      </c>
      <c r="G44" s="1">
        <v>4.3881000000000003E-2</v>
      </c>
      <c r="I44" s="29" t="s">
        <v>1367</v>
      </c>
      <c r="J44" s="2">
        <v>0.32023099999999999</v>
      </c>
      <c r="K44" s="2">
        <v>0.27154699999999998</v>
      </c>
      <c r="L44" s="2">
        <v>0.26613799999999999</v>
      </c>
      <c r="M44" s="2">
        <v>0.35809600000000003</v>
      </c>
      <c r="N44" s="2">
        <v>0.36530800000000002</v>
      </c>
      <c r="O44" s="2">
        <v>0.35088399999999997</v>
      </c>
      <c r="P44" s="2">
        <v>22.799499999999998</v>
      </c>
      <c r="Q44" s="2">
        <v>23.720880000000001</v>
      </c>
      <c r="R44" s="2">
        <v>22.318069999999999</v>
      </c>
      <c r="S44" s="11" t="s">
        <v>1266</v>
      </c>
      <c r="T44" s="11">
        <v>1.9431929999999999</v>
      </c>
      <c r="U44" s="11" t="s">
        <v>1169</v>
      </c>
      <c r="V44" s="96">
        <v>100</v>
      </c>
      <c r="Y44" s="29" t="s">
        <v>1367</v>
      </c>
      <c r="Z44" s="4" t="s">
        <v>1381</v>
      </c>
      <c r="AA44">
        <v>1.9431929999999999</v>
      </c>
      <c r="AB44" t="s">
        <v>1316</v>
      </c>
      <c r="AC44">
        <v>100</v>
      </c>
      <c r="AD44" s="103">
        <v>7.5766523245674372E-2</v>
      </c>
    </row>
    <row r="45" spans="1:30" ht="18.75">
      <c r="A45" s="1" t="s">
        <v>188</v>
      </c>
      <c r="B45" s="1">
        <v>1.125294</v>
      </c>
      <c r="C45" s="1">
        <v>1.1696549999999999</v>
      </c>
      <c r="D45" s="1">
        <v>1.1359060000000001</v>
      </c>
      <c r="E45" s="1">
        <v>3.0941E-2</v>
      </c>
      <c r="F45" s="1">
        <v>3.0942999999999998E-2</v>
      </c>
      <c r="G45" s="1">
        <v>3.2436E-2</v>
      </c>
      <c r="I45" s="29" t="s">
        <v>1368</v>
      </c>
      <c r="J45" s="2">
        <v>6.9670999999999997E-2</v>
      </c>
      <c r="K45" s="2">
        <v>5.6815999999999998E-2</v>
      </c>
      <c r="L45" s="2">
        <v>6.7529000000000006E-2</v>
      </c>
      <c r="M45" s="2">
        <v>0.52687099999999998</v>
      </c>
      <c r="N45" s="2">
        <v>0.52084399999999997</v>
      </c>
      <c r="O45" s="2">
        <v>0.52385700000000002</v>
      </c>
      <c r="P45" s="2">
        <v>32.467599999999997</v>
      </c>
      <c r="Q45" s="2">
        <v>32.271720000000002</v>
      </c>
      <c r="R45" s="2">
        <v>31.684080000000002</v>
      </c>
      <c r="S45" s="11" t="s">
        <v>1266</v>
      </c>
      <c r="T45" s="11">
        <v>1.9431929999999999</v>
      </c>
      <c r="U45" s="11" t="s">
        <v>1299</v>
      </c>
      <c r="V45" s="96">
        <v>100</v>
      </c>
      <c r="Y45" s="29" t="s">
        <v>1368</v>
      </c>
      <c r="Z45" s="4" t="s">
        <v>1381</v>
      </c>
      <c r="AA45">
        <v>1.9431929999999999</v>
      </c>
      <c r="AB45" t="s">
        <v>1317</v>
      </c>
      <c r="AC45">
        <v>100</v>
      </c>
      <c r="AD45" s="103">
        <v>3.9495326374305778E-2</v>
      </c>
    </row>
    <row r="46" spans="1:30" ht="18.75">
      <c r="A46" s="1" t="s">
        <v>189</v>
      </c>
      <c r="B46" s="1">
        <v>0.88619599999999998</v>
      </c>
      <c r="C46" s="1">
        <v>0.84837899999999999</v>
      </c>
      <c r="D46" s="1">
        <v>0.81593499999999997</v>
      </c>
      <c r="E46" s="1">
        <v>0.81567100000000003</v>
      </c>
      <c r="F46" s="1">
        <v>0.85842200000000002</v>
      </c>
      <c r="G46" s="1">
        <v>0.81593300000000002</v>
      </c>
      <c r="I46" s="29" t="s">
        <v>1369</v>
      </c>
      <c r="J46" s="2">
        <v>6.5625000000000003E-2</v>
      </c>
      <c r="K46" s="2">
        <v>5.9910999999999999E-2</v>
      </c>
      <c r="L46" s="2">
        <v>7.0148000000000002E-2</v>
      </c>
      <c r="M46" s="10" t="s">
        <v>212</v>
      </c>
      <c r="N46" s="2">
        <v>13.21095</v>
      </c>
      <c r="O46" s="2">
        <v>12.65645</v>
      </c>
      <c r="P46" s="2">
        <v>30.451530000000002</v>
      </c>
      <c r="Q46" s="2">
        <v>30.17428</v>
      </c>
      <c r="R46" s="2">
        <v>27.447009999999999</v>
      </c>
      <c r="S46" s="11" t="s">
        <v>1266</v>
      </c>
      <c r="T46" s="11">
        <v>1.9431929999999999</v>
      </c>
      <c r="U46" s="11" t="s">
        <v>1294</v>
      </c>
      <c r="V46" s="96">
        <v>10</v>
      </c>
      <c r="Y46" s="29" t="s">
        <v>1369</v>
      </c>
      <c r="Z46" s="4" t="s">
        <v>1381</v>
      </c>
      <c r="AA46">
        <v>1.9431929999999999</v>
      </c>
      <c r="AB46" t="s">
        <v>1318</v>
      </c>
      <c r="AC46">
        <v>10</v>
      </c>
      <c r="AD46" s="103">
        <v>6.1798102197279971E-2</v>
      </c>
    </row>
    <row r="47" spans="1:30" ht="18.75">
      <c r="A47" s="1" t="s">
        <v>190</v>
      </c>
      <c r="B47" s="1">
        <v>0.88456299999999999</v>
      </c>
      <c r="C47" s="1">
        <v>0.86994499999999997</v>
      </c>
      <c r="D47" s="1">
        <v>0.84899899999999995</v>
      </c>
      <c r="E47" s="1">
        <v>0.96957199999999999</v>
      </c>
      <c r="F47" s="1">
        <v>0.980935</v>
      </c>
      <c r="G47" s="1">
        <v>0.97167099999999995</v>
      </c>
      <c r="I47" s="29" t="s">
        <v>1370</v>
      </c>
      <c r="J47" s="2">
        <v>0.19455</v>
      </c>
      <c r="K47" s="2">
        <v>0.18893099999999999</v>
      </c>
      <c r="L47" s="2"/>
      <c r="M47" s="2">
        <v>6.2029779999999999</v>
      </c>
      <c r="N47" s="2">
        <v>6.1467900000000002</v>
      </c>
      <c r="O47" s="2"/>
      <c r="P47" s="2">
        <v>17.035959999999999</v>
      </c>
      <c r="Q47" s="2">
        <v>16.82807</v>
      </c>
      <c r="R47" s="2"/>
      <c r="S47" s="11" t="s">
        <v>1296</v>
      </c>
      <c r="T47" s="11">
        <v>2.028</v>
      </c>
      <c r="U47" s="11" t="s">
        <v>1300</v>
      </c>
      <c r="V47" s="96">
        <v>100</v>
      </c>
      <c r="Y47" s="29" t="s">
        <v>1370</v>
      </c>
      <c r="Z47" t="s">
        <v>1382</v>
      </c>
      <c r="AA47">
        <v>2.028</v>
      </c>
      <c r="AB47" t="s">
        <v>1284</v>
      </c>
      <c r="AC47">
        <v>100</v>
      </c>
      <c r="AD47" s="103">
        <v>4.1657849186930746E-4</v>
      </c>
    </row>
    <row r="48" spans="1:30" ht="18.75">
      <c r="A48" s="1" t="s">
        <v>191</v>
      </c>
      <c r="B48" s="1">
        <v>0.65203299999999997</v>
      </c>
      <c r="C48" s="1">
        <v>0.64580599999999999</v>
      </c>
      <c r="D48" s="1">
        <v>0.53512400000000004</v>
      </c>
      <c r="E48" s="1">
        <v>0.19462299999999999</v>
      </c>
      <c r="F48" s="1">
        <v>0.18484500000000001</v>
      </c>
      <c r="G48" s="1">
        <v>0.197548</v>
      </c>
      <c r="I48" s="29" t="s">
        <v>1371</v>
      </c>
      <c r="J48" s="2">
        <v>4.4096000000000003E-2</v>
      </c>
      <c r="K48" s="2">
        <v>5.2153999999999999E-2</v>
      </c>
      <c r="L48" s="2">
        <v>5.3832999999999999E-2</v>
      </c>
      <c r="M48" s="2">
        <v>5.7527000000000002E-2</v>
      </c>
      <c r="N48" s="2">
        <v>5.9708999999999998E-2</v>
      </c>
      <c r="O48" s="2">
        <v>6.3906000000000004E-2</v>
      </c>
      <c r="P48" s="2">
        <v>21.93788</v>
      </c>
      <c r="Q48" s="2">
        <v>20.203690000000002</v>
      </c>
      <c r="R48" s="2">
        <v>20.390039999999999</v>
      </c>
      <c r="S48" s="11" t="s">
        <v>1266</v>
      </c>
      <c r="T48" s="11">
        <v>1.9431929999999999</v>
      </c>
      <c r="U48" s="11" t="s">
        <v>1301</v>
      </c>
      <c r="V48" s="96">
        <v>10</v>
      </c>
      <c r="Y48" s="29" t="s">
        <v>1371</v>
      </c>
      <c r="Z48" s="4" t="s">
        <v>1381</v>
      </c>
      <c r="AA48">
        <v>1.9431929999999999</v>
      </c>
      <c r="AB48" t="s">
        <v>768</v>
      </c>
      <c r="AC48">
        <v>10</v>
      </c>
      <c r="AD48" s="103">
        <v>43.131069415498338</v>
      </c>
    </row>
    <row r="49" spans="1:30" ht="18.75">
      <c r="A49" s="1" t="s">
        <v>192</v>
      </c>
      <c r="B49" s="1">
        <v>0.49284600000000001</v>
      </c>
      <c r="C49" s="1">
        <v>0.54904399999999998</v>
      </c>
      <c r="D49" s="1">
        <v>0.563944</v>
      </c>
      <c r="E49" s="1">
        <v>0.23107800000000001</v>
      </c>
      <c r="F49" s="1">
        <v>0.243065</v>
      </c>
      <c r="G49" s="1">
        <v>0.25009100000000001</v>
      </c>
      <c r="I49" s="29" t="s">
        <v>1372</v>
      </c>
      <c r="J49" s="2">
        <v>3.3849999999999998E-2</v>
      </c>
      <c r="K49" s="2">
        <v>3.5712000000000001E-2</v>
      </c>
      <c r="L49" s="2">
        <v>3.3644E-2</v>
      </c>
      <c r="M49" s="2">
        <v>5.3291999999999999E-2</v>
      </c>
      <c r="N49" s="2">
        <v>5.5359999999999999E-2</v>
      </c>
      <c r="O49" s="2">
        <v>5.1223999999999999E-2</v>
      </c>
      <c r="P49" s="2">
        <v>20.159600000000001</v>
      </c>
      <c r="Q49" s="2">
        <v>21.559809999999999</v>
      </c>
      <c r="R49" s="2">
        <v>22.848330000000001</v>
      </c>
      <c r="S49" s="11" t="s">
        <v>1266</v>
      </c>
      <c r="T49" s="11">
        <v>1.9431929999999999</v>
      </c>
      <c r="U49" s="11" t="s">
        <v>1302</v>
      </c>
      <c r="V49" s="96">
        <v>100</v>
      </c>
      <c r="Y49" s="29" t="s">
        <v>1372</v>
      </c>
      <c r="Z49" s="4" t="s">
        <v>1381</v>
      </c>
      <c r="AA49">
        <v>1.9431929999999999</v>
      </c>
      <c r="AB49" t="s">
        <v>1285</v>
      </c>
      <c r="AC49">
        <v>100</v>
      </c>
      <c r="AD49" s="103">
        <v>0.2536362551740951</v>
      </c>
    </row>
    <row r="50" spans="1:30" ht="18.75">
      <c r="A50" s="1" t="s">
        <v>193</v>
      </c>
      <c r="B50" s="1">
        <v>0.56406400000000001</v>
      </c>
      <c r="C50" s="1">
        <v>0.57558100000000001</v>
      </c>
      <c r="D50" s="1">
        <v>0.58577100000000004</v>
      </c>
      <c r="E50" s="1">
        <v>2.5295999999999999E-2</v>
      </c>
      <c r="F50" s="1">
        <v>2.5690000000000001E-2</v>
      </c>
      <c r="G50" s="1">
        <v>2.5659000000000001E-2</v>
      </c>
      <c r="I50" s="19" t="s">
        <v>215</v>
      </c>
      <c r="J50" s="2">
        <v>3.0762999999999999E-2</v>
      </c>
      <c r="K50" s="2">
        <v>2.8514999999999999E-2</v>
      </c>
      <c r="L50" s="2"/>
      <c r="M50" s="2">
        <v>2.1855600000000002</v>
      </c>
      <c r="N50" s="2">
        <v>2.213654</v>
      </c>
      <c r="O50" s="2"/>
      <c r="P50" s="2">
        <v>37.137099999999997</v>
      </c>
      <c r="Q50" s="2">
        <v>37.024720000000002</v>
      </c>
      <c r="R50" s="2"/>
      <c r="S50" s="11" t="s">
        <v>1297</v>
      </c>
      <c r="T50" s="11">
        <v>7.51431</v>
      </c>
      <c r="U50" s="11" t="s">
        <v>1303</v>
      </c>
      <c r="V50" s="96">
        <v>100</v>
      </c>
      <c r="Y50" s="19" t="s">
        <v>215</v>
      </c>
      <c r="Z50" s="4" t="s">
        <v>1383</v>
      </c>
      <c r="AA50">
        <v>7.51431</v>
      </c>
      <c r="AB50" t="s">
        <v>1286</v>
      </c>
      <c r="AC50">
        <v>100</v>
      </c>
      <c r="AD50" s="103">
        <v>3.3830498689597047E-2</v>
      </c>
    </row>
    <row r="51" spans="1:30" ht="18.75">
      <c r="A51" s="1" t="s">
        <v>194</v>
      </c>
      <c r="B51" s="1">
        <v>0.93118000000000001</v>
      </c>
      <c r="C51" s="1">
        <v>1.012121</v>
      </c>
      <c r="D51" s="1">
        <v>0.97746299999999997</v>
      </c>
      <c r="E51" s="1">
        <v>4.2270000000000002E-2</v>
      </c>
      <c r="F51" s="1">
        <v>4.2068000000000001E-2</v>
      </c>
      <c r="G51" s="1">
        <v>4.3542999999999998E-2</v>
      </c>
      <c r="I51" s="29" t="s">
        <v>1373</v>
      </c>
      <c r="J51" s="2">
        <v>2.5144E-2</v>
      </c>
      <c r="K51" s="2">
        <v>7.0937E-2</v>
      </c>
      <c r="L51" s="2"/>
      <c r="M51" s="2">
        <v>0.180784</v>
      </c>
      <c r="N51" s="2">
        <v>0.39317299999999999</v>
      </c>
      <c r="O51" s="2"/>
      <c r="P51" s="2">
        <v>13.212389999999999</v>
      </c>
      <c r="Q51" s="2">
        <v>13.212389999999999</v>
      </c>
      <c r="R51" s="2"/>
      <c r="S51" s="11" t="s">
        <v>1297</v>
      </c>
      <c r="T51" s="11">
        <v>7.51431</v>
      </c>
      <c r="U51" s="11" t="s">
        <v>1304</v>
      </c>
      <c r="V51" s="96">
        <v>1000</v>
      </c>
      <c r="Y51" s="29" t="s">
        <v>1373</v>
      </c>
      <c r="Z51" s="4" t="s">
        <v>1383</v>
      </c>
      <c r="AA51">
        <v>7.51431</v>
      </c>
      <c r="AB51" t="s">
        <v>1320</v>
      </c>
      <c r="AC51">
        <v>1000</v>
      </c>
      <c r="AD51" s="103">
        <v>8.2774850732644694E-5</v>
      </c>
    </row>
    <row r="52" spans="1:30" ht="18.75">
      <c r="A52" s="1" t="s">
        <v>195</v>
      </c>
      <c r="B52" s="1">
        <v>0.86040899999999998</v>
      </c>
      <c r="C52" s="1">
        <v>0.90658099999999997</v>
      </c>
      <c r="D52" s="1">
        <v>0.87410900000000002</v>
      </c>
      <c r="E52" s="1">
        <v>5.8987999999999999E-2</v>
      </c>
      <c r="F52" s="1">
        <v>6.1602999999999998E-2</v>
      </c>
      <c r="G52" s="1">
        <v>6.0142000000000001E-2</v>
      </c>
      <c r="I52" s="29" t="s">
        <v>1374</v>
      </c>
      <c r="J52" s="2">
        <v>2.2896E-2</v>
      </c>
      <c r="K52" s="2">
        <v>2.8514999999999999E-2</v>
      </c>
      <c r="L52" s="2"/>
      <c r="M52" s="2">
        <v>0.29484500000000002</v>
      </c>
      <c r="N52" s="2">
        <v>0.30608200000000002</v>
      </c>
      <c r="O52" s="2"/>
      <c r="P52" s="2">
        <v>24.663440000000001</v>
      </c>
      <c r="Q52" s="2">
        <v>22.989039999999999</v>
      </c>
      <c r="R52" s="2"/>
      <c r="S52" s="11" t="s">
        <v>1297</v>
      </c>
      <c r="T52" s="11">
        <v>7.51431</v>
      </c>
      <c r="U52" s="11" t="s">
        <v>1305</v>
      </c>
      <c r="V52" s="96">
        <v>10</v>
      </c>
      <c r="Y52" s="29" t="s">
        <v>1374</v>
      </c>
      <c r="Z52" s="4" t="s">
        <v>1383</v>
      </c>
      <c r="AA52">
        <v>7.51431</v>
      </c>
      <c r="AB52" t="s">
        <v>1321</v>
      </c>
      <c r="AC52">
        <v>10</v>
      </c>
      <c r="AD52" s="103">
        <v>2.21497944269779</v>
      </c>
    </row>
    <row r="53" spans="1:30" ht="18.75">
      <c r="I53" s="29" t="s">
        <v>1375</v>
      </c>
      <c r="J53" s="2">
        <v>1.9833E-2</v>
      </c>
      <c r="K53" s="2">
        <v>1.7850000000000001E-2</v>
      </c>
      <c r="L53" s="2">
        <v>2.3078000000000001E-2</v>
      </c>
      <c r="M53" s="2">
        <v>0.88040146600000002</v>
      </c>
      <c r="N53" s="2">
        <v>1.049882805</v>
      </c>
      <c r="O53" s="2">
        <v>0.16461325800000001</v>
      </c>
      <c r="P53" s="2">
        <v>2.1479055229999999</v>
      </c>
      <c r="Q53" s="2">
        <v>2.2939479540000001</v>
      </c>
      <c r="R53" s="2">
        <v>2.140693551</v>
      </c>
      <c r="S53" s="11" t="s">
        <v>1297</v>
      </c>
      <c r="T53" s="11">
        <v>2</v>
      </c>
      <c r="U53" s="11" t="s">
        <v>1306</v>
      </c>
      <c r="V53" s="96">
        <v>10</v>
      </c>
      <c r="Y53" s="29" t="s">
        <v>1375</v>
      </c>
      <c r="Z53" s="4" t="s">
        <v>1383</v>
      </c>
      <c r="AA53">
        <v>2</v>
      </c>
      <c r="AB53" t="s">
        <v>1322</v>
      </c>
      <c r="AC53">
        <v>10</v>
      </c>
      <c r="AD53" s="103">
        <v>3.3367014063472623E-2</v>
      </c>
    </row>
    <row r="54" spans="1:30" ht="18.75">
      <c r="I54" s="29" t="s">
        <v>1376</v>
      </c>
      <c r="J54" s="2">
        <v>0.11593199999999999</v>
      </c>
      <c r="K54" s="2">
        <v>2.3439000000000002E-2</v>
      </c>
      <c r="L54" s="2">
        <v>2.8306999999999999E-2</v>
      </c>
      <c r="M54" s="2">
        <v>0.61355850700000003</v>
      </c>
      <c r="N54" s="2">
        <v>0.63519442299999995</v>
      </c>
      <c r="O54" s="2">
        <v>0.33589759000000002</v>
      </c>
      <c r="P54" s="2">
        <v>1.0570947770000001</v>
      </c>
      <c r="Q54" s="2">
        <v>1.116593545</v>
      </c>
      <c r="R54" s="2">
        <v>0.49636396399999999</v>
      </c>
      <c r="S54" s="11" t="s">
        <v>1297</v>
      </c>
      <c r="T54" s="11">
        <v>2</v>
      </c>
      <c r="U54" s="11" t="s">
        <v>1307</v>
      </c>
      <c r="V54" s="96">
        <v>100</v>
      </c>
      <c r="Y54" s="29" t="s">
        <v>1376</v>
      </c>
      <c r="Z54" s="4" t="s">
        <v>1383</v>
      </c>
      <c r="AA54">
        <v>2</v>
      </c>
      <c r="AB54" t="s">
        <v>1287</v>
      </c>
      <c r="AC54">
        <v>100</v>
      </c>
      <c r="AD54" s="103">
        <v>1.7827502597410038E-4</v>
      </c>
    </row>
    <row r="55" spans="1:30" ht="18.75">
      <c r="I55" s="29" t="s">
        <v>1377</v>
      </c>
      <c r="J55" s="2">
        <v>2.4881E-2</v>
      </c>
      <c r="K55" s="2">
        <v>0.11593199999999999</v>
      </c>
      <c r="L55" s="2">
        <v>3.4617000000000002E-2</v>
      </c>
      <c r="M55" s="2">
        <v>2.6437285890000002</v>
      </c>
      <c r="N55" s="2">
        <v>3.801250075</v>
      </c>
      <c r="O55" s="2">
        <v>3.8373099339999999</v>
      </c>
      <c r="P55" s="2">
        <v>7.5118096039999998</v>
      </c>
      <c r="Q55" s="2">
        <v>8.1626900659999997</v>
      </c>
      <c r="R55" s="2">
        <v>9.7871867300000002</v>
      </c>
      <c r="S55" s="11" t="s">
        <v>1297</v>
      </c>
      <c r="T55" s="11">
        <v>0.59899999999999998</v>
      </c>
      <c r="U55" s="11" t="s">
        <v>1308</v>
      </c>
      <c r="V55" s="96">
        <v>10</v>
      </c>
      <c r="Y55" s="29" t="s">
        <v>1377</v>
      </c>
      <c r="Z55" s="4" t="s">
        <v>1383</v>
      </c>
      <c r="AA55">
        <v>0.59899999999999998</v>
      </c>
      <c r="AB55" t="s">
        <v>1323</v>
      </c>
      <c r="AC55">
        <v>10</v>
      </c>
      <c r="AD55" s="103">
        <v>2.9176358366125116E-2</v>
      </c>
    </row>
    <row r="56" spans="1:30" ht="18.75">
      <c r="I56" s="29" t="s">
        <v>1378</v>
      </c>
      <c r="J56" s="2">
        <v>7.3003999999999999E-2</v>
      </c>
      <c r="K56" s="2">
        <v>6.8004999999999996E-2</v>
      </c>
      <c r="L56" s="2">
        <v>6.7529000000000006E-2</v>
      </c>
      <c r="M56" s="2">
        <v>4.71976</v>
      </c>
      <c r="N56" s="2">
        <v>5.181343</v>
      </c>
      <c r="O56" s="2">
        <v>4.9926459999999997</v>
      </c>
      <c r="P56" s="2">
        <v>7.126379</v>
      </c>
      <c r="Q56" s="2">
        <v>8.6824080000000006</v>
      </c>
      <c r="R56" s="2">
        <v>8.1366359999999993</v>
      </c>
      <c r="S56" s="11" t="s">
        <v>1266</v>
      </c>
      <c r="T56" s="11">
        <v>5.2694020000000004</v>
      </c>
      <c r="U56" s="11" t="s">
        <v>1309</v>
      </c>
      <c r="V56" s="96">
        <v>100</v>
      </c>
      <c r="Y56" s="29" t="s">
        <v>1378</v>
      </c>
      <c r="Z56" s="4" t="s">
        <v>1381</v>
      </c>
      <c r="AA56">
        <v>5.2694020000000004</v>
      </c>
      <c r="AB56" t="s">
        <v>1288</v>
      </c>
      <c r="AC56">
        <v>100</v>
      </c>
      <c r="AD56" s="103">
        <v>1.7739448123981616E-4</v>
      </c>
    </row>
    <row r="57" spans="1:30" ht="19.5" thickBot="1">
      <c r="I57" s="31" t="s">
        <v>1379</v>
      </c>
      <c r="J57" s="97">
        <v>2.61677952484793E-2</v>
      </c>
      <c r="K57" s="97">
        <v>3.1848961322162299E-2</v>
      </c>
      <c r="L57" s="97">
        <v>3.2537587512911699E-2</v>
      </c>
      <c r="M57" s="97">
        <v>3.0127395845288601E-2</v>
      </c>
      <c r="N57" s="97">
        <v>2.9783082749913901E-2</v>
      </c>
      <c r="O57" s="97">
        <v>1.9109376793297401E-2</v>
      </c>
      <c r="P57" s="97">
        <v>1.12452656949386</v>
      </c>
      <c r="Q57" s="97">
        <v>0.94720532537587498</v>
      </c>
      <c r="R57" s="97">
        <v>1.00918168254333</v>
      </c>
      <c r="S57" s="98" t="s">
        <v>1297</v>
      </c>
      <c r="T57" s="97">
        <v>9.3840238723746108</v>
      </c>
      <c r="U57" s="98" t="s">
        <v>1294</v>
      </c>
      <c r="V57" s="99">
        <v>100</v>
      </c>
      <c r="Y57" s="31" t="s">
        <v>1379</v>
      </c>
      <c r="Z57" s="32" t="s">
        <v>1383</v>
      </c>
      <c r="AA57" s="40">
        <v>9.3840000000000003</v>
      </c>
      <c r="AB57" s="40" t="s">
        <v>1318</v>
      </c>
      <c r="AC57" s="40">
        <v>100</v>
      </c>
      <c r="AD57" s="104">
        <v>2629.4893498598849</v>
      </c>
    </row>
    <row r="58" spans="1:30" ht="15">
      <c r="J58" s="95"/>
      <c r="K58" s="95"/>
      <c r="L58" s="95"/>
      <c r="M58" s="95"/>
      <c r="N58" s="95"/>
      <c r="O58" s="95"/>
      <c r="P58" s="95"/>
      <c r="Q58" s="95"/>
      <c r="R58" s="95"/>
      <c r="T58" s="95"/>
    </row>
    <row r="59" spans="1:30" ht="18.75">
      <c r="A59" s="11" t="s">
        <v>1585</v>
      </c>
      <c r="B59" s="11" t="s">
        <v>718</v>
      </c>
      <c r="D59" s="11" t="s">
        <v>1998</v>
      </c>
      <c r="O59" s="11" t="s">
        <v>1586</v>
      </c>
      <c r="P59" s="11" t="s">
        <v>719</v>
      </c>
      <c r="T59" s="11" t="s">
        <v>1998</v>
      </c>
    </row>
    <row r="60" spans="1:30">
      <c r="A60" s="3"/>
      <c r="B60" s="3" t="s">
        <v>221</v>
      </c>
      <c r="C60" s="3" t="s">
        <v>222</v>
      </c>
      <c r="D60" s="3" t="s">
        <v>223</v>
      </c>
      <c r="E60" s="3" t="s">
        <v>224</v>
      </c>
      <c r="F60" s="3" t="s">
        <v>225</v>
      </c>
      <c r="G60" s="3" t="s">
        <v>226</v>
      </c>
      <c r="H60" s="3" t="s">
        <v>227</v>
      </c>
      <c r="I60" s="3" t="s">
        <v>228</v>
      </c>
      <c r="J60" s="3" t="s">
        <v>229</v>
      </c>
      <c r="K60" s="3" t="s">
        <v>230</v>
      </c>
      <c r="L60" s="3" t="s">
        <v>231</v>
      </c>
      <c r="M60" s="3" t="s">
        <v>232</v>
      </c>
      <c r="O60" s="3"/>
      <c r="P60" s="3" t="s">
        <v>237</v>
      </c>
      <c r="Q60" s="3" t="s">
        <v>238</v>
      </c>
      <c r="R60" s="3" t="s">
        <v>239</v>
      </c>
      <c r="S60" s="3" t="s">
        <v>240</v>
      </c>
      <c r="T60" s="3" t="s">
        <v>241</v>
      </c>
      <c r="U60" s="3" t="s">
        <v>242</v>
      </c>
      <c r="V60" s="3" t="s">
        <v>243</v>
      </c>
      <c r="W60" s="3" t="s">
        <v>244</v>
      </c>
      <c r="X60" s="3" t="s">
        <v>245</v>
      </c>
      <c r="Y60" s="3" t="s">
        <v>246</v>
      </c>
      <c r="Z60" s="3" t="s">
        <v>247</v>
      </c>
      <c r="AA60" s="3" t="s">
        <v>248</v>
      </c>
      <c r="AB60" s="3" t="s">
        <v>249</v>
      </c>
    </row>
    <row r="61" spans="1:30" ht="18.75">
      <c r="A61" s="4" t="s">
        <v>1381</v>
      </c>
      <c r="B61" s="2">
        <v>1.3406960000000001</v>
      </c>
      <c r="C61" s="2">
        <v>-6.3699999999999998E-3</v>
      </c>
      <c r="D61" s="2">
        <v>-0.18117</v>
      </c>
      <c r="E61" s="2">
        <v>-0.19316</v>
      </c>
      <c r="F61" s="2">
        <v>-0.15820000000000001</v>
      </c>
      <c r="G61" s="2">
        <v>-2.5510000000000001E-2</v>
      </c>
      <c r="H61" s="2">
        <v>-0.25812000000000002</v>
      </c>
      <c r="I61" s="2">
        <v>-0.22670999999999999</v>
      </c>
      <c r="J61" s="2">
        <v>-0.20448</v>
      </c>
      <c r="K61" s="2">
        <v>-0.2016</v>
      </c>
      <c r="L61" s="2">
        <v>-0.24656</v>
      </c>
      <c r="M61" s="2">
        <v>-0.21456</v>
      </c>
      <c r="O61" s="1" t="s">
        <v>205</v>
      </c>
      <c r="P61" s="2">
        <v>1.132816</v>
      </c>
      <c r="Q61" s="2">
        <v>-0.25679999999999997</v>
      </c>
      <c r="R61" s="2">
        <v>-0.27242</v>
      </c>
      <c r="S61" s="2">
        <v>-0.26889999999999997</v>
      </c>
      <c r="T61" s="2">
        <v>-0.41671000000000002</v>
      </c>
      <c r="U61" s="2">
        <v>-0.20543</v>
      </c>
      <c r="V61" s="2">
        <v>-0.21615999999999999</v>
      </c>
      <c r="W61" s="2">
        <v>-0.3916</v>
      </c>
      <c r="X61" s="2">
        <v>-0.32894000000000001</v>
      </c>
      <c r="Y61" s="2">
        <v>-0.26454</v>
      </c>
      <c r="Z61" s="2">
        <v>0.19347600000000001</v>
      </c>
      <c r="AA61" s="2">
        <v>-0.151</v>
      </c>
      <c r="AB61" s="2">
        <v>-0.16012999999999999</v>
      </c>
    </row>
    <row r="62" spans="1:30" ht="18.75">
      <c r="A62" s="4" t="s">
        <v>1383</v>
      </c>
      <c r="B62" s="2">
        <v>0.11249099999999999</v>
      </c>
      <c r="C62" s="2">
        <v>1.4741310000000001</v>
      </c>
      <c r="D62" s="2">
        <v>-5.7700000000000001E-2</v>
      </c>
      <c r="E62" s="2">
        <v>-2.206E-2</v>
      </c>
      <c r="F62" s="2">
        <v>-1.081E-2</v>
      </c>
      <c r="G62" s="2">
        <v>2.9685E-2</v>
      </c>
      <c r="H62" s="2">
        <v>7.0749999999999997E-3</v>
      </c>
      <c r="I62" s="2">
        <v>-2.9520000000000001E-2</v>
      </c>
      <c r="J62" s="2">
        <v>-2.4580000000000001E-2</v>
      </c>
      <c r="K62" s="2">
        <v>3.4262000000000001E-2</v>
      </c>
      <c r="L62" s="2">
        <v>1.7447000000000001E-2</v>
      </c>
      <c r="M62" s="2">
        <v>-1.4710000000000001E-2</v>
      </c>
      <c r="O62" s="4" t="s">
        <v>1371</v>
      </c>
      <c r="P62" s="2">
        <v>0</v>
      </c>
      <c r="Q62" s="2">
        <v>3.359693</v>
      </c>
      <c r="R62" s="2">
        <v>0.449486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-3.4029999999999998E-2</v>
      </c>
      <c r="AA62" s="2">
        <v>-6.862E-2</v>
      </c>
      <c r="AB62" s="2">
        <v>-1.379E-2</v>
      </c>
    </row>
    <row r="63" spans="1:30" ht="18.75">
      <c r="A63" t="s">
        <v>1382</v>
      </c>
      <c r="B63" s="2">
        <v>-1.158E-2</v>
      </c>
      <c r="C63" s="2">
        <v>-5.8540000000000002E-2</v>
      </c>
      <c r="D63" s="2">
        <v>1.3932979999999999</v>
      </c>
      <c r="E63" s="2">
        <v>-8.6999999999999994E-3</v>
      </c>
      <c r="F63" s="2">
        <v>-6.4949999999999994E-2</v>
      </c>
      <c r="G63" s="2">
        <v>-1.8079999999999999E-2</v>
      </c>
      <c r="H63" s="2">
        <v>-4.011E-2</v>
      </c>
      <c r="I63" s="2">
        <v>6.9550000000000002E-3</v>
      </c>
      <c r="J63" s="2">
        <v>-2.964E-2</v>
      </c>
      <c r="K63" s="2">
        <v>-1.0290000000000001E-2</v>
      </c>
      <c r="L63" s="2">
        <v>-1.1199999999999999E-3</v>
      </c>
      <c r="M63" s="2">
        <v>-2.1569999999999999E-2</v>
      </c>
      <c r="O63" s="4" t="s">
        <v>1372</v>
      </c>
      <c r="P63" s="2">
        <v>-0.16997999999999999</v>
      </c>
      <c r="Q63" s="2">
        <v>0</v>
      </c>
      <c r="R63" s="2">
        <v>3.0289440000000001</v>
      </c>
      <c r="S63" s="2">
        <v>-0.15465000000000001</v>
      </c>
      <c r="T63" s="2">
        <v>0</v>
      </c>
      <c r="U63" s="2">
        <v>-0.21661</v>
      </c>
      <c r="V63" s="2">
        <v>8.4423999999999999E-2</v>
      </c>
      <c r="W63" s="2">
        <v>-0.37985999999999998</v>
      </c>
      <c r="X63" s="2">
        <v>-1.7600000000000001E-3</v>
      </c>
      <c r="Y63" s="2">
        <v>0.11380700000000001</v>
      </c>
      <c r="Z63" s="2">
        <v>-2.3120000000000002E-2</v>
      </c>
      <c r="AA63" s="2">
        <v>-6.4850000000000005E-2</v>
      </c>
      <c r="AB63" s="2">
        <v>-6.4850000000000005E-2</v>
      </c>
    </row>
    <row r="64" spans="1:30" ht="18.75">
      <c r="A64" s="4" t="s">
        <v>1384</v>
      </c>
      <c r="B64" s="2">
        <v>-5.2540000000000003E-2</v>
      </c>
      <c r="C64" s="2">
        <v>-1.498E-2</v>
      </c>
      <c r="D64" s="2">
        <v>-2.8139999999999998E-2</v>
      </c>
      <c r="E64" s="2">
        <v>1.324065</v>
      </c>
      <c r="F64" s="2">
        <v>-9.6399999999999993E-3</v>
      </c>
      <c r="G64" s="2">
        <v>-1.225E-2</v>
      </c>
      <c r="H64" s="2">
        <v>-3.9800000000000002E-2</v>
      </c>
      <c r="I64" s="2">
        <v>-9.2990000000000003E-2</v>
      </c>
      <c r="J64" s="2">
        <v>7.1019999999999998E-3</v>
      </c>
      <c r="K64" s="2">
        <v>-5.4850000000000003E-2</v>
      </c>
      <c r="L64" s="2">
        <v>-5.8020000000000002E-2</v>
      </c>
      <c r="M64" s="2">
        <v>-6.3289999999999999E-2</v>
      </c>
      <c r="O64" s="4" t="s">
        <v>1364</v>
      </c>
      <c r="P64" s="2">
        <v>-0.22264</v>
      </c>
      <c r="Q64" s="2">
        <v>-0.45609</v>
      </c>
      <c r="R64" s="2">
        <v>-0.41286</v>
      </c>
      <c r="S64" s="2">
        <v>1.793677</v>
      </c>
      <c r="T64" s="2">
        <v>1.2485550000000001</v>
      </c>
      <c r="U64" s="2">
        <v>-0.32386999999999999</v>
      </c>
      <c r="V64" s="2">
        <v>-3.2210000000000003E-2</v>
      </c>
      <c r="W64" s="2">
        <v>-0.27929999999999999</v>
      </c>
      <c r="X64" s="2">
        <v>3.7287000000000001E-2</v>
      </c>
      <c r="Y64" s="2">
        <v>7.0670000000000004E-3</v>
      </c>
      <c r="Z64" s="2">
        <v>9.8692000000000002E-2</v>
      </c>
      <c r="AA64" s="2">
        <v>-0.14981</v>
      </c>
      <c r="AB64" s="2">
        <v>-0.17916000000000001</v>
      </c>
    </row>
    <row r="65" spans="1:28" ht="18.75">
      <c r="A65" s="4" t="s">
        <v>1385</v>
      </c>
      <c r="B65" s="2">
        <v>-1.8489999999999999E-2</v>
      </c>
      <c r="C65" s="2">
        <v>-3.6170000000000001E-2</v>
      </c>
      <c r="D65" s="2">
        <v>1.1243E-2</v>
      </c>
      <c r="E65" s="2">
        <v>-2.1250000000000002E-2</v>
      </c>
      <c r="F65" s="2">
        <v>1.0109239999999999</v>
      </c>
      <c r="G65" s="2">
        <v>-2.298E-2</v>
      </c>
      <c r="H65" s="2">
        <v>-5.3109999999999997E-2</v>
      </c>
      <c r="I65" s="2">
        <v>-3.3640000000000003E-2</v>
      </c>
      <c r="J65" s="2">
        <v>-2.7269999999999999E-2</v>
      </c>
      <c r="K65" s="2">
        <v>-1.465E-2</v>
      </c>
      <c r="L65" s="2">
        <v>-0.10252</v>
      </c>
      <c r="M65" s="2">
        <v>-4.1390000000000003E-2</v>
      </c>
      <c r="O65" s="4" t="s">
        <v>1365</v>
      </c>
      <c r="P65" s="2">
        <v>-0.10316</v>
      </c>
      <c r="Q65" s="2">
        <v>-0.34826000000000001</v>
      </c>
      <c r="R65" s="2">
        <v>-0.37712000000000001</v>
      </c>
      <c r="S65" s="2">
        <v>-0.16464999999999999</v>
      </c>
      <c r="T65" s="2">
        <v>2.0308160000000002</v>
      </c>
      <c r="U65" s="2">
        <v>-0.16805</v>
      </c>
      <c r="V65" s="2">
        <v>2.0382999999999998E-2</v>
      </c>
      <c r="W65" s="2">
        <v>-0.14124</v>
      </c>
      <c r="X65" s="2">
        <v>-4.8259999999999997E-2</v>
      </c>
      <c r="Y65" s="2">
        <v>5.0301999999999999E-2</v>
      </c>
      <c r="Z65" s="2">
        <v>0.164634</v>
      </c>
      <c r="AA65" s="2">
        <v>-5.8200000000000002E-2</v>
      </c>
      <c r="AB65" s="2">
        <v>-4.3060000000000001E-2</v>
      </c>
    </row>
    <row r="66" spans="1:28" ht="18.75">
      <c r="A66" s="4" t="s">
        <v>1386</v>
      </c>
      <c r="B66" s="2">
        <v>-4.7640000000000002E-2</v>
      </c>
      <c r="C66" s="2">
        <v>-0.19625999999999999</v>
      </c>
      <c r="D66" s="2">
        <v>-0.24637000000000001</v>
      </c>
      <c r="E66" s="2">
        <v>-0.16782</v>
      </c>
      <c r="F66" s="2">
        <v>-0.28504000000000002</v>
      </c>
      <c r="G66" s="2">
        <v>1.5249280000000001</v>
      </c>
      <c r="H66" s="2">
        <v>-1.8849999999999999E-2</v>
      </c>
      <c r="I66" s="2">
        <v>-0.13341</v>
      </c>
      <c r="J66" s="2">
        <v>-6.59E-2</v>
      </c>
      <c r="K66" s="2">
        <v>-0.15687000000000001</v>
      </c>
      <c r="L66" s="2">
        <v>-0.27872999999999998</v>
      </c>
      <c r="M66" s="2">
        <v>-0.12619</v>
      </c>
      <c r="O66" s="4" t="s">
        <v>1366</v>
      </c>
      <c r="P66" s="2">
        <v>1.0137E-2</v>
      </c>
      <c r="Q66" s="2">
        <v>-0.24578</v>
      </c>
      <c r="R66" s="2">
        <v>-0.12103999999999999</v>
      </c>
      <c r="S66" s="2">
        <v>-2.317E-2</v>
      </c>
      <c r="T66" s="2">
        <v>-9.6030000000000004E-2</v>
      </c>
      <c r="U66" s="2">
        <v>1.524275</v>
      </c>
      <c r="V66" s="2">
        <v>0.74342399999999997</v>
      </c>
      <c r="W66" s="2">
        <v>0.20599400000000001</v>
      </c>
      <c r="X66" s="2">
        <v>-2.861E-2</v>
      </c>
      <c r="Y66" s="2">
        <v>-0.29751</v>
      </c>
      <c r="Z66" s="2">
        <v>5.3881999999999999E-2</v>
      </c>
      <c r="AA66" s="2">
        <v>-0.15276000000000001</v>
      </c>
      <c r="AB66" s="2">
        <v>-0.20205000000000001</v>
      </c>
    </row>
    <row r="67" spans="1:28" ht="18.75">
      <c r="A67" s="4" t="s">
        <v>1387</v>
      </c>
      <c r="B67" s="2">
        <v>-1.01E-2</v>
      </c>
      <c r="C67" s="2">
        <v>-2.068E-2</v>
      </c>
      <c r="D67" s="2">
        <v>-3.3079999999999998E-2</v>
      </c>
      <c r="E67" s="2">
        <v>-4.5420000000000002E-2</v>
      </c>
      <c r="F67" s="2">
        <v>-3.3759999999999998E-2</v>
      </c>
      <c r="G67" s="2">
        <v>-4.1399999999999999E-2</v>
      </c>
      <c r="H67" s="2">
        <v>1.1632229999999999</v>
      </c>
      <c r="I67" s="2">
        <v>-2.4299999999999999E-2</v>
      </c>
      <c r="J67" s="2">
        <v>-5.8650000000000001E-2</v>
      </c>
      <c r="K67" s="2">
        <v>-1.533E-2</v>
      </c>
      <c r="L67" s="2">
        <v>-4.1590000000000002E-2</v>
      </c>
      <c r="M67" s="2">
        <v>-2.418E-2</v>
      </c>
      <c r="O67" s="4" t="s">
        <v>1367</v>
      </c>
      <c r="P67" s="2">
        <v>-0.19234000000000001</v>
      </c>
      <c r="Q67" s="2">
        <v>-0.38280999999999998</v>
      </c>
      <c r="R67" s="2">
        <v>-0.34195999999999999</v>
      </c>
      <c r="S67" s="2">
        <v>-0.19308</v>
      </c>
      <c r="T67" s="2">
        <v>-0.85306000000000004</v>
      </c>
      <c r="U67" s="2">
        <v>-0.26954</v>
      </c>
      <c r="V67" s="2">
        <v>1.5854699999999999</v>
      </c>
      <c r="W67" s="2">
        <v>-0.17269000000000001</v>
      </c>
      <c r="X67" s="2">
        <v>2.2818999999999999E-2</v>
      </c>
      <c r="Y67" s="2">
        <v>3.0463E-2</v>
      </c>
      <c r="Z67" s="2">
        <v>5.0707000000000002E-2</v>
      </c>
      <c r="AA67" s="2">
        <v>-0.18431</v>
      </c>
      <c r="AB67" s="2">
        <v>-0.17208000000000001</v>
      </c>
    </row>
    <row r="68" spans="1:28" ht="18.75">
      <c r="A68" s="4" t="s">
        <v>1388</v>
      </c>
      <c r="B68" s="2">
        <v>-6.5310000000000007E-2</v>
      </c>
      <c r="C68" s="2">
        <v>-8.8800000000000007E-3</v>
      </c>
      <c r="D68" s="2">
        <v>5.6896000000000002E-2</v>
      </c>
      <c r="E68" s="2">
        <v>5.5376000000000002E-2</v>
      </c>
      <c r="F68" s="2">
        <v>-9.2599999999999991E-3</v>
      </c>
      <c r="G68" s="2">
        <v>7.9179999999999997E-3</v>
      </c>
      <c r="H68" s="2">
        <v>2.8174999999999999E-2</v>
      </c>
      <c r="I68" s="2">
        <v>1.6311199999999999</v>
      </c>
      <c r="J68" s="2">
        <v>2.7189999999999999E-2</v>
      </c>
      <c r="K68" s="2">
        <v>1.776E-3</v>
      </c>
      <c r="L68" s="2">
        <v>-2.0160000000000001E-2</v>
      </c>
      <c r="M68" s="2">
        <v>0.13284599999999999</v>
      </c>
      <c r="O68" s="4" t="s">
        <v>1368</v>
      </c>
      <c r="P68" s="2">
        <v>-9.0039999999999995E-2</v>
      </c>
      <c r="Q68" s="2">
        <v>-0.27204</v>
      </c>
      <c r="R68" s="2">
        <v>-0.22994999999999999</v>
      </c>
      <c r="S68" s="2">
        <v>-0.13103999999999999</v>
      </c>
      <c r="T68" s="2">
        <v>-0.60206000000000004</v>
      </c>
      <c r="U68" s="2">
        <v>-0.18112</v>
      </c>
      <c r="V68" s="2">
        <v>2.592241</v>
      </c>
      <c r="W68" s="2">
        <v>2.2117810000000002</v>
      </c>
      <c r="X68" s="2">
        <v>3.8240000000000003E-2</v>
      </c>
      <c r="Y68" s="2">
        <v>4.5199999999999998E-4</v>
      </c>
      <c r="Z68" s="2">
        <v>5.6716000000000003E-2</v>
      </c>
      <c r="AA68" s="2">
        <v>-0.15539</v>
      </c>
      <c r="AB68" s="2">
        <v>-0.12617</v>
      </c>
    </row>
    <row r="69" spans="1:28" ht="18.75">
      <c r="A69" s="4" t="s">
        <v>1389</v>
      </c>
      <c r="B69" s="2">
        <v>-3.8589999999999999E-2</v>
      </c>
      <c r="C69" s="2">
        <v>-3.1699999999999999E-2</v>
      </c>
      <c r="D69" s="2">
        <v>-4.3899999999999998E-3</v>
      </c>
      <c r="E69" s="2">
        <v>-5.5640000000000002E-2</v>
      </c>
      <c r="F69" s="2">
        <v>-6.3800000000000003E-3</v>
      </c>
      <c r="G69" s="2">
        <v>-2.0459999999999999E-2</v>
      </c>
      <c r="H69" s="2">
        <v>-4.6519999999999999E-2</v>
      </c>
      <c r="I69" s="2">
        <v>-5.3859999999999998E-2</v>
      </c>
      <c r="J69" s="2">
        <v>1.060065</v>
      </c>
      <c r="K69" s="2">
        <v>-2.7220000000000001E-2</v>
      </c>
      <c r="L69" s="2">
        <v>-7.1279999999999996E-2</v>
      </c>
      <c r="M69" s="2">
        <v>2.3706000000000001E-2</v>
      </c>
      <c r="O69" s="4" t="s">
        <v>1369</v>
      </c>
      <c r="P69" s="2">
        <v>-8.48E-2</v>
      </c>
      <c r="Q69" s="2">
        <v>-0.28331000000000001</v>
      </c>
      <c r="R69" s="2">
        <v>-0.22520999999999999</v>
      </c>
      <c r="S69" s="2">
        <v>-0.11398999999999999</v>
      </c>
      <c r="T69" s="2">
        <v>1.4140870000000001</v>
      </c>
      <c r="U69" s="2">
        <v>-4.8370000000000003E-2</v>
      </c>
      <c r="V69" s="2">
        <v>1.5379119999999999</v>
      </c>
      <c r="W69" s="2">
        <v>1.7636849999999999</v>
      </c>
      <c r="X69" s="2">
        <v>1.377289</v>
      </c>
      <c r="Y69" s="2">
        <v>1.309947</v>
      </c>
      <c r="Z69" s="2">
        <v>0.28854600000000002</v>
      </c>
      <c r="AA69" s="2">
        <v>-1.3520000000000001E-2</v>
      </c>
      <c r="AB69" s="2">
        <v>8.3806000000000005E-2</v>
      </c>
    </row>
    <row r="70" spans="1:28" ht="18.75">
      <c r="A70" s="4" t="s">
        <v>1390</v>
      </c>
      <c r="B70" s="2">
        <v>-0.29131000000000001</v>
      </c>
      <c r="C70" s="2">
        <v>-6.0290000000000003E-2</v>
      </c>
      <c r="D70" s="2">
        <v>-0.16558999999999999</v>
      </c>
      <c r="E70" s="2">
        <v>-0.14538999999999999</v>
      </c>
      <c r="F70" s="2">
        <v>-0.13355</v>
      </c>
      <c r="G70" s="2">
        <v>-9.4659999999999994E-2</v>
      </c>
      <c r="H70" s="2">
        <v>-0.14635999999999999</v>
      </c>
      <c r="I70" s="2">
        <v>-0.12058000000000001</v>
      </c>
      <c r="J70" s="2">
        <v>-0.13718</v>
      </c>
      <c r="K70" s="2">
        <v>0.97647200000000001</v>
      </c>
      <c r="L70" s="2">
        <v>-0.13850999999999999</v>
      </c>
      <c r="M70" s="2">
        <v>-0.13242999999999999</v>
      </c>
      <c r="O70" s="4" t="s">
        <v>1370</v>
      </c>
      <c r="P70" s="2">
        <v>-9.7259999999999999E-2</v>
      </c>
      <c r="Q70" s="2">
        <v>-0.13588</v>
      </c>
      <c r="R70" s="2">
        <v>-0.10555</v>
      </c>
      <c r="S70" s="2">
        <v>-5.6160000000000002E-2</v>
      </c>
      <c r="T70" s="2">
        <v>0.348912</v>
      </c>
      <c r="U70" s="2">
        <v>-4.1189999999999997E-2</v>
      </c>
      <c r="V70" s="2">
        <v>0.461368</v>
      </c>
      <c r="W70" s="2">
        <v>0.27262700000000001</v>
      </c>
      <c r="X70" s="2">
        <v>-0.13600000000000001</v>
      </c>
      <c r="Y70" s="2">
        <v>0.39279500000000001</v>
      </c>
      <c r="Z70" s="2">
        <v>0.18271899999999999</v>
      </c>
      <c r="AA70" s="2">
        <v>-9.2499999999999999E-2</v>
      </c>
      <c r="AB70" s="2">
        <v>-9.9470000000000003E-2</v>
      </c>
    </row>
    <row r="71" spans="1:28" ht="18.75">
      <c r="A71" s="4" t="s">
        <v>1391</v>
      </c>
      <c r="B71" s="2">
        <v>-1.295E-2</v>
      </c>
      <c r="C71" s="2">
        <v>-2.6780000000000002E-2</v>
      </c>
      <c r="D71" s="2">
        <v>-3.662E-2</v>
      </c>
      <c r="E71" s="2">
        <v>2.2766000000000002E-2</v>
      </c>
      <c r="F71" s="2">
        <v>-1.472E-2</v>
      </c>
      <c r="G71" s="2">
        <v>3.3923000000000002E-2</v>
      </c>
      <c r="H71" s="2">
        <v>-6.3939999999999997E-2</v>
      </c>
      <c r="I71" s="2">
        <v>-5.0619999999999998E-2</v>
      </c>
      <c r="J71" s="2">
        <v>-3.1690000000000003E-2</v>
      </c>
      <c r="K71" s="2">
        <v>-5.1860000000000003E-2</v>
      </c>
      <c r="L71" s="2">
        <v>1.643885</v>
      </c>
      <c r="M71" s="2">
        <v>0.39543</v>
      </c>
      <c r="O71" s="1" t="s">
        <v>215</v>
      </c>
      <c r="P71" s="2">
        <v>5.7742000000000002E-3</v>
      </c>
      <c r="Q71" s="2">
        <v>-5.2920689999999999E-2</v>
      </c>
      <c r="R71" s="2">
        <v>-1.0081E-2</v>
      </c>
      <c r="S71" s="2">
        <v>-5.3859999999999998E-2</v>
      </c>
      <c r="T71" s="2">
        <v>-8.1009999999999999E-2</v>
      </c>
      <c r="U71" s="2">
        <v>1.789483E-2</v>
      </c>
      <c r="V71" s="2">
        <v>6.5928999999999996E-3</v>
      </c>
      <c r="W71" s="2">
        <v>-8.8073799999999994E-2</v>
      </c>
      <c r="X71" s="2">
        <v>-3.9982999999999998E-2</v>
      </c>
      <c r="Y71" s="2">
        <v>-7.1120000000000003E-2</v>
      </c>
      <c r="Z71" s="2">
        <v>2.6333468779999998</v>
      </c>
      <c r="AA71" s="2">
        <v>-3.2759900000000002E-2</v>
      </c>
      <c r="AB71" s="2">
        <v>-1.264E-2</v>
      </c>
    </row>
    <row r="72" spans="1:28" ht="18.75">
      <c r="A72" s="4" t="s">
        <v>1392</v>
      </c>
      <c r="B72" s="2">
        <v>-6.2920000000000004E-2</v>
      </c>
      <c r="C72" s="2">
        <v>-1.9199999999999998E-2</v>
      </c>
      <c r="D72" s="2">
        <v>-6.9180000000000005E-2</v>
      </c>
      <c r="E72" s="2">
        <v>-5.3920000000000003E-2</v>
      </c>
      <c r="F72" s="2">
        <v>-3.9870000000000003E-2</v>
      </c>
      <c r="G72" s="2">
        <v>3.8080000000000002E-3</v>
      </c>
      <c r="H72" s="2">
        <v>-0.16789000000000001</v>
      </c>
      <c r="I72" s="2">
        <v>-4.9549999999999997E-2</v>
      </c>
      <c r="J72" s="2">
        <v>-3.4909999999999997E-2</v>
      </c>
      <c r="K72" s="2">
        <v>-4.3950000000000003E-2</v>
      </c>
      <c r="L72" s="2">
        <v>-7.9159999999999994E-2</v>
      </c>
      <c r="M72" s="2">
        <v>1.0110650000000001</v>
      </c>
      <c r="O72" s="4" t="s">
        <v>1373</v>
      </c>
      <c r="P72" s="2">
        <v>4.4129645000000002E-2</v>
      </c>
      <c r="Q72" s="2">
        <v>-2.504317E-2</v>
      </c>
      <c r="R72" s="2">
        <v>-1.8839000000000002E-2</v>
      </c>
      <c r="S72" s="2">
        <v>-1.196E-2</v>
      </c>
      <c r="T72" s="2">
        <v>-1.1209999999999999E-2</v>
      </c>
      <c r="U72" s="2">
        <v>5.8563699999999996E-3</v>
      </c>
      <c r="V72" s="2">
        <v>-9.6954999999999993E-3</v>
      </c>
      <c r="W72" s="2">
        <v>-5.4950600000000002E-2</v>
      </c>
      <c r="X72" s="2">
        <v>-1.8839000000000002E-2</v>
      </c>
      <c r="Y72" s="2">
        <v>-6.2549999999999994E-2</v>
      </c>
      <c r="Z72" s="2">
        <v>0.63488676399999999</v>
      </c>
      <c r="AA72" s="2">
        <v>6.4938200000000001E-2</v>
      </c>
      <c r="AB72" s="2">
        <v>1.5923E-2</v>
      </c>
    </row>
    <row r="73" spans="1:28" ht="18.75">
      <c r="O73" s="4" t="s">
        <v>1374</v>
      </c>
      <c r="P73" s="2">
        <v>5.3890061000000003E-2</v>
      </c>
      <c r="Q73" s="2">
        <v>6.8685209999999998E-3</v>
      </c>
      <c r="R73" s="2">
        <v>-2.0251999999999999E-2</v>
      </c>
      <c r="S73" s="2">
        <v>-1.102E-2</v>
      </c>
      <c r="T73" s="2">
        <v>-1.102E-2</v>
      </c>
      <c r="U73" s="2">
        <v>3.4227279999999999E-2</v>
      </c>
      <c r="V73" s="2">
        <v>1.8399100000000002E-2</v>
      </c>
      <c r="W73" s="2">
        <v>1.458952E-2</v>
      </c>
      <c r="X73" s="2">
        <v>-5.9779999999999998E-3</v>
      </c>
      <c r="Y73" s="2">
        <v>3.8774999999999997E-2</v>
      </c>
      <c r="Z73" s="2">
        <v>3.6961565000000002E-2</v>
      </c>
      <c r="AA73" s="2">
        <v>0.19512209999999999</v>
      </c>
      <c r="AB73" s="2">
        <v>0.799543</v>
      </c>
    </row>
  </sheetData>
  <mergeCells count="13">
    <mergeCell ref="X2:Z2"/>
    <mergeCell ref="P39:R39"/>
    <mergeCell ref="J38:R38"/>
    <mergeCell ref="B11:D11"/>
    <mergeCell ref="E11:G11"/>
    <mergeCell ref="B10:G10"/>
    <mergeCell ref="J19:L19"/>
    <mergeCell ref="M19:O19"/>
    <mergeCell ref="J18:O18"/>
    <mergeCell ref="J39:L39"/>
    <mergeCell ref="M39:O39"/>
    <mergeCell ref="Y38:AD38"/>
    <mergeCell ref="Z8:AB8"/>
  </mergeCells>
  <phoneticPr fontId="3" type="noConversion"/>
  <conditionalFormatting sqref="S3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{F7D0EFA8-3272-4F23-9D70-EFB2E8A34B06}</x14:id>
        </ext>
      </extLst>
    </cfRule>
  </conditionalFormatting>
  <conditionalFormatting sqref="S4">
    <cfRule type="dataBar" priority="17">
      <dataBar>
        <cfvo type="min"/>
        <cfvo type="max"/>
        <color rgb="FF156082"/>
      </dataBar>
    </cfRule>
    <cfRule type="dataBar" priority="18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{0C696683-21AE-4E3C-9905-5BB6B1ED54B4}</x14:id>
        </ext>
      </extLst>
    </cfRule>
  </conditionalFormatting>
  <conditionalFormatting sqref="S5">
    <cfRule type="dataBar" priority="29">
      <dataBar>
        <cfvo type="min"/>
        <cfvo type="max"/>
        <color rgb="FF156082"/>
      </dataBar>
    </cfRule>
    <cfRule type="dataBar" priority="30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{E552CAAC-A0F5-45C0-B8CE-B872195759A0}</x14:id>
        </ext>
      </extLst>
    </cfRule>
  </conditionalFormatting>
  <conditionalFormatting sqref="S6">
    <cfRule type="dataBar" priority="9">
      <dataBar>
        <cfvo type="min"/>
        <cfvo type="max"/>
        <color rgb="FF156082"/>
      </dataBar>
    </cfRule>
    <cfRule type="dataBar" priority="10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{312EE757-94F1-4F64-9F07-8D467FAAEB81}</x14:id>
        </ext>
      </extLst>
    </cfRule>
  </conditionalFormatting>
  <conditionalFormatting sqref="S7">
    <cfRule type="dataBar" priority="15">
      <dataBar>
        <cfvo type="min"/>
        <cfvo type="max"/>
        <color rgb="FF156082"/>
      </dataBar>
    </cfRule>
    <cfRule type="dataBar" priority="16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{B877E6E8-04DB-42A8-9AE8-EAA10D70FF30}</x14:id>
        </ext>
      </extLst>
    </cfRule>
  </conditionalFormatting>
  <conditionalFormatting sqref="S8">
    <cfRule type="dataBar" priority="7">
      <dataBar>
        <cfvo type="min"/>
        <cfvo type="max"/>
        <color rgb="FF156082"/>
      </dataBar>
    </cfRule>
    <cfRule type="dataBar" priority="8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{4DD94B8C-B0CA-4185-BD65-1AA667999522}</x14:id>
        </ext>
      </extLst>
    </cfRule>
  </conditionalFormatting>
  <conditionalFormatting sqref="S9">
    <cfRule type="dataBar" priority="19">
      <dataBar>
        <cfvo type="min"/>
        <cfvo type="max"/>
        <color rgb="FF156082"/>
      </dataBar>
    </cfRule>
    <cfRule type="dataBar" priority="20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{A169F9AF-B32F-4BCA-B6B5-4DAA5956A19F}</x14:id>
        </ext>
      </extLst>
    </cfRule>
  </conditionalFormatting>
  <conditionalFormatting sqref="S10">
    <cfRule type="dataBar" priority="3">
      <dataBar>
        <cfvo type="min"/>
        <cfvo type="max"/>
        <color rgb="FF156082"/>
      </dataBar>
    </cfRule>
    <cfRule type="dataBar" priority="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{42136DE8-0742-4BAA-9716-E19D6B9712EB}</x14:id>
        </ext>
      </extLst>
    </cfRule>
  </conditionalFormatting>
  <conditionalFormatting sqref="S11">
    <cfRule type="dataBar" priority="21">
      <dataBar>
        <cfvo type="min"/>
        <cfvo type="max"/>
        <color rgb="FF156082"/>
      </dataBar>
    </cfRule>
    <cfRule type="dataBar" priority="2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{62405F43-0F28-43DF-A49F-FD54C524B4B4}</x14:id>
        </ext>
      </extLst>
    </cfRule>
  </conditionalFormatting>
  <conditionalFormatting sqref="S12">
    <cfRule type="dataBar" priority="5">
      <dataBar>
        <cfvo type="min"/>
        <cfvo type="max"/>
        <color rgb="FF156082"/>
      </dataBar>
    </cfRule>
    <cfRule type="dataBar" priority="6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{FF439E17-547F-4CCC-900B-A1BFF4C2C47B}</x14:id>
        </ext>
      </extLst>
    </cfRule>
  </conditionalFormatting>
  <conditionalFormatting sqref="S13">
    <cfRule type="dataBar" priority="11">
      <dataBar>
        <cfvo type="min"/>
        <cfvo type="max"/>
        <color rgb="FF156082"/>
      </dataBar>
    </cfRule>
    <cfRule type="dataBar" priority="1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{E03E3B84-01A5-4A55-81CC-0BF3868A5866}</x14:id>
        </ext>
      </extLst>
    </cfRule>
  </conditionalFormatting>
  <conditionalFormatting sqref="S14">
    <cfRule type="dataBar" priority="13">
      <dataBar>
        <cfvo type="min"/>
        <cfvo type="max"/>
        <color rgb="FF156082"/>
      </dataBar>
    </cfRule>
    <cfRule type="dataBar" priority="1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{9BA2141D-0190-4B4D-A137-07D411BCBC65}</x14:id>
        </ext>
      </extLst>
    </cfRule>
  </conditionalFormatting>
  <conditionalFormatting sqref="S15">
    <cfRule type="dataBar" priority="27">
      <dataBar>
        <cfvo type="min"/>
        <cfvo type="max"/>
        <color rgb="FF156082"/>
      </dataBar>
    </cfRule>
    <cfRule type="dataBar" priority="28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{3F5AEA71-25FF-4EFF-816D-9F17C178387D}</x14:id>
        </ext>
      </extLst>
    </cfRule>
  </conditionalFormatting>
  <conditionalFormatting sqref="S16">
    <cfRule type="dataBar" priority="25">
      <dataBar>
        <cfvo type="min"/>
        <cfvo type="max"/>
        <color rgb="FF156082"/>
      </dataBar>
    </cfRule>
    <cfRule type="dataBar" priority="26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{7A43430F-E260-4FA4-9139-92AC10B6D576}</x14:id>
        </ext>
      </extLst>
    </cfRule>
  </conditionalFormatting>
  <conditionalFormatting sqref="S17">
    <cfRule type="dataBar" priority="23">
      <dataBar>
        <cfvo type="min"/>
        <cfvo type="max"/>
        <color rgb="FF156082"/>
      </dataBar>
    </cfRule>
    <cfRule type="dataBar" priority="2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{19B086EA-1908-417D-9C4E-42C9BF3A3532}</x14:id>
        </ext>
      </extLst>
    </cfRule>
  </conditionalFormatting>
  <conditionalFormatting sqref="S18">
    <cfRule type="dataBar" priority="33">
      <dataBar>
        <cfvo type="min"/>
        <cfvo type="max"/>
        <color rgb="FF156082"/>
      </dataBar>
    </cfRule>
    <cfRule type="dataBar" priority="3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{DEBC8192-7F9C-40F7-BE85-5AF15C18B7DD}</x14:id>
        </ext>
      </extLst>
    </cfRule>
  </conditionalFormatting>
  <conditionalFormatting sqref="S19">
    <cfRule type="dataBar" priority="31">
      <dataBar>
        <cfvo type="min"/>
        <cfvo type="max"/>
        <color rgb="FF156082"/>
      </dataBar>
    </cfRule>
    <cfRule type="dataBar" priority="3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{7FF54A6A-15FD-4B9D-82A5-0AB2AAEDD614}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D0EFA8-3272-4F23-9D70-EFB2E8A34B06}">
            <x14:dataBar>
              <x14:cfvo type="min"/>
              <x14:cfvo type="max"/>
              <x14:negativeFillColor auto="1"/>
              <x14:axisColor auto="1"/>
            </x14:dataBar>
          </x14:cfRule>
          <xm:sqref>S3</xm:sqref>
        </x14:conditionalFormatting>
        <x14:conditionalFormatting xmlns:xm="http://schemas.microsoft.com/office/excel/2006/main">
          <x14:cfRule type="dataBar" id="{0C696683-21AE-4E3C-9905-5BB6B1ED54B4}">
            <x14:dataBar>
              <x14:cfvo type="min"/>
              <x14:cfvo type="max"/>
              <x14:negativeFillColor auto="1"/>
              <x14:axisColor auto="1"/>
            </x14:dataBar>
          </x14:cfRule>
          <xm:sqref>S4</xm:sqref>
        </x14:conditionalFormatting>
        <x14:conditionalFormatting xmlns:xm="http://schemas.microsoft.com/office/excel/2006/main">
          <x14:cfRule type="dataBar" id="{E552CAAC-A0F5-45C0-B8CE-B872195759A0}">
            <x14:dataBar>
              <x14:cfvo type="min"/>
              <x14:cfvo type="max"/>
              <x14:negativeFillColor auto="1"/>
              <x14:axisColor auto="1"/>
            </x14:dataBar>
          </x14:cfRule>
          <xm:sqref>S5</xm:sqref>
        </x14:conditionalFormatting>
        <x14:conditionalFormatting xmlns:xm="http://schemas.microsoft.com/office/excel/2006/main">
          <x14:cfRule type="dataBar" id="{312EE757-94F1-4F64-9F07-8D467FAAEB81}">
            <x14:dataBar>
              <x14:cfvo type="min"/>
              <x14:cfvo type="max"/>
              <x14:negativeFillColor auto="1"/>
              <x14:axisColor auto="1"/>
            </x14:dataBar>
          </x14:cfRule>
          <xm:sqref>S6</xm:sqref>
        </x14:conditionalFormatting>
        <x14:conditionalFormatting xmlns:xm="http://schemas.microsoft.com/office/excel/2006/main">
          <x14:cfRule type="dataBar" id="{B877E6E8-04DB-42A8-9AE8-EAA10D70FF30}">
            <x14:dataBar>
              <x14:cfvo type="min"/>
              <x14:cfvo type="max"/>
              <x14:negativeFillColor auto="1"/>
              <x14:axisColor auto="1"/>
            </x14:dataBar>
          </x14:cfRule>
          <xm:sqref>S7</xm:sqref>
        </x14:conditionalFormatting>
        <x14:conditionalFormatting xmlns:xm="http://schemas.microsoft.com/office/excel/2006/main">
          <x14:cfRule type="dataBar" id="{4DD94B8C-B0CA-4185-BD65-1AA667999522}">
            <x14:dataBar>
              <x14:cfvo type="min"/>
              <x14:cfvo type="max"/>
              <x14:negativeFillColor auto="1"/>
              <x14:axisColor auto="1"/>
            </x14:dataBar>
          </x14:cfRule>
          <xm:sqref>S8</xm:sqref>
        </x14:conditionalFormatting>
        <x14:conditionalFormatting xmlns:xm="http://schemas.microsoft.com/office/excel/2006/main">
          <x14:cfRule type="dataBar" id="{A169F9AF-B32F-4BCA-B6B5-4DAA5956A19F}">
            <x14:dataBar>
              <x14:cfvo type="min"/>
              <x14:cfvo type="max"/>
              <x14:negativeFillColor auto="1"/>
              <x14:axisColor auto="1"/>
            </x14:dataBar>
          </x14:cfRule>
          <xm:sqref>S9</xm:sqref>
        </x14:conditionalFormatting>
        <x14:conditionalFormatting xmlns:xm="http://schemas.microsoft.com/office/excel/2006/main">
          <x14:cfRule type="dataBar" id="{42136DE8-0742-4BAA-9716-E19D6B9712EB}">
            <x14:dataBar>
              <x14:cfvo type="min"/>
              <x14:cfvo type="max"/>
              <x14:negativeFillColor auto="1"/>
              <x14:axisColor auto="1"/>
            </x14:dataBar>
          </x14:cfRule>
          <xm:sqref>S10</xm:sqref>
        </x14:conditionalFormatting>
        <x14:conditionalFormatting xmlns:xm="http://schemas.microsoft.com/office/excel/2006/main">
          <x14:cfRule type="dataBar" id="{62405F43-0F28-43DF-A49F-FD54C524B4B4}">
            <x14:dataBar>
              <x14:cfvo type="min"/>
              <x14:cfvo type="max"/>
              <x14:negativeFillColor auto="1"/>
              <x14:axisColor auto="1"/>
            </x14:dataBar>
          </x14:cfRule>
          <xm:sqref>S11</xm:sqref>
        </x14:conditionalFormatting>
        <x14:conditionalFormatting xmlns:xm="http://schemas.microsoft.com/office/excel/2006/main">
          <x14:cfRule type="dataBar" id="{FF439E17-547F-4CCC-900B-A1BFF4C2C47B}">
            <x14:dataBar>
              <x14:cfvo type="min"/>
              <x14:cfvo type="max"/>
              <x14:negativeFillColor auto="1"/>
              <x14:axisColor auto="1"/>
            </x14:dataBar>
          </x14:cfRule>
          <xm:sqref>S12</xm:sqref>
        </x14:conditionalFormatting>
        <x14:conditionalFormatting xmlns:xm="http://schemas.microsoft.com/office/excel/2006/main">
          <x14:cfRule type="dataBar" id="{E03E3B84-01A5-4A55-81CC-0BF3868A5866}">
            <x14:dataBar>
              <x14:cfvo type="min"/>
              <x14:cfvo type="max"/>
              <x14:negativeFillColor auto="1"/>
              <x14:axisColor auto="1"/>
            </x14:dataBar>
          </x14:cfRule>
          <xm:sqref>S13</xm:sqref>
        </x14:conditionalFormatting>
        <x14:conditionalFormatting xmlns:xm="http://schemas.microsoft.com/office/excel/2006/main">
          <x14:cfRule type="dataBar" id="{9BA2141D-0190-4B4D-A137-07D411BCBC65}">
            <x14:dataBar>
              <x14:cfvo type="min"/>
              <x14:cfvo type="max"/>
              <x14:negativeFillColor auto="1"/>
              <x14:axisColor auto="1"/>
            </x14:dataBar>
          </x14:cfRule>
          <xm:sqref>S14</xm:sqref>
        </x14:conditionalFormatting>
        <x14:conditionalFormatting xmlns:xm="http://schemas.microsoft.com/office/excel/2006/main">
          <x14:cfRule type="dataBar" id="{3F5AEA71-25FF-4EFF-816D-9F17C178387D}">
            <x14:dataBar>
              <x14:cfvo type="min"/>
              <x14:cfvo type="max"/>
              <x14:negativeFillColor auto="1"/>
              <x14:axisColor auto="1"/>
            </x14:dataBar>
          </x14:cfRule>
          <xm:sqref>S15</xm:sqref>
        </x14:conditionalFormatting>
        <x14:conditionalFormatting xmlns:xm="http://schemas.microsoft.com/office/excel/2006/main">
          <x14:cfRule type="dataBar" id="{7A43430F-E260-4FA4-9139-92AC10B6D576}">
            <x14:dataBar>
              <x14:cfvo type="min"/>
              <x14:cfvo type="max"/>
              <x14:negativeFillColor auto="1"/>
              <x14:axisColor auto="1"/>
            </x14:dataBar>
          </x14:cfRule>
          <xm:sqref>S16</xm:sqref>
        </x14:conditionalFormatting>
        <x14:conditionalFormatting xmlns:xm="http://schemas.microsoft.com/office/excel/2006/main">
          <x14:cfRule type="dataBar" id="{19B086EA-1908-417D-9C4E-42C9BF3A3532}">
            <x14:dataBar>
              <x14:cfvo type="min"/>
              <x14:cfvo type="max"/>
              <x14:negativeFillColor auto="1"/>
              <x14:axisColor auto="1"/>
            </x14:dataBar>
          </x14:cfRule>
          <xm:sqref>S17</xm:sqref>
        </x14:conditionalFormatting>
        <x14:conditionalFormatting xmlns:xm="http://schemas.microsoft.com/office/excel/2006/main">
          <x14:cfRule type="dataBar" id="{DEBC8192-7F9C-40F7-BE85-5AF15C18B7DD}">
            <x14:dataBar>
              <x14:cfvo type="min"/>
              <x14:cfvo type="max"/>
              <x14:negativeFillColor auto="1"/>
              <x14:axisColor auto="1"/>
            </x14:dataBar>
          </x14:cfRule>
          <xm:sqref>S18</xm:sqref>
        </x14:conditionalFormatting>
        <x14:conditionalFormatting xmlns:xm="http://schemas.microsoft.com/office/excel/2006/main">
          <x14:cfRule type="dataBar" id="{7FF54A6A-15FD-4B9D-82A5-0AB2AAEDD614}">
            <x14:dataBar>
              <x14:cfvo type="min"/>
              <x14:cfvo type="max"/>
              <x14:negativeFillColor auto="1"/>
              <x14:axisColor auto="1"/>
            </x14:dataBar>
          </x14:cfRule>
          <xm:sqref>S19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5286-5ACC-46CE-A3C6-03EF79AEFA32}">
  <dimension ref="A1:AO752"/>
  <sheetViews>
    <sheetView topLeftCell="A11" zoomScale="80" zoomScaleNormal="80" workbookViewId="0">
      <selection activeCell="O33" sqref="O33"/>
    </sheetView>
  </sheetViews>
  <sheetFormatPr defaultColWidth="8.625" defaultRowHeight="14.25"/>
  <cols>
    <col min="1" max="1" width="14.875" style="4" customWidth="1"/>
    <col min="2" max="2" width="11.5" style="4" customWidth="1"/>
    <col min="3" max="3" width="10.625" style="4" customWidth="1"/>
    <col min="4" max="4" width="11.625" style="4" customWidth="1"/>
    <col min="5" max="5" width="13.125" style="4" customWidth="1"/>
    <col min="6" max="6" width="11.875" style="4" customWidth="1"/>
    <col min="7" max="8" width="12.625" style="4" customWidth="1"/>
    <col min="9" max="9" width="12.125" style="4" customWidth="1"/>
    <col min="10" max="10" width="12.625" style="4" customWidth="1"/>
    <col min="11" max="11" width="10.875" style="4" customWidth="1"/>
    <col min="12" max="12" width="12.125" style="4" customWidth="1"/>
    <col min="13" max="13" width="11.875" style="4" customWidth="1"/>
    <col min="14" max="14" width="12.125" style="4" customWidth="1"/>
    <col min="15" max="15" width="11.75" style="4" customWidth="1"/>
    <col min="16" max="23" width="8.75" style="4" bestFit="1" customWidth="1"/>
    <col min="24" max="24" width="10.75" style="4" bestFit="1" customWidth="1"/>
    <col min="25" max="32" width="8.75" style="4" bestFit="1" customWidth="1"/>
    <col min="33" max="16384" width="8.625" style="4"/>
  </cols>
  <sheetData>
    <row r="1" spans="1:41" ht="16.5">
      <c r="A1" s="68" t="s">
        <v>1579</v>
      </c>
      <c r="B1" s="68" t="s">
        <v>3397</v>
      </c>
      <c r="C1" s="68" t="s">
        <v>3398</v>
      </c>
      <c r="D1" s="68" t="s">
        <v>3399</v>
      </c>
      <c r="E1" s="68" t="s">
        <v>3400</v>
      </c>
      <c r="F1" s="68" t="s">
        <v>3401</v>
      </c>
      <c r="G1" s="68" t="s">
        <v>3402</v>
      </c>
      <c r="H1" s="68" t="s">
        <v>3403</v>
      </c>
      <c r="I1" s="68" t="s">
        <v>3404</v>
      </c>
      <c r="J1" s="68" t="s">
        <v>3405</v>
      </c>
      <c r="K1" s="68" t="s">
        <v>3406</v>
      </c>
      <c r="L1" s="68" t="s">
        <v>3407</v>
      </c>
      <c r="M1" s="68" t="s">
        <v>3408</v>
      </c>
      <c r="N1" s="68" t="s">
        <v>3409</v>
      </c>
      <c r="O1" s="68" t="s">
        <v>3410</v>
      </c>
      <c r="AK1" s="244" t="s">
        <v>1580</v>
      </c>
      <c r="AL1" s="244"/>
      <c r="AM1" s="244"/>
      <c r="AN1" s="244"/>
      <c r="AO1" s="244"/>
    </row>
    <row r="2" spans="1:41" ht="16.5">
      <c r="A2" s="68" t="s">
        <v>250</v>
      </c>
      <c r="B2" s="114"/>
      <c r="C2" s="196">
        <v>0.89146252104124857</v>
      </c>
      <c r="D2" s="116">
        <v>0.81701999999999997</v>
      </c>
      <c r="E2" s="198"/>
      <c r="F2" s="201"/>
      <c r="G2" s="116">
        <v>0.68646499999999999</v>
      </c>
      <c r="H2" s="198"/>
      <c r="I2" s="192"/>
      <c r="J2" s="192"/>
      <c r="K2" s="192"/>
      <c r="L2" s="192"/>
      <c r="M2" s="192"/>
      <c r="N2" s="114"/>
      <c r="O2" s="192"/>
      <c r="P2" s="2"/>
      <c r="Q2" s="4" t="s">
        <v>3378</v>
      </c>
      <c r="AK2" s="4" t="s">
        <v>1127</v>
      </c>
      <c r="AL2" s="4" t="s">
        <v>1128</v>
      </c>
      <c r="AM2" s="4" t="s">
        <v>1129</v>
      </c>
      <c r="AN2" s="4" t="s">
        <v>1130</v>
      </c>
      <c r="AO2" s="4" t="s">
        <v>1131</v>
      </c>
    </row>
    <row r="3" spans="1:41" ht="18.75">
      <c r="A3" s="68" t="s">
        <v>3385</v>
      </c>
      <c r="B3" s="114"/>
      <c r="C3" s="115">
        <v>0.93302670483193506</v>
      </c>
      <c r="D3" s="205"/>
      <c r="E3" s="197"/>
      <c r="F3" s="116">
        <v>0.91854100000000005</v>
      </c>
      <c r="G3" s="167"/>
      <c r="H3" s="192"/>
      <c r="I3" s="192"/>
      <c r="J3" s="192"/>
      <c r="K3" s="192"/>
      <c r="L3" s="192"/>
      <c r="M3" s="192"/>
      <c r="N3" s="192"/>
      <c r="O3" s="210">
        <v>0.88818399999999997</v>
      </c>
      <c r="P3" s="2"/>
      <c r="AK3" s="4">
        <v>0.49652800000000002</v>
      </c>
      <c r="AL3" s="4">
        <v>2.1051E-2</v>
      </c>
      <c r="AM3" s="4" t="s">
        <v>1111</v>
      </c>
      <c r="AN3" s="4" t="s">
        <v>1112</v>
      </c>
      <c r="AO3" s="4" t="s">
        <v>1384</v>
      </c>
    </row>
    <row r="4" spans="1:41" ht="18.75">
      <c r="A4" s="68" t="s">
        <v>3386</v>
      </c>
      <c r="B4" s="203">
        <v>0.92790488624380107</v>
      </c>
      <c r="C4" s="115">
        <v>0.95612016027340319</v>
      </c>
      <c r="D4" s="203">
        <v>0.91667333787015126</v>
      </c>
      <c r="E4" s="203">
        <v>0.94088076092445605</v>
      </c>
      <c r="F4" s="209">
        <v>0.94001656332989536</v>
      </c>
      <c r="G4" s="115">
        <v>0.95121008812173768</v>
      </c>
      <c r="H4" s="115">
        <v>0.80357284339976431</v>
      </c>
      <c r="I4" s="115">
        <v>0.98655078222954007</v>
      </c>
      <c r="J4" s="115">
        <v>0.96093209277868374</v>
      </c>
      <c r="K4" s="115">
        <v>0.92780710375601294</v>
      </c>
      <c r="L4" s="115">
        <v>0.93238108631617256</v>
      </c>
      <c r="M4" s="115">
        <v>0.91696144543370028</v>
      </c>
      <c r="N4" s="115">
        <v>0.94956631086722054</v>
      </c>
      <c r="O4" s="115">
        <v>0.71072474787693996</v>
      </c>
      <c r="P4" s="2"/>
      <c r="AK4" s="4">
        <v>0.49652800000000002</v>
      </c>
      <c r="AL4" s="4">
        <v>2.04719999999999E-2</v>
      </c>
      <c r="AM4" s="4" t="s">
        <v>1113</v>
      </c>
      <c r="AN4" s="4" t="s">
        <v>1112</v>
      </c>
      <c r="AO4" s="4" t="s">
        <v>1384</v>
      </c>
    </row>
    <row r="5" spans="1:41" ht="18.75">
      <c r="A5" s="68" t="s">
        <v>3387</v>
      </c>
      <c r="B5" s="116" t="s">
        <v>3382</v>
      </c>
      <c r="C5" s="199">
        <v>0.9393252361798653</v>
      </c>
      <c r="D5" s="116">
        <v>0.94847300000000001</v>
      </c>
      <c r="E5" s="116" t="s">
        <v>3383</v>
      </c>
      <c r="F5" s="162"/>
      <c r="G5" s="114"/>
      <c r="H5" s="114"/>
      <c r="I5" s="114"/>
      <c r="J5" s="114"/>
      <c r="K5" s="114"/>
      <c r="L5" s="114"/>
      <c r="M5" s="114"/>
      <c r="N5" s="114"/>
      <c r="O5" s="114"/>
      <c r="P5" s="2"/>
      <c r="AK5" s="4">
        <v>1.630787</v>
      </c>
      <c r="AL5" s="4">
        <v>0.15328499999999901</v>
      </c>
      <c r="AM5" s="4" t="s">
        <v>1113</v>
      </c>
      <c r="AN5" s="4" t="s">
        <v>1112</v>
      </c>
      <c r="AO5" s="4" t="s">
        <v>1384</v>
      </c>
    </row>
    <row r="6" spans="1:41" ht="18.75">
      <c r="A6" s="68" t="s">
        <v>3388</v>
      </c>
      <c r="B6" s="116">
        <v>0.88649100000000003</v>
      </c>
      <c r="C6" s="200">
        <v>0.94496088857751093</v>
      </c>
      <c r="D6" s="207"/>
      <c r="E6" s="208"/>
      <c r="F6" s="116">
        <v>0.68051099999999998</v>
      </c>
      <c r="G6" s="198"/>
      <c r="H6" s="192"/>
      <c r="I6" s="192"/>
      <c r="J6" s="114"/>
      <c r="K6" s="192"/>
      <c r="L6" s="192"/>
      <c r="M6" s="192"/>
      <c r="N6" s="192"/>
      <c r="O6" s="192"/>
      <c r="P6" s="2"/>
      <c r="AK6" s="4">
        <v>4.6892360000000002</v>
      </c>
      <c r="AL6" s="4">
        <v>3.123481</v>
      </c>
      <c r="AM6" s="4" t="s">
        <v>1113</v>
      </c>
      <c r="AN6" s="4" t="s">
        <v>1112</v>
      </c>
      <c r="AO6" s="4" t="s">
        <v>1384</v>
      </c>
    </row>
    <row r="7" spans="1:41" ht="18.75">
      <c r="A7" s="68" t="s">
        <v>3389</v>
      </c>
      <c r="B7" s="207"/>
      <c r="C7" s="114" t="s">
        <v>3381</v>
      </c>
      <c r="D7" s="114"/>
      <c r="E7" s="192"/>
      <c r="F7" s="207"/>
      <c r="G7" s="192"/>
      <c r="H7" s="192"/>
      <c r="I7" s="192"/>
      <c r="J7" s="115">
        <v>0.93534836436742752</v>
      </c>
      <c r="K7" s="192"/>
      <c r="L7" s="192"/>
      <c r="M7" s="192"/>
      <c r="N7" s="192"/>
      <c r="O7" s="192"/>
      <c r="P7" s="2"/>
      <c r="AK7" s="4">
        <v>8.1556709999999999</v>
      </c>
      <c r="AL7" s="4">
        <v>11.468389999999999</v>
      </c>
      <c r="AM7" s="4" t="s">
        <v>1113</v>
      </c>
      <c r="AN7" s="4" t="s">
        <v>1112</v>
      </c>
      <c r="AO7" s="4" t="s">
        <v>1384</v>
      </c>
    </row>
    <row r="8" spans="1:41" ht="18.75">
      <c r="A8" s="68" t="s">
        <v>3390</v>
      </c>
      <c r="B8" s="204"/>
      <c r="C8" s="202" t="s">
        <v>3381</v>
      </c>
      <c r="D8" s="192"/>
      <c r="E8" s="115">
        <v>0.805605938844832</v>
      </c>
      <c r="F8" s="192"/>
      <c r="G8" s="192"/>
      <c r="H8" s="192"/>
      <c r="I8" s="192"/>
      <c r="J8" s="192"/>
      <c r="K8" s="202"/>
      <c r="L8" s="192"/>
      <c r="M8" s="192"/>
      <c r="N8" s="192"/>
      <c r="O8" s="192"/>
      <c r="P8" s="2"/>
      <c r="AK8" s="4">
        <v>0.48303699999999999</v>
      </c>
      <c r="AL8" s="4">
        <v>2.4195999999999902E-2</v>
      </c>
      <c r="AM8" s="4" t="s">
        <v>1113</v>
      </c>
      <c r="AN8" s="4" t="s">
        <v>1112</v>
      </c>
      <c r="AO8" s="4" t="s">
        <v>1384</v>
      </c>
    </row>
    <row r="9" spans="1:41" ht="18.75">
      <c r="A9" s="68" t="s">
        <v>3391</v>
      </c>
      <c r="B9" s="116" t="s">
        <v>3384</v>
      </c>
      <c r="C9" s="116">
        <v>0.69175799999999998</v>
      </c>
      <c r="D9" s="198"/>
      <c r="E9" s="192"/>
      <c r="F9" s="192"/>
      <c r="G9" s="192"/>
      <c r="H9" s="192"/>
      <c r="I9" s="192"/>
      <c r="J9" s="197"/>
      <c r="K9" s="116">
        <v>0.92029899999999998</v>
      </c>
      <c r="L9" s="198"/>
      <c r="M9" s="193">
        <v>0.7493909606861876</v>
      </c>
      <c r="N9" s="192"/>
      <c r="O9" s="192"/>
      <c r="P9" s="2"/>
      <c r="AK9" s="4">
        <v>1.7534149999999999</v>
      </c>
      <c r="AL9" s="4">
        <v>0.156667999999999</v>
      </c>
      <c r="AM9" s="4" t="s">
        <v>1113</v>
      </c>
      <c r="AN9" s="4" t="s">
        <v>1112</v>
      </c>
      <c r="AO9" s="4" t="s">
        <v>1384</v>
      </c>
    </row>
    <row r="10" spans="1:41" ht="18.75">
      <c r="A10" s="68" t="s">
        <v>3392</v>
      </c>
      <c r="B10" s="207"/>
      <c r="C10" s="209">
        <v>0.94084472282606546</v>
      </c>
      <c r="D10" s="192"/>
      <c r="E10" s="202"/>
      <c r="F10" s="192"/>
      <c r="G10" s="192"/>
      <c r="H10" s="192"/>
      <c r="I10" s="192"/>
      <c r="J10" s="192"/>
      <c r="K10" s="205"/>
      <c r="L10" s="192"/>
      <c r="M10" s="192"/>
      <c r="N10" s="192"/>
      <c r="O10" s="192"/>
      <c r="P10" s="2"/>
      <c r="AK10" s="4">
        <v>1.7534149999999999</v>
      </c>
      <c r="AL10" s="4">
        <v>0.203371</v>
      </c>
      <c r="AM10" s="4" t="s">
        <v>1113</v>
      </c>
      <c r="AN10" s="4" t="s">
        <v>1112</v>
      </c>
      <c r="AO10" s="4" t="s">
        <v>1384</v>
      </c>
    </row>
    <row r="11" spans="1:41" ht="18.75">
      <c r="A11" s="68" t="s">
        <v>3393</v>
      </c>
      <c r="B11" s="114"/>
      <c r="C11" s="115">
        <v>0.86681071876614513</v>
      </c>
      <c r="D11" s="201"/>
      <c r="E11" s="116">
        <v>0.96758500000000003</v>
      </c>
      <c r="F11" s="198"/>
      <c r="G11" s="192"/>
      <c r="H11" s="194"/>
      <c r="I11" s="195"/>
      <c r="J11" s="195"/>
      <c r="K11" s="192"/>
      <c r="L11" s="192"/>
      <c r="M11" s="192"/>
      <c r="N11" s="192"/>
      <c r="O11" s="192"/>
      <c r="P11" s="2"/>
      <c r="AK11" s="4">
        <v>4.485093</v>
      </c>
      <c r="AL11" s="4">
        <v>3.2552140000000001</v>
      </c>
      <c r="AM11" s="4" t="s">
        <v>1113</v>
      </c>
      <c r="AN11" s="4" t="s">
        <v>1112</v>
      </c>
      <c r="AO11" s="4" t="s">
        <v>1384</v>
      </c>
    </row>
    <row r="12" spans="1:41" ht="18.75">
      <c r="A12" s="68" t="s">
        <v>3394</v>
      </c>
      <c r="B12" s="114"/>
      <c r="C12" s="196">
        <v>0.86572597832453591</v>
      </c>
      <c r="D12" s="116">
        <v>0.93185600000000002</v>
      </c>
      <c r="E12" s="206"/>
      <c r="F12" s="192"/>
      <c r="G12" s="192"/>
      <c r="H12" s="195"/>
      <c r="I12" s="194"/>
      <c r="J12" s="194"/>
      <c r="K12" s="202"/>
      <c r="L12" s="192"/>
      <c r="M12" s="192"/>
      <c r="N12" s="195"/>
      <c r="O12" s="192"/>
      <c r="P12" s="2"/>
      <c r="AK12" s="4">
        <v>4.485093</v>
      </c>
      <c r="AL12" s="4">
        <v>3.2669630000000001</v>
      </c>
      <c r="AM12" s="4" t="s">
        <v>1113</v>
      </c>
      <c r="AN12" s="4" t="s">
        <v>1112</v>
      </c>
      <c r="AO12" s="4" t="s">
        <v>1384</v>
      </c>
    </row>
    <row r="13" spans="1:41" ht="18.75">
      <c r="A13" s="68" t="s">
        <v>251</v>
      </c>
      <c r="B13" s="114"/>
      <c r="C13" s="115">
        <v>0.83304538037125675</v>
      </c>
      <c r="D13" s="205"/>
      <c r="E13" s="192"/>
      <c r="F13" s="192"/>
      <c r="G13" s="192"/>
      <c r="H13" s="192"/>
      <c r="I13" s="192"/>
      <c r="J13" s="197"/>
      <c r="K13" s="116">
        <v>0.32136399999999998</v>
      </c>
      <c r="L13" s="198"/>
      <c r="M13" s="192"/>
      <c r="N13" s="192"/>
      <c r="O13" s="192"/>
      <c r="P13" s="2"/>
      <c r="AK13" s="4">
        <v>7.7058309999999999</v>
      </c>
      <c r="AL13" s="4">
        <v>10.395759999999999</v>
      </c>
      <c r="AM13" s="4" t="s">
        <v>1113</v>
      </c>
      <c r="AN13" s="4" t="s">
        <v>1112</v>
      </c>
      <c r="AO13" s="4" t="s">
        <v>1384</v>
      </c>
    </row>
    <row r="14" spans="1:41" ht="16.5">
      <c r="A14" s="68" t="s">
        <v>3395</v>
      </c>
      <c r="B14" s="114"/>
      <c r="C14" s="115">
        <v>0.73505814248462253</v>
      </c>
      <c r="D14" s="192"/>
      <c r="E14" s="192"/>
      <c r="F14" s="192"/>
      <c r="G14" s="192"/>
      <c r="H14" s="192"/>
      <c r="I14" s="192"/>
      <c r="J14" s="192"/>
      <c r="K14" s="205"/>
      <c r="L14" s="192"/>
      <c r="M14" s="192"/>
      <c r="N14" s="192"/>
      <c r="O14" s="192"/>
      <c r="P14" s="2"/>
    </row>
    <row r="15" spans="1:41" ht="18.75">
      <c r="A15" s="68" t="s">
        <v>3396</v>
      </c>
      <c r="B15" s="114"/>
      <c r="C15" s="115">
        <v>0.73822837532983399</v>
      </c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2"/>
      <c r="R15" s="4" t="s">
        <v>3383</v>
      </c>
      <c r="AK15" s="4">
        <v>7.7058309999999999</v>
      </c>
      <c r="AL15" s="4">
        <v>10.2048399999999</v>
      </c>
      <c r="AM15" s="4" t="s">
        <v>1113</v>
      </c>
      <c r="AN15" s="4" t="s">
        <v>1112</v>
      </c>
      <c r="AO15" s="4" t="s">
        <v>1384</v>
      </c>
    </row>
    <row r="16" spans="1:41" ht="18.7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AK16" s="4">
        <v>0.50113399999999997</v>
      </c>
      <c r="AL16" s="4">
        <v>2.21019999999999E-2</v>
      </c>
      <c r="AM16" s="4" t="s">
        <v>1113</v>
      </c>
      <c r="AN16" s="4" t="s">
        <v>1112</v>
      </c>
      <c r="AO16" s="4" t="s">
        <v>1384</v>
      </c>
    </row>
    <row r="17" spans="1:41" ht="18.75">
      <c r="B17" s="61" t="s">
        <v>1457</v>
      </c>
      <c r="C17" s="113"/>
      <c r="D17" s="113"/>
      <c r="E17" s="113"/>
      <c r="F17" s="113" t="s">
        <v>1458</v>
      </c>
      <c r="G17" s="2"/>
      <c r="H17" s="2"/>
      <c r="I17" s="2"/>
      <c r="J17" s="2"/>
      <c r="K17" s="2"/>
      <c r="L17" s="2"/>
      <c r="M17" s="2"/>
      <c r="N17" s="2"/>
      <c r="O17" s="2"/>
      <c r="P17" s="2"/>
      <c r="AK17" s="4">
        <v>0.50113399999999997</v>
      </c>
      <c r="AL17" s="4">
        <v>1.98339999999999E-2</v>
      </c>
      <c r="AM17" s="4" t="s">
        <v>1113</v>
      </c>
      <c r="AN17" s="4" t="s">
        <v>1112</v>
      </c>
      <c r="AO17" s="4" t="s">
        <v>1384</v>
      </c>
    </row>
    <row r="18" spans="1:41" ht="18.7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AK18" s="4">
        <v>1.9580500000000001</v>
      </c>
      <c r="AL18" s="4">
        <v>0.15673899999999999</v>
      </c>
      <c r="AM18" s="4" t="s">
        <v>1113</v>
      </c>
      <c r="AN18" s="4" t="s">
        <v>1112</v>
      </c>
      <c r="AO18" s="4" t="s">
        <v>1384</v>
      </c>
    </row>
    <row r="19" spans="1:41" ht="19.5" thickBot="1">
      <c r="A19" s="68" t="s">
        <v>1578</v>
      </c>
      <c r="H19" s="2"/>
      <c r="I19" s="2"/>
      <c r="J19" s="2"/>
      <c r="K19" s="2"/>
      <c r="L19" s="2"/>
      <c r="M19" s="2"/>
      <c r="N19" s="2"/>
      <c r="O19" s="2"/>
      <c r="P19" s="2"/>
      <c r="AK19" s="4">
        <v>1.9580500000000001</v>
      </c>
      <c r="AL19" s="4">
        <v>0.18026499999999901</v>
      </c>
      <c r="AM19" s="4" t="s">
        <v>1113</v>
      </c>
      <c r="AN19" s="4" t="s">
        <v>1112</v>
      </c>
      <c r="AO19" s="4" t="s">
        <v>1384</v>
      </c>
    </row>
    <row r="20" spans="1:41" ht="18.75">
      <c r="A20" s="93" t="s">
        <v>1393</v>
      </c>
      <c r="B20" s="242" t="s">
        <v>1394</v>
      </c>
      <c r="C20" s="242"/>
      <c r="D20" s="242" t="s">
        <v>1395</v>
      </c>
      <c r="E20" s="242"/>
      <c r="F20" s="242" t="s">
        <v>1396</v>
      </c>
      <c r="G20" s="243"/>
      <c r="H20" s="2"/>
      <c r="I20" s="2"/>
      <c r="J20" s="2"/>
      <c r="K20" s="2"/>
      <c r="L20" s="2"/>
      <c r="M20" s="2"/>
      <c r="N20" s="2"/>
      <c r="O20" s="2"/>
      <c r="P20" s="2"/>
      <c r="AK20" s="4">
        <v>4.8322000000000003</v>
      </c>
      <c r="AL20" s="4">
        <v>3.114506</v>
      </c>
      <c r="AM20" s="4" t="s">
        <v>1113</v>
      </c>
      <c r="AN20" s="4" t="s">
        <v>1112</v>
      </c>
      <c r="AO20" s="4" t="s">
        <v>1384</v>
      </c>
    </row>
    <row r="21" spans="1:41" ht="18.75">
      <c r="A21" s="71">
        <v>0</v>
      </c>
      <c r="B21" s="7">
        <v>22.075510000000001</v>
      </c>
      <c r="C21" s="7">
        <v>22.075510000000001</v>
      </c>
      <c r="D21" s="7">
        <v>0.18336</v>
      </c>
      <c r="E21" s="7">
        <v>0.16073999999999999</v>
      </c>
      <c r="F21" s="7">
        <v>7.122217</v>
      </c>
      <c r="G21" s="72">
        <v>6.2706</v>
      </c>
      <c r="H21" s="2"/>
      <c r="I21" s="2"/>
      <c r="J21" s="2"/>
      <c r="K21" s="2"/>
      <c r="L21" s="2"/>
      <c r="M21" s="2"/>
      <c r="N21" s="2"/>
      <c r="O21" s="2"/>
      <c r="P21" s="2"/>
      <c r="AK21" s="4">
        <v>4.8322000000000003</v>
      </c>
      <c r="AL21" s="4">
        <v>3.3696079999999999</v>
      </c>
      <c r="AM21" s="4" t="s">
        <v>1113</v>
      </c>
      <c r="AN21" s="4" t="s">
        <v>1112</v>
      </c>
      <c r="AO21" s="4" t="s">
        <v>1384</v>
      </c>
    </row>
    <row r="22" spans="1:41" ht="18.75">
      <c r="A22" s="71">
        <v>1E-4</v>
      </c>
      <c r="B22" s="7">
        <v>20.514469999999999</v>
      </c>
      <c r="C22" s="7">
        <v>21.27946</v>
      </c>
      <c r="D22" s="7">
        <v>0.15939700000000001</v>
      </c>
      <c r="E22" s="7">
        <v>0.15939999999999999</v>
      </c>
      <c r="F22" s="7">
        <v>6.4493739999999997</v>
      </c>
      <c r="G22" s="72">
        <v>6.0398180000000004</v>
      </c>
      <c r="H22" s="2"/>
      <c r="I22" s="2"/>
      <c r="J22" s="2"/>
      <c r="K22" s="2"/>
      <c r="L22" s="2"/>
      <c r="M22" s="2"/>
      <c r="N22" s="2"/>
      <c r="O22" s="2"/>
      <c r="P22" s="2"/>
      <c r="AK22" s="4">
        <v>8.5850340000000003</v>
      </c>
      <c r="AL22" s="4">
        <v>8.1882019999999898</v>
      </c>
      <c r="AM22" s="4" t="s">
        <v>1113</v>
      </c>
      <c r="AN22" s="4" t="s">
        <v>1112</v>
      </c>
      <c r="AO22" s="4" t="s">
        <v>1384</v>
      </c>
    </row>
    <row r="23" spans="1:41" ht="18.75">
      <c r="A23" s="71">
        <v>5.0000000000000001E-4</v>
      </c>
      <c r="B23" s="7">
        <v>23.323219999999999</v>
      </c>
      <c r="C23" s="7">
        <v>24.045870000000001</v>
      </c>
      <c r="D23" s="7">
        <v>0.23936499999999999</v>
      </c>
      <c r="E23" s="7">
        <v>0.23397999999999999</v>
      </c>
      <c r="F23" s="7">
        <v>9.0659840000000003</v>
      </c>
      <c r="G23" s="72">
        <v>9.2610109999999999</v>
      </c>
      <c r="H23" s="2"/>
      <c r="I23" s="2"/>
      <c r="J23" s="2"/>
      <c r="K23" s="2"/>
      <c r="L23" s="2"/>
      <c r="M23" s="2"/>
      <c r="N23" s="2"/>
      <c r="O23" s="2"/>
      <c r="P23" s="2"/>
      <c r="AK23" s="4">
        <v>8.5850340000000003</v>
      </c>
      <c r="AL23" s="4">
        <v>10.095799999999899</v>
      </c>
      <c r="AM23" s="4" t="s">
        <v>1113</v>
      </c>
      <c r="AN23" s="4" t="s">
        <v>1112</v>
      </c>
      <c r="AO23" s="4" t="s">
        <v>1384</v>
      </c>
    </row>
    <row r="24" spans="1:41" ht="18.75">
      <c r="A24" s="71">
        <v>1E-3</v>
      </c>
      <c r="B24" s="7">
        <v>26.515879999999999</v>
      </c>
      <c r="C24" s="7">
        <v>26.354980000000001</v>
      </c>
      <c r="D24" s="7">
        <v>0.34975800000000001</v>
      </c>
      <c r="E24" s="7">
        <v>0.34976000000000002</v>
      </c>
      <c r="F24" s="7">
        <v>11.078010000000001</v>
      </c>
      <c r="G24" s="72">
        <v>10.67496</v>
      </c>
      <c r="H24" s="2"/>
      <c r="I24" s="2"/>
      <c r="J24" s="2"/>
      <c r="K24" s="2"/>
      <c r="L24" s="2"/>
      <c r="M24" s="2"/>
      <c r="N24" s="2"/>
      <c r="O24" s="2"/>
      <c r="P24" s="2"/>
      <c r="AK24" s="4">
        <v>0.13425899999999999</v>
      </c>
      <c r="AL24" s="4">
        <v>1.0420830000000001</v>
      </c>
      <c r="AM24" s="4" t="s">
        <v>1113</v>
      </c>
      <c r="AN24" s="4" t="s">
        <v>1114</v>
      </c>
      <c r="AO24" s="4" t="s">
        <v>1384</v>
      </c>
    </row>
    <row r="25" spans="1:41" ht="18.75">
      <c r="A25" s="71">
        <v>5.0000000000000001E-3</v>
      </c>
      <c r="B25" s="7">
        <v>28.61891</v>
      </c>
      <c r="C25" s="7">
        <v>29.505289999999999</v>
      </c>
      <c r="D25" s="7">
        <v>1.030964</v>
      </c>
      <c r="E25" s="7">
        <v>1.0201899999999999</v>
      </c>
      <c r="F25" s="7">
        <v>14.79002</v>
      </c>
      <c r="G25" s="72">
        <v>14.74451</v>
      </c>
      <c r="H25" s="2"/>
      <c r="I25" s="2"/>
      <c r="J25" s="2"/>
      <c r="K25" s="2"/>
      <c r="L25" s="2"/>
      <c r="M25" s="2"/>
      <c r="N25" s="2"/>
      <c r="O25" s="2"/>
      <c r="P25" s="2"/>
      <c r="AK25" s="4">
        <v>0.13425899999999999</v>
      </c>
      <c r="AL25" s="4">
        <v>1.128889</v>
      </c>
      <c r="AM25" s="4" t="s">
        <v>1113</v>
      </c>
      <c r="AN25" s="4" t="s">
        <v>1114</v>
      </c>
      <c r="AO25" s="4" t="s">
        <v>1384</v>
      </c>
    </row>
    <row r="26" spans="1:41" ht="18.75">
      <c r="A26" s="71">
        <v>0.01</v>
      </c>
      <c r="B26" s="7">
        <v>25.56175</v>
      </c>
      <c r="C26" s="7">
        <v>26.354980000000001</v>
      </c>
      <c r="D26" s="7">
        <v>1.5856220000000001</v>
      </c>
      <c r="E26" s="7">
        <v>1.80372</v>
      </c>
      <c r="F26" s="7">
        <v>17.29937</v>
      </c>
      <c r="G26" s="72">
        <v>16.317730000000001</v>
      </c>
      <c r="H26" s="2"/>
      <c r="I26" s="2"/>
      <c r="J26" s="2"/>
      <c r="K26" s="2"/>
      <c r="L26" s="2"/>
      <c r="M26" s="2"/>
      <c r="N26" s="2"/>
      <c r="O26" s="2"/>
      <c r="P26" s="2"/>
      <c r="AK26" s="4">
        <v>0.49652800000000002</v>
      </c>
      <c r="AL26" s="4">
        <v>5.3881480000000002</v>
      </c>
      <c r="AM26" s="4" t="s">
        <v>1113</v>
      </c>
      <c r="AN26" s="4" t="s">
        <v>1114</v>
      </c>
      <c r="AO26" s="4" t="s">
        <v>1384</v>
      </c>
    </row>
    <row r="27" spans="1:41" ht="18.75">
      <c r="A27" s="71">
        <v>0.1</v>
      </c>
      <c r="B27" s="7">
        <v>28.706420000000001</v>
      </c>
      <c r="C27" s="7">
        <v>28.881440000000001</v>
      </c>
      <c r="D27" s="7">
        <v>5.4036080000000002</v>
      </c>
      <c r="E27" s="7">
        <v>5.3362999999999996</v>
      </c>
      <c r="F27" s="7">
        <v>21.63871</v>
      </c>
      <c r="G27" s="72">
        <v>19.79571</v>
      </c>
      <c r="H27" s="2"/>
      <c r="I27" s="2"/>
      <c r="J27" s="2"/>
      <c r="K27" s="2"/>
      <c r="L27" s="2"/>
      <c r="M27" s="2"/>
      <c r="N27" s="2"/>
      <c r="O27" s="2"/>
      <c r="P27" s="2"/>
      <c r="AK27" s="4">
        <v>0.49652800000000002</v>
      </c>
      <c r="AL27" s="4">
        <v>5.5935879999999996</v>
      </c>
      <c r="AM27" s="4" t="s">
        <v>1113</v>
      </c>
      <c r="AN27" s="4" t="s">
        <v>1114</v>
      </c>
      <c r="AO27" s="4" t="s">
        <v>1384</v>
      </c>
    </row>
    <row r="28" spans="1:41" ht="19.5" thickBot="1">
      <c r="A28" s="73">
        <v>1</v>
      </c>
      <c r="B28" s="74">
        <v>30.143260000000001</v>
      </c>
      <c r="C28" s="74">
        <v>30.143260000000001</v>
      </c>
      <c r="D28" s="74">
        <v>8.5403880000000001</v>
      </c>
      <c r="E28" s="74">
        <v>8.2065199999999994</v>
      </c>
      <c r="F28" s="74">
        <v>24.161059999999999</v>
      </c>
      <c r="G28" s="75">
        <v>24.8339</v>
      </c>
      <c r="H28" s="2"/>
      <c r="I28" s="2"/>
      <c r="J28" s="2"/>
      <c r="K28" s="2"/>
      <c r="L28" s="2"/>
      <c r="M28" s="2"/>
      <c r="N28" s="2"/>
      <c r="O28" s="2"/>
      <c r="P28" s="2"/>
      <c r="AK28" s="4">
        <v>1.630787</v>
      </c>
      <c r="AL28" s="4">
        <v>14.95701</v>
      </c>
      <c r="AM28" s="4" t="s">
        <v>1113</v>
      </c>
      <c r="AN28" s="4" t="s">
        <v>1114</v>
      </c>
      <c r="AO28" s="4" t="s">
        <v>1384</v>
      </c>
    </row>
    <row r="29" spans="1:41" ht="18.75">
      <c r="A29" s="4" t="s">
        <v>1523</v>
      </c>
      <c r="B29" s="4">
        <f>AVERAGE(B28:C28)/AVERAGE(B21:C21)</f>
        <v>1.3654615453957801</v>
      </c>
      <c r="D29" s="4">
        <f>AVERAGE(D28:E28)/AVERAGE(D21:E21)</f>
        <v>48.668724208079048</v>
      </c>
      <c r="F29" s="4">
        <f>AVERAGE(F28:G28)/AVERAGE(F21:G21)</f>
        <v>3.6583013118151317</v>
      </c>
      <c r="H29" s="2"/>
      <c r="I29" s="2"/>
      <c r="J29" s="2"/>
      <c r="K29" s="2"/>
      <c r="L29" s="2"/>
      <c r="M29" s="2"/>
      <c r="N29" s="2"/>
      <c r="O29" s="2"/>
      <c r="P29" s="2"/>
      <c r="AK29" s="4">
        <v>4.6892360000000002</v>
      </c>
      <c r="AL29" s="4">
        <v>25.978429999999999</v>
      </c>
      <c r="AM29" s="4" t="s">
        <v>1113</v>
      </c>
      <c r="AN29" s="4" t="s">
        <v>1114</v>
      </c>
      <c r="AO29" s="4" t="s">
        <v>1384</v>
      </c>
    </row>
    <row r="30" spans="1:41" ht="18.7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AK30" s="4">
        <v>4.0000000000000001E-3</v>
      </c>
      <c r="AL30" s="4">
        <v>-5.7409999999999996E-3</v>
      </c>
      <c r="AM30" s="4" t="s">
        <v>1113</v>
      </c>
      <c r="AN30" s="4" t="s">
        <v>1114</v>
      </c>
      <c r="AO30" s="4" t="s">
        <v>1384</v>
      </c>
    </row>
    <row r="31" spans="1:41" ht="18.7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AK31" s="4">
        <v>4.0000000000000001E-3</v>
      </c>
      <c r="AL31" s="4">
        <v>-6.0350000000000004E-3</v>
      </c>
      <c r="AM31" s="4" t="s">
        <v>1113</v>
      </c>
      <c r="AN31" s="4" t="s">
        <v>1114</v>
      </c>
      <c r="AO31" s="4" t="s">
        <v>1384</v>
      </c>
    </row>
    <row r="32" spans="1:41" ht="18.7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AK32" s="4">
        <v>0.18490200000000001</v>
      </c>
      <c r="AL32" s="4">
        <v>1.4922759999999999</v>
      </c>
      <c r="AM32" s="4" t="s">
        <v>1113</v>
      </c>
      <c r="AN32" s="4" t="s">
        <v>1114</v>
      </c>
      <c r="AO32" s="4" t="s">
        <v>1384</v>
      </c>
    </row>
    <row r="33" spans="1:41" ht="18.7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AK33" s="4">
        <v>0.18490200000000001</v>
      </c>
      <c r="AL33" s="4">
        <v>1.6185799999999999</v>
      </c>
      <c r="AM33" s="4" t="s">
        <v>1113</v>
      </c>
      <c r="AN33" s="4" t="s">
        <v>1114</v>
      </c>
      <c r="AO33" s="4" t="s">
        <v>1384</v>
      </c>
    </row>
    <row r="34" spans="1:41" ht="18.75">
      <c r="A34" s="68" t="s">
        <v>1577</v>
      </c>
      <c r="B34" s="235" t="s">
        <v>29</v>
      </c>
      <c r="C34" s="235"/>
      <c r="D34" s="235"/>
      <c r="E34" s="235"/>
      <c r="F34" s="235"/>
      <c r="G34" s="235"/>
      <c r="H34" s="235" t="s">
        <v>1520</v>
      </c>
      <c r="I34" s="235"/>
      <c r="J34" s="235"/>
      <c r="K34" s="235"/>
      <c r="L34" s="235"/>
      <c r="M34" s="235"/>
      <c r="N34" s="2"/>
      <c r="O34" s="2"/>
      <c r="P34" s="2"/>
      <c r="AK34" s="4">
        <v>0.48303699999999999</v>
      </c>
      <c r="AL34" s="4">
        <v>6.3975489999999997</v>
      </c>
      <c r="AM34" s="4" t="s">
        <v>1113</v>
      </c>
      <c r="AN34" s="4" t="s">
        <v>1114</v>
      </c>
      <c r="AO34" s="4" t="s">
        <v>1384</v>
      </c>
    </row>
    <row r="35" spans="1:41" ht="18.75">
      <c r="A35" s="6" t="s">
        <v>1521</v>
      </c>
      <c r="B35" s="7">
        <v>5.8228000000000002E-2</v>
      </c>
      <c r="C35" s="7">
        <v>5.7527000000000002E-2</v>
      </c>
      <c r="D35" s="7">
        <v>6.4812999999999996E-2</v>
      </c>
      <c r="E35" s="7">
        <v>6.2436999999999999E-2</v>
      </c>
      <c r="F35" s="7">
        <v>5.7484E-2</v>
      </c>
      <c r="G35" s="7">
        <v>5.2985999999999998E-2</v>
      </c>
      <c r="H35" s="7">
        <v>10.19478</v>
      </c>
      <c r="I35" s="7">
        <v>10.306469999999999</v>
      </c>
      <c r="J35" s="7">
        <v>10.56255</v>
      </c>
      <c r="K35" s="7">
        <v>10.530279999999999</v>
      </c>
      <c r="L35" s="7">
        <v>13.749090000000001</v>
      </c>
      <c r="M35" s="7">
        <v>13.74751</v>
      </c>
      <c r="N35" s="2"/>
      <c r="O35" s="2"/>
      <c r="P35" s="2"/>
      <c r="AK35" s="4">
        <v>0.48303699999999999</v>
      </c>
      <c r="AL35" s="4">
        <v>6.3388030000000004</v>
      </c>
      <c r="AM35" s="4" t="s">
        <v>1113</v>
      </c>
      <c r="AN35" s="4" t="s">
        <v>1114</v>
      </c>
      <c r="AO35" s="4" t="s">
        <v>1384</v>
      </c>
    </row>
    <row r="36" spans="1:41" ht="18.75">
      <c r="A36" s="6" t="s">
        <v>1522</v>
      </c>
      <c r="B36" s="7">
        <v>3.3588E-2</v>
      </c>
      <c r="C36" s="7">
        <v>3.0077E-2</v>
      </c>
      <c r="D36" s="120" t="s">
        <v>1517</v>
      </c>
      <c r="E36" s="120" t="s">
        <v>1518</v>
      </c>
      <c r="F36" s="7">
        <v>3.8987000000000001E-2</v>
      </c>
      <c r="G36" s="7">
        <v>3.2508000000000002E-2</v>
      </c>
      <c r="H36" s="7">
        <v>20.81813</v>
      </c>
      <c r="I36" s="7">
        <v>18.507670000000001</v>
      </c>
      <c r="J36" s="7">
        <v>21.162400000000002</v>
      </c>
      <c r="K36" s="7">
        <v>17.941749999999999</v>
      </c>
      <c r="L36" s="7">
        <v>21.0185</v>
      </c>
      <c r="M36" s="7">
        <v>18.489619999999999</v>
      </c>
      <c r="N36" s="2"/>
      <c r="O36" s="2"/>
      <c r="P36" s="2"/>
      <c r="AK36" s="4">
        <v>1.7534149999999999</v>
      </c>
      <c r="AL36" s="4">
        <v>16.65456</v>
      </c>
      <c r="AM36" s="4" t="s">
        <v>1113</v>
      </c>
      <c r="AN36" s="4" t="s">
        <v>1114</v>
      </c>
      <c r="AO36" s="4" t="s">
        <v>1384</v>
      </c>
    </row>
    <row r="37" spans="1:41" ht="18.75">
      <c r="A37" s="6" t="s">
        <v>2223</v>
      </c>
      <c r="B37" s="7">
        <v>9.9443000000000004E-2</v>
      </c>
      <c r="C37" s="7">
        <v>6.9936999999999999E-2</v>
      </c>
      <c r="D37" s="7">
        <v>0.103843</v>
      </c>
      <c r="E37" s="7">
        <v>6.8476999999999996E-2</v>
      </c>
      <c r="F37" s="7">
        <v>0.101683</v>
      </c>
      <c r="G37" s="7">
        <v>7.3566000000000006E-2</v>
      </c>
      <c r="H37" s="7">
        <v>35.863599999999998</v>
      </c>
      <c r="I37" s="7">
        <v>31.98555</v>
      </c>
      <c r="J37" s="7">
        <v>38.859549999999999</v>
      </c>
      <c r="K37" s="7">
        <v>33.156379999999999</v>
      </c>
      <c r="L37" s="7">
        <v>35.874789999999997</v>
      </c>
      <c r="M37" s="7">
        <v>30.803809999999999</v>
      </c>
      <c r="N37" s="2"/>
      <c r="O37" s="2"/>
      <c r="P37" s="2"/>
      <c r="AK37" s="4">
        <v>1.7534149999999999</v>
      </c>
      <c r="AL37" s="4">
        <v>15.661759999999999</v>
      </c>
      <c r="AM37" s="4" t="s">
        <v>1113</v>
      </c>
      <c r="AN37" s="4" t="s">
        <v>1114</v>
      </c>
      <c r="AO37" s="4" t="s">
        <v>1384</v>
      </c>
    </row>
    <row r="38" spans="1:41" ht="18.75">
      <c r="AK38" s="4">
        <v>4.485093</v>
      </c>
      <c r="AL38" s="4">
        <v>25.81597</v>
      </c>
      <c r="AM38" s="4" t="s">
        <v>1113</v>
      </c>
      <c r="AN38" s="4" t="s">
        <v>1114</v>
      </c>
      <c r="AO38" s="4" t="s">
        <v>1384</v>
      </c>
    </row>
    <row r="39" spans="1:41" ht="18.75">
      <c r="AK39" s="4">
        <v>4.485093</v>
      </c>
      <c r="AL39" s="4">
        <v>25.97458</v>
      </c>
      <c r="AM39" s="4" t="s">
        <v>1113</v>
      </c>
      <c r="AN39" s="4" t="s">
        <v>1114</v>
      </c>
      <c r="AO39" s="4" t="s">
        <v>1384</v>
      </c>
    </row>
    <row r="40" spans="1:41" ht="18.75">
      <c r="B40" s="230" t="s">
        <v>29</v>
      </c>
      <c r="C40" s="230"/>
      <c r="D40" s="230"/>
      <c r="E40" s="230"/>
      <c r="F40" s="230"/>
      <c r="G40" s="230"/>
      <c r="H40" s="230" t="s">
        <v>1519</v>
      </c>
      <c r="I40" s="230"/>
      <c r="J40" s="230"/>
      <c r="K40" s="230"/>
      <c r="L40" s="230"/>
      <c r="M40" s="230"/>
      <c r="AK40" s="4">
        <v>0.14200699999999999</v>
      </c>
      <c r="AL40" s="4">
        <v>0.78024899999999997</v>
      </c>
      <c r="AM40" s="4" t="s">
        <v>1113</v>
      </c>
      <c r="AN40" s="4" t="s">
        <v>1114</v>
      </c>
      <c r="AO40" s="4" t="s">
        <v>1384</v>
      </c>
    </row>
    <row r="41" spans="1:41" ht="18.75">
      <c r="A41" s="6" t="s">
        <v>1521</v>
      </c>
      <c r="B41" s="7">
        <v>5.9108000000000001E-2</v>
      </c>
      <c r="C41" s="7">
        <v>5.7527000000000002E-2</v>
      </c>
      <c r="D41" s="7">
        <v>6.9495000000000001E-2</v>
      </c>
      <c r="E41" s="7">
        <v>6.2869999999999995E-2</v>
      </c>
      <c r="F41" s="7">
        <v>5.4639E-2</v>
      </c>
      <c r="G41" s="7">
        <v>5.3844999999999997E-2</v>
      </c>
      <c r="H41" s="7">
        <v>1.731886</v>
      </c>
      <c r="I41" s="7">
        <v>1.541685</v>
      </c>
      <c r="J41" s="7">
        <v>1.6539870000000001</v>
      </c>
      <c r="K41" s="7">
        <v>1.70675</v>
      </c>
      <c r="L41" s="7">
        <v>1.458167</v>
      </c>
      <c r="M41" s="7">
        <v>1.402406</v>
      </c>
      <c r="AK41" s="4">
        <v>0.14200699999999999</v>
      </c>
      <c r="AL41" s="4">
        <v>1.5115419999999999</v>
      </c>
      <c r="AM41" s="4" t="s">
        <v>1113</v>
      </c>
      <c r="AN41" s="4" t="s">
        <v>1114</v>
      </c>
      <c r="AO41" s="4" t="s">
        <v>1384</v>
      </c>
    </row>
    <row r="42" spans="1:41" ht="18.75">
      <c r="A42" s="6" t="s">
        <v>1522</v>
      </c>
      <c r="B42" s="7">
        <v>3.8559999999999997E-2</v>
      </c>
      <c r="C42" s="7">
        <v>3.2793999999999997E-2</v>
      </c>
      <c r="D42" s="7">
        <v>3.8427999999999997E-2</v>
      </c>
      <c r="E42" s="7">
        <v>2.9784999999999999E-2</v>
      </c>
      <c r="F42" s="7">
        <v>4.7988000000000003E-2</v>
      </c>
      <c r="G42" s="7">
        <v>3.7144000000000003E-2</v>
      </c>
      <c r="H42" s="7">
        <v>4.2164859999999997</v>
      </c>
      <c r="I42" s="7">
        <v>1.8497589999999999</v>
      </c>
      <c r="J42" s="7">
        <v>4.818581</v>
      </c>
      <c r="K42" s="7">
        <v>1.913427</v>
      </c>
      <c r="L42" s="7">
        <v>3.4729649999999999</v>
      </c>
      <c r="M42" s="7">
        <v>1.327939</v>
      </c>
      <c r="AK42" s="4">
        <v>0.50113399999999997</v>
      </c>
      <c r="AL42" s="4">
        <v>6.2706119999999999</v>
      </c>
      <c r="AM42" s="4" t="s">
        <v>1113</v>
      </c>
      <c r="AN42" s="4" t="s">
        <v>1114</v>
      </c>
      <c r="AO42" s="4" t="s">
        <v>1384</v>
      </c>
    </row>
    <row r="43" spans="1:41" ht="18.75">
      <c r="A43" s="6" t="s">
        <v>2223</v>
      </c>
      <c r="B43" s="7">
        <v>0.11777600000000001</v>
      </c>
      <c r="C43" s="7">
        <v>7.6455999999999996E-2</v>
      </c>
      <c r="D43" s="7">
        <v>0.112123</v>
      </c>
      <c r="E43" s="7">
        <v>7.3464000000000002E-2</v>
      </c>
      <c r="F43" s="7">
        <v>0.112123</v>
      </c>
      <c r="G43" s="7">
        <v>7.0599999999999996E-2</v>
      </c>
      <c r="H43" s="7">
        <v>14.41742</v>
      </c>
      <c r="I43" s="7">
        <v>10.72697</v>
      </c>
      <c r="J43" s="7">
        <v>17.509139999999999</v>
      </c>
      <c r="K43" s="7">
        <v>15.53823</v>
      </c>
      <c r="L43" s="7">
        <v>16.65879</v>
      </c>
      <c r="M43" s="7">
        <v>13.99442</v>
      </c>
      <c r="AK43" s="4">
        <v>0.50113399999999997</v>
      </c>
      <c r="AL43" s="4">
        <v>5.2502040000000001</v>
      </c>
      <c r="AM43" s="4" t="s">
        <v>1113</v>
      </c>
      <c r="AN43" s="4" t="s">
        <v>1114</v>
      </c>
      <c r="AO43" s="4" t="s">
        <v>1384</v>
      </c>
    </row>
    <row r="44" spans="1:41" ht="18.75">
      <c r="I44"/>
      <c r="J44"/>
      <c r="K44"/>
      <c r="AK44" s="4">
        <v>1.9580500000000001</v>
      </c>
      <c r="AL44" s="4">
        <v>15.632860000000001</v>
      </c>
      <c r="AM44" s="4" t="s">
        <v>1113</v>
      </c>
      <c r="AN44" s="4" t="s">
        <v>1114</v>
      </c>
      <c r="AO44" s="4" t="s">
        <v>1384</v>
      </c>
    </row>
    <row r="45" spans="1:41" ht="18.75">
      <c r="I45"/>
      <c r="J45"/>
      <c r="K45"/>
      <c r="AK45" s="4">
        <v>1.9580500000000001</v>
      </c>
      <c r="AL45" s="4">
        <v>14.0824</v>
      </c>
      <c r="AM45" s="4" t="s">
        <v>1113</v>
      </c>
      <c r="AN45" s="4" t="s">
        <v>1114</v>
      </c>
      <c r="AO45" s="4" t="s">
        <v>1384</v>
      </c>
    </row>
    <row r="46" spans="1:41" ht="18.75">
      <c r="I46"/>
      <c r="J46"/>
      <c r="K46"/>
      <c r="AK46" s="4">
        <v>4.8322000000000003</v>
      </c>
      <c r="AL46" s="4">
        <v>26.324469999999899</v>
      </c>
      <c r="AM46" s="4" t="s">
        <v>1113</v>
      </c>
      <c r="AN46" s="4" t="s">
        <v>1114</v>
      </c>
      <c r="AO46" s="4" t="s">
        <v>1384</v>
      </c>
    </row>
    <row r="47" spans="1:41" ht="18.75">
      <c r="I47"/>
      <c r="J47"/>
      <c r="K47"/>
      <c r="AK47" s="4">
        <v>4.8322000000000003</v>
      </c>
      <c r="AL47" s="4">
        <v>25.924809999999901</v>
      </c>
      <c r="AM47" s="4" t="s">
        <v>1113</v>
      </c>
      <c r="AN47" s="4" t="s">
        <v>1114</v>
      </c>
      <c r="AO47" s="4" t="s">
        <v>1384</v>
      </c>
    </row>
    <row r="48" spans="1:41" ht="18.75">
      <c r="I48"/>
      <c r="J48"/>
      <c r="AK48" s="4">
        <v>2.2949425999999998E-2</v>
      </c>
      <c r="AL48" s="4">
        <v>4.4807953999999997E-2</v>
      </c>
      <c r="AM48" s="4" t="s">
        <v>1115</v>
      </c>
      <c r="AN48" s="4" t="s">
        <v>1112</v>
      </c>
      <c r="AO48" s="4" t="s">
        <v>1383</v>
      </c>
    </row>
    <row r="49" spans="1:41" ht="18.75">
      <c r="I49"/>
      <c r="J49"/>
      <c r="AK49" s="4">
        <v>2.2949425999999998E-2</v>
      </c>
      <c r="AL49" s="4">
        <v>4.8377863999999902E-2</v>
      </c>
      <c r="AM49" s="4" t="s">
        <v>1115</v>
      </c>
      <c r="AN49" s="4" t="s">
        <v>1112</v>
      </c>
      <c r="AO49" s="4" t="s">
        <v>1383</v>
      </c>
    </row>
    <row r="50" spans="1:41" ht="19.5" thickBot="1">
      <c r="I50"/>
      <c r="J50"/>
      <c r="AK50" s="4">
        <v>0.180662983</v>
      </c>
      <c r="AL50" s="4">
        <v>7.0562309999999906E-2</v>
      </c>
      <c r="AM50" s="4" t="s">
        <v>1115</v>
      </c>
      <c r="AN50" s="4" t="s">
        <v>1112</v>
      </c>
      <c r="AO50" s="4" t="s">
        <v>1383</v>
      </c>
    </row>
    <row r="51" spans="1:41" ht="18.75">
      <c r="A51" s="239" t="s">
        <v>3380</v>
      </c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1"/>
      <c r="AK51" s="4">
        <v>0.180662983</v>
      </c>
      <c r="AL51" s="4">
        <v>6.7757379999999895E-2</v>
      </c>
      <c r="AM51" s="4" t="s">
        <v>1115</v>
      </c>
      <c r="AN51" s="4" t="s">
        <v>1112</v>
      </c>
      <c r="AO51" s="4" t="s">
        <v>1383</v>
      </c>
    </row>
    <row r="52" spans="1:41" ht="18.75">
      <c r="A52" s="29" t="s">
        <v>3300</v>
      </c>
      <c r="B52" s="4">
        <v>379</v>
      </c>
      <c r="C52" s="4" t="s">
        <v>3301</v>
      </c>
      <c r="E52" s="4">
        <v>380</v>
      </c>
      <c r="F52" s="4" t="s">
        <v>3302</v>
      </c>
      <c r="I52" s="4">
        <v>383</v>
      </c>
      <c r="J52" s="4" t="s">
        <v>3303</v>
      </c>
      <c r="L52" s="4">
        <v>384</v>
      </c>
      <c r="M52" s="4" t="s">
        <v>3304</v>
      </c>
      <c r="P52" s="4">
        <v>385</v>
      </c>
      <c r="Q52" s="4" t="s">
        <v>3305</v>
      </c>
      <c r="S52" s="4">
        <v>386</v>
      </c>
      <c r="T52" s="4" t="s">
        <v>3306</v>
      </c>
      <c r="AG52" s="30"/>
      <c r="AK52" s="4">
        <v>1.1257968549999999</v>
      </c>
      <c r="AL52" s="4">
        <v>0.32683090300000001</v>
      </c>
      <c r="AM52" s="4" t="s">
        <v>1115</v>
      </c>
      <c r="AN52" s="4" t="s">
        <v>1112</v>
      </c>
      <c r="AO52" s="4" t="s">
        <v>1383</v>
      </c>
    </row>
    <row r="53" spans="1:41" ht="18.75">
      <c r="A53" s="29"/>
      <c r="C53" s="4" t="s">
        <v>3307</v>
      </c>
      <c r="F53" s="4" t="s">
        <v>3308</v>
      </c>
      <c r="J53" s="4" t="s">
        <v>3309</v>
      </c>
      <c r="M53" s="4" t="s">
        <v>3310</v>
      </c>
      <c r="Q53" s="4" t="s">
        <v>3309</v>
      </c>
      <c r="T53" s="4" t="s">
        <v>3311</v>
      </c>
      <c r="AG53" s="30"/>
      <c r="AK53" s="4">
        <v>1.1257968549999999</v>
      </c>
      <c r="AL53" s="4">
        <v>0.38547943699999998</v>
      </c>
      <c r="AM53" s="4" t="s">
        <v>1115</v>
      </c>
      <c r="AN53" s="4" t="s">
        <v>1112</v>
      </c>
      <c r="AO53" s="4" t="s">
        <v>1383</v>
      </c>
    </row>
    <row r="54" spans="1:41" ht="18.75">
      <c r="A54" s="29"/>
      <c r="B54" s="4" t="s">
        <v>1672</v>
      </c>
      <c r="C54" s="4" t="s">
        <v>3312</v>
      </c>
      <c r="F54" s="4" t="s">
        <v>3313</v>
      </c>
      <c r="I54" s="4" t="s">
        <v>1671</v>
      </c>
      <c r="J54" s="4" t="s">
        <v>3314</v>
      </c>
      <c r="M54" s="4" t="s">
        <v>3315</v>
      </c>
      <c r="P54" s="4" t="s">
        <v>3316</v>
      </c>
      <c r="Q54" s="4" t="s">
        <v>3314</v>
      </c>
      <c r="T54" s="4" t="s">
        <v>3317</v>
      </c>
      <c r="AG54" s="30"/>
      <c r="AK54" s="4">
        <v>2.080747981</v>
      </c>
      <c r="AL54" s="4">
        <v>1.2779571249999999</v>
      </c>
      <c r="AM54" s="4" t="s">
        <v>1115</v>
      </c>
      <c r="AN54" s="4" t="s">
        <v>1112</v>
      </c>
      <c r="AO54" s="4" t="s">
        <v>1383</v>
      </c>
    </row>
    <row r="55" spans="1:41" ht="18.75">
      <c r="A55" s="29"/>
      <c r="B55" s="4">
        <v>0</v>
      </c>
      <c r="C55" s="4">
        <v>0.14165103189493433</v>
      </c>
      <c r="D55" s="4">
        <v>0.13664790494058787</v>
      </c>
      <c r="F55" s="4">
        <v>0.44340212632895559</v>
      </c>
      <c r="G55" s="4">
        <v>0.47154471544715448</v>
      </c>
      <c r="I55" s="4">
        <v>0</v>
      </c>
      <c r="J55" s="4">
        <v>1.3189493433395871</v>
      </c>
      <c r="K55" s="4">
        <v>1.2814258911819887</v>
      </c>
      <c r="M55" s="4">
        <v>0.42776735459662291</v>
      </c>
      <c r="N55" s="4">
        <v>0.44027517198248906</v>
      </c>
      <c r="P55" s="4">
        <v>0</v>
      </c>
      <c r="Q55" s="4" t="s">
        <v>3318</v>
      </c>
      <c r="R55" s="4">
        <v>2.8142589118198939E-3</v>
      </c>
      <c r="T55" s="4" t="s">
        <v>3372</v>
      </c>
      <c r="U55" s="4">
        <v>5.8161350844277662E-2</v>
      </c>
      <c r="AG55" s="30"/>
      <c r="AK55" s="4">
        <v>2.080747981</v>
      </c>
      <c r="AL55" s="4">
        <v>1.0178636269999899</v>
      </c>
      <c r="AM55" s="4" t="s">
        <v>1115</v>
      </c>
      <c r="AN55" s="4" t="s">
        <v>1112</v>
      </c>
      <c r="AO55" s="4" t="s">
        <v>1383</v>
      </c>
    </row>
    <row r="56" spans="1:41" ht="18.75">
      <c r="A56" s="29"/>
      <c r="B56" s="4">
        <v>1</v>
      </c>
      <c r="C56" s="4">
        <v>0.13383364602876796</v>
      </c>
      <c r="D56" s="4">
        <v>0.13602251407129456</v>
      </c>
      <c r="F56" s="4">
        <v>0.44340212632895559</v>
      </c>
      <c r="G56" s="4">
        <v>0.39337085678549089</v>
      </c>
      <c r="I56" s="4">
        <v>0.1</v>
      </c>
      <c r="J56" s="4">
        <v>1.0281425891181988</v>
      </c>
      <c r="K56" s="4">
        <v>1.0469043151969981</v>
      </c>
      <c r="M56" s="4">
        <v>0.47154471544715448</v>
      </c>
      <c r="N56" s="4">
        <v>0.43714821763602252</v>
      </c>
      <c r="P56" s="4">
        <v>0.1</v>
      </c>
      <c r="Q56" s="4" t="s">
        <v>3319</v>
      </c>
      <c r="R56" s="4">
        <v>0.12632895559724824</v>
      </c>
      <c r="T56" s="4">
        <v>5.4409005628517831E-2</v>
      </c>
      <c r="U56" s="4">
        <v>7.1919949968730468E-2</v>
      </c>
      <c r="AG56" s="30"/>
      <c r="AK56" s="4">
        <v>4.6816829579999997</v>
      </c>
      <c r="AL56" s="4">
        <v>5.0748122029999996</v>
      </c>
      <c r="AM56" s="4" t="s">
        <v>1115</v>
      </c>
      <c r="AN56" s="4" t="s">
        <v>1112</v>
      </c>
      <c r="AO56" s="4" t="s">
        <v>1383</v>
      </c>
    </row>
    <row r="57" spans="1:41" ht="18.75">
      <c r="A57" s="29"/>
      <c r="B57" s="4">
        <v>5</v>
      </c>
      <c r="C57" s="4">
        <v>0.13164477798624138</v>
      </c>
      <c r="D57" s="4">
        <v>0.11694809255784862</v>
      </c>
      <c r="F57" s="4">
        <v>0.39337085678549089</v>
      </c>
      <c r="G57" s="4">
        <v>0.35584740462789244</v>
      </c>
      <c r="I57" s="4">
        <v>1</v>
      </c>
      <c r="J57" s="4">
        <v>1.0594121325828643</v>
      </c>
      <c r="K57" s="4">
        <v>1.0437773608505316</v>
      </c>
      <c r="M57" s="4">
        <v>0.46216385240775487</v>
      </c>
      <c r="N57" s="4">
        <v>0.45903689806128833</v>
      </c>
      <c r="P57" s="4">
        <v>0.5</v>
      </c>
      <c r="Q57" s="4" t="s">
        <v>3320</v>
      </c>
      <c r="R57" s="4">
        <v>0.19668542839274544</v>
      </c>
      <c r="T57" s="4">
        <v>7.2545340838023761E-2</v>
      </c>
      <c r="U57" s="4">
        <v>8.3802376485303309E-2</v>
      </c>
      <c r="AG57" s="30"/>
      <c r="AK57" s="4">
        <v>4.6816829579999997</v>
      </c>
      <c r="AL57" s="4">
        <v>5.4471028959999996</v>
      </c>
      <c r="AM57" s="4" t="s">
        <v>1115</v>
      </c>
      <c r="AN57" s="4" t="s">
        <v>1112</v>
      </c>
      <c r="AO57" s="4" t="s">
        <v>1383</v>
      </c>
    </row>
    <row r="58" spans="1:41" ht="18.75">
      <c r="A58" s="29"/>
      <c r="B58" s="4">
        <v>10</v>
      </c>
      <c r="C58" s="4">
        <v>0.15822388993120698</v>
      </c>
      <c r="D58" s="4">
        <v>0.14602876797998748</v>
      </c>
      <c r="F58" s="4">
        <v>0.39962476547842402</v>
      </c>
      <c r="G58" s="4">
        <v>0.39337085678549089</v>
      </c>
      <c r="I58" s="4">
        <v>10</v>
      </c>
      <c r="J58" s="4">
        <v>1.1313320825515947</v>
      </c>
      <c r="K58" s="4">
        <v>1.1532207629768605</v>
      </c>
      <c r="M58" s="4">
        <v>0.4559099437148218</v>
      </c>
      <c r="N58" s="4">
        <v>0.47467166979362102</v>
      </c>
      <c r="P58" s="4">
        <v>1</v>
      </c>
      <c r="Q58" s="4" t="s">
        <v>3321</v>
      </c>
      <c r="R58" s="4">
        <v>0.25265791119449654</v>
      </c>
      <c r="T58" s="4">
        <v>0.10913070669168227</v>
      </c>
      <c r="U58" s="4">
        <v>0.11163227016885555</v>
      </c>
      <c r="AG58" s="30"/>
      <c r="AK58" s="4">
        <v>8.0883977890000001</v>
      </c>
      <c r="AL58" s="4">
        <v>10.057387636</v>
      </c>
      <c r="AM58" s="4" t="s">
        <v>1115</v>
      </c>
      <c r="AN58" s="4" t="s">
        <v>1112</v>
      </c>
      <c r="AO58" s="4" t="s">
        <v>1383</v>
      </c>
    </row>
    <row r="59" spans="1:41" ht="18.75">
      <c r="A59" s="29"/>
      <c r="B59" s="4">
        <v>20</v>
      </c>
      <c r="C59" s="4">
        <v>0.18886804252657907</v>
      </c>
      <c r="D59" s="4">
        <v>0.18198874296435272</v>
      </c>
      <c r="F59" s="4">
        <v>0.53408380237648534</v>
      </c>
      <c r="G59" s="4">
        <v>0.54971857410881808</v>
      </c>
      <c r="I59" s="4">
        <v>100</v>
      </c>
      <c r="J59" s="4">
        <v>1.2032520325203251</v>
      </c>
      <c r="K59" s="4">
        <v>1.2063789868667918</v>
      </c>
      <c r="M59" s="4">
        <v>0.50906816760475304</v>
      </c>
      <c r="N59" s="4">
        <v>0.48717948717948723</v>
      </c>
      <c r="P59" s="4">
        <v>5</v>
      </c>
      <c r="Q59" s="4" t="s">
        <v>3322</v>
      </c>
      <c r="R59" s="4">
        <v>0.87492182614133829</v>
      </c>
      <c r="T59" s="4">
        <v>0.20762976860537832</v>
      </c>
      <c r="U59" s="4">
        <v>0.35584740462789244</v>
      </c>
      <c r="AG59" s="30"/>
      <c r="AK59" s="4">
        <v>8.0883977890000001</v>
      </c>
      <c r="AL59" s="4">
        <v>10.564824955999899</v>
      </c>
      <c r="AM59" s="4" t="s">
        <v>1115</v>
      </c>
      <c r="AN59" s="4" t="s">
        <v>1112</v>
      </c>
      <c r="AO59" s="4" t="s">
        <v>1383</v>
      </c>
    </row>
    <row r="60" spans="1:41" ht="18.75">
      <c r="A60" s="29"/>
      <c r="B60" s="4">
        <v>50</v>
      </c>
      <c r="C60" s="4">
        <v>0.31207004377736081</v>
      </c>
      <c r="D60" s="4">
        <v>0.26829268292682923</v>
      </c>
      <c r="F60" s="4">
        <v>1.156347717323327</v>
      </c>
      <c r="G60" s="4">
        <v>1.1188242651657285</v>
      </c>
      <c r="I60" s="4">
        <v>1000</v>
      </c>
      <c r="J60" s="4">
        <v>2.1882426516572857</v>
      </c>
      <c r="K60" s="4">
        <v>2.2664165103189493</v>
      </c>
      <c r="M60" s="4">
        <v>0.76235146966854284</v>
      </c>
      <c r="N60" s="4">
        <v>0.70919324577861165</v>
      </c>
      <c r="P60" s="4">
        <v>10</v>
      </c>
      <c r="Q60" s="4" t="s">
        <v>3323</v>
      </c>
      <c r="R60" s="4">
        <v>1.6660412757973733</v>
      </c>
      <c r="T60" s="4">
        <v>0.44652908067542219</v>
      </c>
      <c r="U60" s="4">
        <v>0.60913070669168234</v>
      </c>
      <c r="AG60" s="30"/>
      <c r="AK60" s="4">
        <v>4.3754409999999999E-3</v>
      </c>
      <c r="AL60" s="4">
        <v>3.2586974999999997E-2</v>
      </c>
      <c r="AM60" s="4" t="s">
        <v>1115</v>
      </c>
      <c r="AN60" s="4" t="s">
        <v>1112</v>
      </c>
      <c r="AO60" s="4" t="s">
        <v>1383</v>
      </c>
    </row>
    <row r="61" spans="1:41" ht="18.75">
      <c r="A61" s="29"/>
      <c r="B61" s="4">
        <v>100</v>
      </c>
      <c r="C61" s="4">
        <v>1.1876172607879925</v>
      </c>
      <c r="D61" s="4">
        <v>1.0531582238899313</v>
      </c>
      <c r="F61" s="4">
        <v>6.6660412757973733</v>
      </c>
      <c r="G61" s="4">
        <v>4.5365853658536581</v>
      </c>
      <c r="I61" s="4">
        <v>10000</v>
      </c>
      <c r="J61" s="4">
        <v>5.1213258286429015</v>
      </c>
      <c r="K61" s="4">
        <v>5.3839899937460913</v>
      </c>
      <c r="M61" s="4">
        <v>1.91307066916823</v>
      </c>
      <c r="N61" s="4">
        <v>2.1194496560350218</v>
      </c>
      <c r="P61" s="4">
        <v>100</v>
      </c>
      <c r="Q61" s="4" t="s">
        <v>3324</v>
      </c>
      <c r="R61" s="4">
        <v>5.7998749218261407</v>
      </c>
      <c r="T61" s="4">
        <v>3.363977485928705</v>
      </c>
      <c r="U61" s="4">
        <v>3.1982489055659786</v>
      </c>
      <c r="AG61" s="30"/>
      <c r="AK61" s="4">
        <v>4.3754409999999999E-3</v>
      </c>
      <c r="AL61" s="4">
        <v>3.2304687999999998E-2</v>
      </c>
      <c r="AM61" s="4" t="s">
        <v>1115</v>
      </c>
      <c r="AN61" s="4" t="s">
        <v>1112</v>
      </c>
      <c r="AO61" s="4" t="s">
        <v>1383</v>
      </c>
    </row>
    <row r="62" spans="1:41" ht="18.75">
      <c r="A62" s="29"/>
      <c r="B62" s="4">
        <v>1000</v>
      </c>
      <c r="C62" s="4">
        <v>9.0456535334584114</v>
      </c>
      <c r="D62" s="4">
        <v>9.186366479049406</v>
      </c>
      <c r="F62" s="4">
        <v>25.036898061288305</v>
      </c>
      <c r="G62" s="4">
        <v>24.961851156973108</v>
      </c>
      <c r="I62" s="4">
        <v>100000</v>
      </c>
      <c r="J62" s="4">
        <v>6.3033145716072543</v>
      </c>
      <c r="K62" s="4">
        <v>6.7692307692307692</v>
      </c>
      <c r="M62" s="4">
        <v>2.9105691056910565</v>
      </c>
      <c r="N62" s="4">
        <v>2.9762351469668542</v>
      </c>
      <c r="P62" s="4">
        <v>1000</v>
      </c>
      <c r="Q62" s="4" t="s">
        <v>3325</v>
      </c>
      <c r="R62" s="4">
        <v>9.5897435897435894</v>
      </c>
      <c r="T62" s="4">
        <v>5.6216385240775484</v>
      </c>
      <c r="U62" s="4">
        <v>5.6216385240775484</v>
      </c>
      <c r="AG62" s="30"/>
      <c r="AK62" s="4">
        <v>0.18955539900000001</v>
      </c>
      <c r="AL62" s="4">
        <v>8.7350559999999994E-2</v>
      </c>
      <c r="AM62" s="4" t="s">
        <v>1115</v>
      </c>
      <c r="AN62" s="4" t="s">
        <v>1112</v>
      </c>
      <c r="AO62" s="4" t="s">
        <v>1383</v>
      </c>
    </row>
    <row r="63" spans="1:41" ht="18.75">
      <c r="A63" s="29"/>
      <c r="AG63" s="30"/>
      <c r="AK63" s="4">
        <v>0.18955539900000001</v>
      </c>
      <c r="AL63" s="4">
        <v>6.6461356999999999E-2</v>
      </c>
      <c r="AM63" s="4" t="s">
        <v>1115</v>
      </c>
      <c r="AN63" s="4" t="s">
        <v>1112</v>
      </c>
      <c r="AO63" s="4" t="s">
        <v>1383</v>
      </c>
    </row>
    <row r="64" spans="1:41" ht="18.75">
      <c r="A64" s="29"/>
      <c r="AG64" s="30"/>
      <c r="AK64" s="4">
        <v>0.64855328199999995</v>
      </c>
      <c r="AL64" s="4">
        <v>0.22651781500000001</v>
      </c>
      <c r="AM64" s="4" t="s">
        <v>1115</v>
      </c>
      <c r="AN64" s="4" t="s">
        <v>1112</v>
      </c>
      <c r="AO64" s="4" t="s">
        <v>1383</v>
      </c>
    </row>
    <row r="65" spans="1:41" ht="18.75">
      <c r="A65" s="29" t="s">
        <v>3326</v>
      </c>
      <c r="AG65" s="30"/>
      <c r="AK65" s="4">
        <v>0.64855328199999995</v>
      </c>
      <c r="AL65" s="4">
        <v>0.16723764499999999</v>
      </c>
      <c r="AM65" s="4" t="s">
        <v>1115</v>
      </c>
      <c r="AN65" s="4" t="s">
        <v>1112</v>
      </c>
      <c r="AO65" s="4" t="s">
        <v>1383</v>
      </c>
    </row>
    <row r="66" spans="1:41" ht="18.75">
      <c r="A66" s="29"/>
      <c r="C66" s="4" t="s">
        <v>3301</v>
      </c>
      <c r="E66" s="4" t="s">
        <v>3302</v>
      </c>
      <c r="J66" s="4" t="s">
        <v>3303</v>
      </c>
      <c r="L66" s="4" t="s">
        <v>3304</v>
      </c>
      <c r="Q66" s="4" t="s">
        <v>3305</v>
      </c>
      <c r="S66" s="4" t="s">
        <v>3306</v>
      </c>
      <c r="AG66" s="30"/>
      <c r="AK66" s="4">
        <v>2.0825688069999999</v>
      </c>
      <c r="AL66" s="4">
        <v>1.16653192899999</v>
      </c>
      <c r="AM66" s="4" t="s">
        <v>1115</v>
      </c>
      <c r="AN66" s="4" t="s">
        <v>1112</v>
      </c>
      <c r="AO66" s="4" t="s">
        <v>1383</v>
      </c>
    </row>
    <row r="67" spans="1:41" ht="18.75">
      <c r="A67" s="29"/>
      <c r="C67" s="4">
        <v>379</v>
      </c>
      <c r="E67" s="4">
        <v>380</v>
      </c>
      <c r="J67" s="4">
        <v>383</v>
      </c>
      <c r="L67" s="4">
        <v>384</v>
      </c>
      <c r="Q67" s="4">
        <v>385</v>
      </c>
      <c r="S67" s="4">
        <v>386</v>
      </c>
      <c r="AG67" s="30"/>
      <c r="AK67" s="4">
        <v>2.0825688069999999</v>
      </c>
      <c r="AL67" s="4">
        <v>1.1213660859999901</v>
      </c>
      <c r="AM67" s="4" t="s">
        <v>1115</v>
      </c>
      <c r="AN67" s="4" t="s">
        <v>1112</v>
      </c>
      <c r="AO67" s="4" t="s">
        <v>1383</v>
      </c>
    </row>
    <row r="68" spans="1:41" ht="18.75">
      <c r="A68" s="29"/>
      <c r="AG68" s="30"/>
      <c r="AK68" s="4">
        <v>4.8574453069999999</v>
      </c>
      <c r="AL68" s="4">
        <v>4.6188960789999998</v>
      </c>
      <c r="AM68" s="4" t="s">
        <v>1115</v>
      </c>
      <c r="AN68" s="4" t="s">
        <v>1112</v>
      </c>
      <c r="AO68" s="4" t="s">
        <v>1383</v>
      </c>
    </row>
    <row r="69" spans="1:41" ht="18.75">
      <c r="A69" s="29"/>
      <c r="B69" s="4" t="s">
        <v>1672</v>
      </c>
      <c r="C69" s="4" t="s">
        <v>3327</v>
      </c>
      <c r="E69" s="4" t="s">
        <v>3328</v>
      </c>
      <c r="I69" s="4" t="s">
        <v>1671</v>
      </c>
      <c r="J69" s="4" t="s">
        <v>3329</v>
      </c>
      <c r="L69" s="4" t="s">
        <v>3329</v>
      </c>
      <c r="P69" s="4" t="s">
        <v>3316</v>
      </c>
      <c r="Q69" s="4" t="s">
        <v>3330</v>
      </c>
      <c r="S69" s="4" t="s">
        <v>3331</v>
      </c>
      <c r="AG69" s="30"/>
      <c r="AK69" s="4">
        <v>4.8574453069999999</v>
      </c>
      <c r="AL69" s="4">
        <v>4.8108509130000003</v>
      </c>
      <c r="AM69" s="4" t="s">
        <v>1115</v>
      </c>
      <c r="AN69" s="4" t="s">
        <v>1112</v>
      </c>
      <c r="AO69" s="4" t="s">
        <v>1383</v>
      </c>
    </row>
    <row r="70" spans="1:41" ht="18.75">
      <c r="A70" s="29"/>
      <c r="B70" s="4">
        <v>0</v>
      </c>
      <c r="C70" s="4">
        <v>0.28513731825525046</v>
      </c>
      <c r="D70" s="4">
        <v>0.30936995153473346</v>
      </c>
      <c r="E70" s="4">
        <v>0.33360258481421651</v>
      </c>
      <c r="F70" s="4">
        <v>0.3766828217555197</v>
      </c>
      <c r="I70" s="4">
        <v>0</v>
      </c>
      <c r="J70" s="4" t="s">
        <v>3332</v>
      </c>
      <c r="K70" s="4">
        <v>10.077813677975231</v>
      </c>
      <c r="L70" s="4">
        <v>7.3691437802907922</v>
      </c>
      <c r="M70" s="4">
        <v>7.126817447495962</v>
      </c>
      <c r="P70" s="4">
        <v>0</v>
      </c>
      <c r="Q70" s="4">
        <v>0.18336025848142165</v>
      </c>
      <c r="R70" s="4">
        <v>0.16074313408723748</v>
      </c>
      <c r="S70" s="4">
        <v>8.1852450188476034E-2</v>
      </c>
      <c r="T70" s="4">
        <v>7.9967689822294019E-2</v>
      </c>
      <c r="AG70" s="30"/>
      <c r="AK70" s="4">
        <v>6.9181369090000002</v>
      </c>
      <c r="AL70" s="4">
        <v>9.5927845749999996</v>
      </c>
      <c r="AM70" s="4" t="s">
        <v>1115</v>
      </c>
      <c r="AN70" s="4" t="s">
        <v>1112</v>
      </c>
      <c r="AO70" s="4" t="s">
        <v>1383</v>
      </c>
    </row>
    <row r="71" spans="1:41" ht="18.75">
      <c r="A71" s="29"/>
      <c r="B71" s="4">
        <v>1</v>
      </c>
      <c r="C71" s="4">
        <v>0.24474959612277872</v>
      </c>
      <c r="D71" s="4">
        <v>0.28513731825525046</v>
      </c>
      <c r="E71" s="4">
        <v>0.33360258481421651</v>
      </c>
      <c r="F71" s="4">
        <v>0.36052773290253098</v>
      </c>
      <c r="I71" s="4">
        <v>0.1</v>
      </c>
      <c r="J71" s="4" t="s">
        <v>3333</v>
      </c>
      <c r="K71" s="4">
        <v>10.48707592891761</v>
      </c>
      <c r="L71" s="4">
        <v>7.3476036618201404</v>
      </c>
      <c r="M71" s="4">
        <v>7.9588045234248792</v>
      </c>
      <c r="P71" s="4">
        <v>0.1</v>
      </c>
      <c r="Q71" s="4">
        <v>0.15939687668282176</v>
      </c>
      <c r="R71" s="4">
        <v>0.15939687668282176</v>
      </c>
      <c r="S71" s="4">
        <v>7.7813677975228868E-2</v>
      </c>
      <c r="T71" s="4">
        <v>8.5083467959073789E-2</v>
      </c>
      <c r="AG71" s="30"/>
      <c r="AK71" s="4">
        <v>6.9181369090000002</v>
      </c>
      <c r="AL71" s="4">
        <v>10.484809985999901</v>
      </c>
      <c r="AM71" s="4" t="s">
        <v>1115</v>
      </c>
      <c r="AN71" s="4" t="s">
        <v>1112</v>
      </c>
      <c r="AO71" s="4" t="s">
        <v>1383</v>
      </c>
    </row>
    <row r="72" spans="1:41" ht="18.75">
      <c r="A72" s="29"/>
      <c r="B72" s="4">
        <v>5</v>
      </c>
      <c r="C72" s="4">
        <v>0.2339795368874529</v>
      </c>
      <c r="D72" s="4">
        <v>0.21243941841680133</v>
      </c>
      <c r="E72" s="4">
        <v>0.3282175551965536</v>
      </c>
      <c r="F72" s="4">
        <v>0.35245018847603665</v>
      </c>
      <c r="I72" s="4">
        <v>1</v>
      </c>
      <c r="J72" s="4" t="s">
        <v>3334</v>
      </c>
      <c r="K72" s="4">
        <v>10.422455573505655</v>
      </c>
      <c r="L72" s="4">
        <v>7.6464728056004319</v>
      </c>
      <c r="M72" s="4">
        <v>7.4849219170705448</v>
      </c>
      <c r="P72" s="4">
        <v>0.5</v>
      </c>
      <c r="Q72" s="4">
        <v>0.23936456650511581</v>
      </c>
      <c r="R72" s="4">
        <v>0.2339795368874529</v>
      </c>
      <c r="S72" s="4">
        <v>9.7738287560581588E-2</v>
      </c>
      <c r="T72" s="4">
        <v>9.71997845988153E-2</v>
      </c>
      <c r="AG72" s="30"/>
      <c r="AK72" s="4">
        <v>4.0000000000000001E-3</v>
      </c>
      <c r="AL72" s="4">
        <v>2.2175635999999999E-2</v>
      </c>
      <c r="AM72" s="4" t="s">
        <v>1115</v>
      </c>
      <c r="AN72" s="4" t="s">
        <v>1112</v>
      </c>
      <c r="AO72" s="4" t="s">
        <v>1383</v>
      </c>
    </row>
    <row r="73" spans="1:41" ht="18.75">
      <c r="A73" s="29"/>
      <c r="B73" s="4">
        <v>10</v>
      </c>
      <c r="C73" s="4">
        <v>0.21513193322563276</v>
      </c>
      <c r="D73" s="4">
        <v>0.24744211093161014</v>
      </c>
      <c r="E73" s="4">
        <v>0.34437264404954232</v>
      </c>
      <c r="F73" s="4">
        <v>0.39553042541733985</v>
      </c>
      <c r="I73" s="4">
        <v>10</v>
      </c>
      <c r="J73" s="4" t="s">
        <v>3335</v>
      </c>
      <c r="K73" s="4">
        <v>10.748249865374261</v>
      </c>
      <c r="L73" s="4">
        <v>7.6464728056004319</v>
      </c>
      <c r="M73" s="4">
        <v>7.5549273021001619</v>
      </c>
      <c r="P73" s="4">
        <v>1</v>
      </c>
      <c r="Q73" s="4">
        <v>0.34975767366720523</v>
      </c>
      <c r="R73" s="4">
        <v>0.34975767366720523</v>
      </c>
      <c r="S73" s="4">
        <v>0.12008616047388261</v>
      </c>
      <c r="T73" s="4">
        <v>0.12627894453419494</v>
      </c>
      <c r="AG73" s="30"/>
      <c r="AK73" s="4">
        <v>4.0000000000000001E-3</v>
      </c>
      <c r="AL73" s="4">
        <v>1.8600769999999999E-2</v>
      </c>
      <c r="AM73" s="4" t="s">
        <v>1115</v>
      </c>
      <c r="AN73" s="4" t="s">
        <v>1112</v>
      </c>
      <c r="AO73" s="4" t="s">
        <v>1383</v>
      </c>
    </row>
    <row r="74" spans="1:41" ht="18.75">
      <c r="A74" s="29"/>
      <c r="B74" s="4">
        <v>20</v>
      </c>
      <c r="C74" s="4">
        <v>0.18712977921378568</v>
      </c>
      <c r="D74" s="4">
        <v>0.21243941841680133</v>
      </c>
      <c r="E74" s="4">
        <v>0.33629509962304799</v>
      </c>
      <c r="F74" s="4">
        <v>0.37937533656435113</v>
      </c>
      <c r="I74" s="4">
        <v>100</v>
      </c>
      <c r="J74" s="4" t="s">
        <v>3336</v>
      </c>
      <c r="K74" s="4">
        <v>10.812870220786214</v>
      </c>
      <c r="L74" s="4">
        <v>7.6222401723209483</v>
      </c>
      <c r="M74" s="4">
        <v>7.7891760904684979</v>
      </c>
      <c r="P74" s="4">
        <v>5</v>
      </c>
      <c r="Q74" s="4">
        <v>1.0309639203015617</v>
      </c>
      <c r="R74" s="4">
        <v>1.0201938610662358</v>
      </c>
      <c r="S74" s="4">
        <v>0.38206785137318261</v>
      </c>
      <c r="T74" s="4">
        <v>0.43053311793214866</v>
      </c>
      <c r="AG74" s="30"/>
      <c r="AK74" s="4">
        <v>0.126770246</v>
      </c>
      <c r="AL74" s="4">
        <v>3.6200109999999897E-2</v>
      </c>
      <c r="AM74" s="4" t="s">
        <v>1115</v>
      </c>
      <c r="AN74" s="4" t="s">
        <v>1112</v>
      </c>
      <c r="AO74" s="4" t="s">
        <v>1383</v>
      </c>
    </row>
    <row r="75" spans="1:41" ht="18.75">
      <c r="A75" s="29"/>
      <c r="B75" s="4">
        <v>50</v>
      </c>
      <c r="C75" s="4">
        <v>0.29321486268174479</v>
      </c>
      <c r="D75" s="4">
        <v>0.27705977382875607</v>
      </c>
      <c r="E75" s="4">
        <v>0.4439956919763059</v>
      </c>
      <c r="F75" s="4">
        <v>0.47092084006462037</v>
      </c>
      <c r="I75" s="4">
        <v>1000</v>
      </c>
      <c r="J75" s="4" t="s">
        <v>3337</v>
      </c>
      <c r="K75" s="4">
        <v>11.744480344641895</v>
      </c>
      <c r="L75" s="4">
        <v>9.0519655358104476</v>
      </c>
      <c r="M75" s="4">
        <v>9.5958535271944001</v>
      </c>
      <c r="P75" s="4">
        <v>10</v>
      </c>
      <c r="Q75" s="4">
        <v>1.5856219709208401</v>
      </c>
      <c r="R75" s="4">
        <v>1.8037156704361874</v>
      </c>
      <c r="S75" s="4">
        <v>0.69709208400646205</v>
      </c>
      <c r="T75" s="4">
        <v>1.3432956381260097</v>
      </c>
      <c r="AG75" s="30"/>
      <c r="AK75" s="4">
        <v>0.126770246</v>
      </c>
      <c r="AL75" s="4">
        <v>3.7025079000000002E-2</v>
      </c>
      <c r="AM75" s="4" t="s">
        <v>1115</v>
      </c>
      <c r="AN75" s="4" t="s">
        <v>1112</v>
      </c>
      <c r="AO75" s="4" t="s">
        <v>1383</v>
      </c>
    </row>
    <row r="76" spans="1:41" ht="18.75">
      <c r="A76" s="29"/>
      <c r="B76" s="4">
        <v>100</v>
      </c>
      <c r="C76" s="4">
        <v>1.2302100161550888</v>
      </c>
      <c r="D76" s="4">
        <v>1.1978998384491115</v>
      </c>
      <c r="E76" s="4">
        <v>2.8295638126009699</v>
      </c>
      <c r="F76" s="4">
        <v>4.7035541195476585</v>
      </c>
      <c r="I76" s="4">
        <v>10000</v>
      </c>
      <c r="J76" s="4" t="s">
        <v>3338</v>
      </c>
      <c r="K76" s="4">
        <v>16.49407646742057</v>
      </c>
      <c r="L76" s="4">
        <v>14.286214324178783</v>
      </c>
      <c r="M76" s="4">
        <v>14.156973613354873</v>
      </c>
      <c r="P76" s="4">
        <v>100</v>
      </c>
      <c r="Q76" s="4">
        <v>5.4036079698438346</v>
      </c>
      <c r="R76" s="4">
        <v>5.3362950996230483</v>
      </c>
      <c r="S76" s="4">
        <v>3.2765212708669904</v>
      </c>
      <c r="T76" s="4">
        <v>3.5269251480883148</v>
      </c>
      <c r="AG76" s="30"/>
      <c r="AK76" s="4">
        <v>0.40327237700000002</v>
      </c>
      <c r="AL76" s="4">
        <v>9.3672955000000002E-2</v>
      </c>
      <c r="AM76" s="4" t="s">
        <v>1115</v>
      </c>
      <c r="AN76" s="4" t="s">
        <v>1112</v>
      </c>
      <c r="AO76" s="4" t="s">
        <v>1383</v>
      </c>
    </row>
    <row r="77" spans="1:41" ht="18.75">
      <c r="A77" s="29"/>
      <c r="B77" s="4">
        <v>1000</v>
      </c>
      <c r="C77" s="4">
        <v>14.776252019386106</v>
      </c>
      <c r="D77" s="4">
        <v>15.850565428109855</v>
      </c>
      <c r="E77" s="4">
        <v>26.728325255788906</v>
      </c>
      <c r="F77" s="4">
        <v>28.936187399030697</v>
      </c>
      <c r="I77" s="4">
        <v>100000</v>
      </c>
      <c r="J77" s="4" t="s">
        <v>3339</v>
      </c>
      <c r="K77" s="4">
        <v>18.357296715131934</v>
      </c>
      <c r="L77" s="4">
        <v>17.533387183629511</v>
      </c>
      <c r="M77" s="4">
        <v>16.394453419493807</v>
      </c>
      <c r="P77" s="4">
        <v>1000</v>
      </c>
      <c r="Q77" s="4">
        <v>8.540387722132472</v>
      </c>
      <c r="R77" s="4">
        <v>8.2065158858373728</v>
      </c>
      <c r="S77" s="4">
        <v>5.3524501884760376</v>
      </c>
      <c r="T77" s="4">
        <v>5.1262789445341959</v>
      </c>
      <c r="AG77" s="30"/>
      <c r="AK77" s="4">
        <v>0.40327237700000002</v>
      </c>
      <c r="AL77" s="4">
        <v>9.0098088999999895E-2</v>
      </c>
      <c r="AM77" s="4" t="s">
        <v>1115</v>
      </c>
      <c r="AN77" s="4" t="s">
        <v>1112</v>
      </c>
      <c r="AO77" s="4" t="s">
        <v>1383</v>
      </c>
    </row>
    <row r="78" spans="1:41" ht="18.75">
      <c r="A78" s="29"/>
      <c r="AG78" s="30"/>
      <c r="AK78" s="4">
        <v>1.515605665</v>
      </c>
      <c r="AL78" s="4">
        <v>0.73164903100000001</v>
      </c>
      <c r="AM78" s="4" t="s">
        <v>1115</v>
      </c>
      <c r="AN78" s="4" t="s">
        <v>1112</v>
      </c>
      <c r="AO78" s="4" t="s">
        <v>1383</v>
      </c>
    </row>
    <row r="79" spans="1:41" ht="18.75">
      <c r="A79" s="29"/>
      <c r="AG79" s="30"/>
      <c r="AK79" s="4">
        <v>1.515605665</v>
      </c>
      <c r="AL79" s="4">
        <v>0.63540264000000002</v>
      </c>
      <c r="AM79" s="4" t="s">
        <v>1115</v>
      </c>
      <c r="AN79" s="4" t="s">
        <v>1112</v>
      </c>
      <c r="AO79" s="4" t="s">
        <v>1383</v>
      </c>
    </row>
    <row r="80" spans="1:41" ht="18.75">
      <c r="A80" s="29" t="s">
        <v>3373</v>
      </c>
      <c r="C80" s="4" t="s">
        <v>3340</v>
      </c>
      <c r="J80" s="4" t="s">
        <v>3340</v>
      </c>
      <c r="AG80" s="30"/>
      <c r="AK80" s="4">
        <v>4.3246253269999997</v>
      </c>
      <c r="AL80" s="4">
        <v>4.017775801</v>
      </c>
      <c r="AM80" s="4" t="s">
        <v>1115</v>
      </c>
      <c r="AN80" s="4" t="s">
        <v>1112</v>
      </c>
      <c r="AO80" s="4" t="s">
        <v>1383</v>
      </c>
    </row>
    <row r="81" spans="1:41" ht="18.75">
      <c r="A81" s="29"/>
      <c r="C81" s="4">
        <v>379</v>
      </c>
      <c r="E81" s="4">
        <v>380</v>
      </c>
      <c r="J81" s="4">
        <v>385</v>
      </c>
      <c r="L81" s="4">
        <v>386</v>
      </c>
      <c r="AG81" s="30"/>
      <c r="AK81" s="4">
        <v>4.3246253269999997</v>
      </c>
      <c r="AL81" s="4">
        <v>4.0040263170000001</v>
      </c>
      <c r="AM81" s="4" t="s">
        <v>1115</v>
      </c>
      <c r="AN81" s="4" t="s">
        <v>1112</v>
      </c>
      <c r="AO81" s="4" t="s">
        <v>1383</v>
      </c>
    </row>
    <row r="82" spans="1:41" ht="18.75">
      <c r="A82" s="29"/>
      <c r="B82" s="4" t="s">
        <v>1672</v>
      </c>
      <c r="C82" s="4" t="s">
        <v>3301</v>
      </c>
      <c r="E82" s="4" t="s">
        <v>3302</v>
      </c>
      <c r="I82" s="4" t="s">
        <v>3316</v>
      </c>
      <c r="J82" s="4" t="s">
        <v>3305</v>
      </c>
      <c r="L82" s="4" t="s">
        <v>3306</v>
      </c>
      <c r="AG82" s="30"/>
      <c r="AK82" s="4">
        <v>7.0868967410000003</v>
      </c>
      <c r="AL82" s="4">
        <v>11.945728506</v>
      </c>
      <c r="AM82" s="4" t="s">
        <v>1115</v>
      </c>
      <c r="AN82" s="4" t="s">
        <v>1112</v>
      </c>
      <c r="AO82" s="4" t="s">
        <v>1383</v>
      </c>
    </row>
    <row r="83" spans="1:41" ht="18.75">
      <c r="A83" s="29"/>
      <c r="B83" s="4">
        <v>0</v>
      </c>
      <c r="C83" s="4">
        <v>0.1496830814236958</v>
      </c>
      <c r="D83" s="4">
        <v>0.16951080773606372</v>
      </c>
      <c r="E83" s="4">
        <v>4.3881033642125845E-3</v>
      </c>
      <c r="F83" s="4">
        <v>5.3632374451487034E-3</v>
      </c>
      <c r="I83" s="4">
        <v>0</v>
      </c>
      <c r="J83" s="4">
        <v>7.1222168048106624</v>
      </c>
      <c r="K83" s="4">
        <v>6.2705997074597768</v>
      </c>
      <c r="L83" s="4">
        <v>0.72208678693320338</v>
      </c>
      <c r="M83" s="4">
        <v>0.74483991548837969</v>
      </c>
      <c r="AG83" s="30"/>
      <c r="AK83" s="4">
        <v>7.0868967410000003</v>
      </c>
      <c r="AL83" s="4">
        <v>10.595529136</v>
      </c>
      <c r="AM83" s="4" t="s">
        <v>1115</v>
      </c>
      <c r="AN83" s="4" t="s">
        <v>1112</v>
      </c>
      <c r="AO83" s="4" t="s">
        <v>1383</v>
      </c>
    </row>
    <row r="84" spans="1:41" ht="18.75">
      <c r="A84" s="29"/>
      <c r="B84" s="4">
        <v>1</v>
      </c>
      <c r="C84" s="4">
        <v>0.17048594181699983</v>
      </c>
      <c r="D84" s="4">
        <v>0.1919388915975947</v>
      </c>
      <c r="E84" s="4">
        <v>1.1376564277588215E-3</v>
      </c>
      <c r="F84" s="4">
        <v>4.3881033642125845E-3</v>
      </c>
      <c r="I84" s="4">
        <v>0.1</v>
      </c>
      <c r="J84" s="4">
        <v>6.4493742889647336</v>
      </c>
      <c r="K84" s="4">
        <v>6.0398179749715597</v>
      </c>
      <c r="L84" s="4">
        <v>1.17714935803673</v>
      </c>
      <c r="M84" s="4">
        <v>1.206403380464814</v>
      </c>
      <c r="AG84" s="30"/>
      <c r="AK84" s="4">
        <v>1.2949426E-2</v>
      </c>
      <c r="AL84" s="4">
        <v>3.8972424999999998E-2</v>
      </c>
      <c r="AM84" s="4" t="s">
        <v>1115</v>
      </c>
      <c r="AN84" s="4" t="s">
        <v>1114</v>
      </c>
      <c r="AO84" s="4" t="s">
        <v>1383</v>
      </c>
    </row>
    <row r="85" spans="1:41" ht="18.75">
      <c r="A85" s="29"/>
      <c r="B85" s="4">
        <v>5</v>
      </c>
      <c r="C85" s="4">
        <v>0.14805785795546891</v>
      </c>
      <c r="D85" s="4">
        <v>0.16691045018690071</v>
      </c>
      <c r="E85" s="4" t="s">
        <v>3374</v>
      </c>
      <c r="F85" s="4" t="s">
        <v>3375</v>
      </c>
      <c r="I85" s="4">
        <v>0.5</v>
      </c>
      <c r="J85" s="4">
        <v>9.0659840728100125</v>
      </c>
      <c r="K85" s="4">
        <v>9.2610108889972373</v>
      </c>
      <c r="L85" s="4">
        <v>2.1587843328457663</v>
      </c>
      <c r="M85" s="4">
        <v>2.1165285226718673</v>
      </c>
      <c r="AG85" s="30"/>
      <c r="AK85" s="4">
        <v>1.2949426E-2</v>
      </c>
      <c r="AL85" s="4">
        <v>3.5912500999999999E-2</v>
      </c>
      <c r="AM85" s="4" t="s">
        <v>1115</v>
      </c>
      <c r="AN85" s="4" t="s">
        <v>1114</v>
      </c>
      <c r="AO85" s="4" t="s">
        <v>1383</v>
      </c>
    </row>
    <row r="86" spans="1:41" ht="18.75">
      <c r="A86" s="29"/>
      <c r="B86" s="4">
        <v>10</v>
      </c>
      <c r="C86" s="4">
        <v>0.16691045018690071</v>
      </c>
      <c r="D86" s="4">
        <v>0.1929140256785308</v>
      </c>
      <c r="E86" s="4">
        <v>1.4627011214041793E-3</v>
      </c>
      <c r="F86" s="4">
        <v>1.7877458150495603E-3</v>
      </c>
      <c r="I86" s="4">
        <v>1</v>
      </c>
      <c r="J86" s="4">
        <v>11.078010726474892</v>
      </c>
      <c r="K86" s="4">
        <v>10.674955306354624</v>
      </c>
      <c r="L86" s="4">
        <v>3.9725337233869662</v>
      </c>
      <c r="M86" s="4">
        <v>4.4210954006175855</v>
      </c>
      <c r="AG86" s="30"/>
      <c r="AK86" s="4">
        <v>1.1257968549999999</v>
      </c>
      <c r="AL86" s="4">
        <v>21.941139866</v>
      </c>
      <c r="AM86" s="4" t="s">
        <v>1115</v>
      </c>
      <c r="AN86" s="4" t="s">
        <v>1114</v>
      </c>
      <c r="AO86" s="4" t="s">
        <v>1383</v>
      </c>
    </row>
    <row r="87" spans="1:41" ht="18.75">
      <c r="A87" s="29"/>
      <c r="B87" s="4">
        <v>20</v>
      </c>
      <c r="C87" s="4">
        <v>0.16528522671867382</v>
      </c>
      <c r="D87" s="4">
        <v>0.18836339996749554</v>
      </c>
      <c r="E87" s="4" t="s">
        <v>3376</v>
      </c>
      <c r="F87" s="4" t="s">
        <v>3377</v>
      </c>
      <c r="I87" s="4">
        <v>5</v>
      </c>
      <c r="J87" s="4">
        <v>14.790021127905087</v>
      </c>
      <c r="K87" s="4">
        <v>14.744514870794735</v>
      </c>
      <c r="L87" s="4">
        <v>8.9262148545425006</v>
      </c>
      <c r="M87" s="4">
        <v>8.6791808873720147</v>
      </c>
      <c r="AG87" s="30"/>
      <c r="AK87" s="4">
        <v>1.1257968549999999</v>
      </c>
      <c r="AL87" s="4">
        <v>23.759244416000001</v>
      </c>
      <c r="AM87" s="4" t="s">
        <v>1115</v>
      </c>
      <c r="AN87" s="4" t="s">
        <v>1114</v>
      </c>
      <c r="AO87" s="4" t="s">
        <v>1383</v>
      </c>
    </row>
    <row r="88" spans="1:41" ht="18.75">
      <c r="A88" s="29"/>
      <c r="B88" s="4">
        <v>50</v>
      </c>
      <c r="C88" s="4">
        <v>0.33853404843165941</v>
      </c>
      <c r="D88" s="4">
        <v>0.28977734438485298</v>
      </c>
      <c r="E88" s="4">
        <v>3.7380139769218226E-3</v>
      </c>
      <c r="F88" s="4">
        <v>4.8756704046805979E-4</v>
      </c>
      <c r="I88" s="4">
        <v>10</v>
      </c>
      <c r="J88" s="4">
        <v>17.299366162847392</v>
      </c>
      <c r="K88" s="4">
        <v>16.317731188038355</v>
      </c>
      <c r="L88" s="4">
        <v>10.193889159759468</v>
      </c>
      <c r="M88" s="4">
        <v>10.382415082073786</v>
      </c>
      <c r="AG88" s="30"/>
      <c r="AK88" s="4">
        <v>2.080747981</v>
      </c>
      <c r="AL88" s="4">
        <v>27.941139866</v>
      </c>
      <c r="AM88" s="4" t="s">
        <v>1115</v>
      </c>
      <c r="AN88" s="4" t="s">
        <v>1114</v>
      </c>
      <c r="AO88" s="4" t="s">
        <v>1383</v>
      </c>
    </row>
    <row r="89" spans="1:41" ht="18.75">
      <c r="A89" s="29"/>
      <c r="B89" s="4">
        <v>100</v>
      </c>
      <c r="C89" s="4">
        <v>0.70583455225093461</v>
      </c>
      <c r="D89" s="4">
        <v>0.50755728912725506</v>
      </c>
      <c r="E89" s="4">
        <v>2.3890784982935159E-2</v>
      </c>
      <c r="F89" s="4">
        <v>1.7389891110027634E-2</v>
      </c>
      <c r="I89" s="4">
        <v>100</v>
      </c>
      <c r="J89" s="4">
        <v>21.638712823013165</v>
      </c>
      <c r="K89" s="4">
        <v>19.79570941004388</v>
      </c>
      <c r="L89" s="4">
        <v>15.680643588493417</v>
      </c>
      <c r="M89" s="4">
        <v>15.680643588493417</v>
      </c>
      <c r="AG89" s="30"/>
      <c r="AK89" s="4">
        <v>2.080747981</v>
      </c>
      <c r="AL89" s="4">
        <v>27.686146246</v>
      </c>
      <c r="AM89" s="4" t="s">
        <v>1115</v>
      </c>
      <c r="AN89" s="4" t="s">
        <v>1114</v>
      </c>
      <c r="AO89" s="4" t="s">
        <v>1383</v>
      </c>
    </row>
    <row r="90" spans="1:41" ht="18.75">
      <c r="A90" s="29"/>
      <c r="B90" s="4">
        <v>1000</v>
      </c>
      <c r="C90" s="4">
        <v>12.921014139444175</v>
      </c>
      <c r="D90" s="4">
        <v>7.7658052982285071</v>
      </c>
      <c r="E90" s="4">
        <v>1.8304891922639364</v>
      </c>
      <c r="F90" s="4">
        <v>1.9410043881033643</v>
      </c>
      <c r="I90" s="4">
        <v>1000</v>
      </c>
      <c r="J90" s="4">
        <v>24.161059645701286</v>
      </c>
      <c r="K90" s="4">
        <v>24.833902161547215</v>
      </c>
      <c r="L90" s="4">
        <v>18.167235494880547</v>
      </c>
      <c r="M90" s="4">
        <v>17.458638062733627</v>
      </c>
      <c r="AG90" s="30"/>
      <c r="AK90" s="4">
        <v>4.6816829579999997</v>
      </c>
      <c r="AL90" s="4">
        <v>31.477901446000001</v>
      </c>
      <c r="AM90" s="4" t="s">
        <v>1115</v>
      </c>
      <c r="AN90" s="4" t="s">
        <v>1114</v>
      </c>
      <c r="AO90" s="4" t="s">
        <v>1383</v>
      </c>
    </row>
    <row r="91" spans="1:41" ht="18.75">
      <c r="A91" s="29"/>
      <c r="AG91" s="30"/>
      <c r="AK91" s="4">
        <v>4.6816829579999997</v>
      </c>
      <c r="AL91" s="4">
        <v>29.430302636</v>
      </c>
      <c r="AM91" s="4" t="s">
        <v>1115</v>
      </c>
      <c r="AN91" s="4" t="s">
        <v>1114</v>
      </c>
      <c r="AO91" s="4" t="s">
        <v>1383</v>
      </c>
    </row>
    <row r="92" spans="1:41" ht="18.75">
      <c r="A92" s="29"/>
      <c r="AG92" s="30"/>
      <c r="AK92" s="4">
        <v>8.0883977890000001</v>
      </c>
      <c r="AL92" s="4">
        <v>32.454527036000002</v>
      </c>
      <c r="AM92" s="4" t="s">
        <v>1115</v>
      </c>
      <c r="AN92" s="4" t="s">
        <v>1114</v>
      </c>
      <c r="AO92" s="4" t="s">
        <v>1383</v>
      </c>
    </row>
    <row r="93" spans="1:41" ht="18.75">
      <c r="A93" s="29"/>
      <c r="B93" s="4">
        <v>381</v>
      </c>
      <c r="C93" s="4" t="s">
        <v>3341</v>
      </c>
      <c r="F93" s="4">
        <v>382</v>
      </c>
      <c r="G93" s="4" t="s">
        <v>3342</v>
      </c>
      <c r="AG93" s="30"/>
      <c r="AK93" s="4">
        <v>8.0883977890000001</v>
      </c>
      <c r="AL93" s="4">
        <v>34.606673225999998</v>
      </c>
      <c r="AM93" s="4" t="s">
        <v>1115</v>
      </c>
      <c r="AN93" s="4" t="s">
        <v>1114</v>
      </c>
      <c r="AO93" s="4" t="s">
        <v>1383</v>
      </c>
    </row>
    <row r="94" spans="1:41" ht="18.75">
      <c r="A94" s="29"/>
      <c r="B94" s="4">
        <v>381</v>
      </c>
      <c r="F94" s="4">
        <v>382</v>
      </c>
      <c r="L94" s="4">
        <v>381</v>
      </c>
      <c r="N94" s="4">
        <v>382</v>
      </c>
      <c r="R94" s="4">
        <v>381</v>
      </c>
      <c r="V94" s="4">
        <v>382</v>
      </c>
      <c r="AB94" s="4">
        <v>381</v>
      </c>
      <c r="AD94" s="4">
        <v>382</v>
      </c>
      <c r="AG94" s="30"/>
      <c r="AK94" s="4">
        <v>0.64855328199999995</v>
      </c>
      <c r="AL94" s="4">
        <v>19.798670955999999</v>
      </c>
      <c r="AM94" s="4" t="s">
        <v>1115</v>
      </c>
      <c r="AN94" s="4" t="s">
        <v>1114</v>
      </c>
      <c r="AO94" s="4" t="s">
        <v>1383</v>
      </c>
    </row>
    <row r="95" spans="1:41" ht="18.75">
      <c r="A95" s="29" t="s">
        <v>3343</v>
      </c>
      <c r="B95" s="4" t="s">
        <v>3344</v>
      </c>
      <c r="E95" s="4" t="s">
        <v>3343</v>
      </c>
      <c r="F95" s="4" t="s">
        <v>3345</v>
      </c>
      <c r="K95" s="4" t="s">
        <v>3343</v>
      </c>
      <c r="L95" s="4" t="s">
        <v>3346</v>
      </c>
      <c r="N95" s="4" t="s">
        <v>3346</v>
      </c>
      <c r="Q95" s="4" t="s">
        <v>3343</v>
      </c>
      <c r="R95" s="4" t="s">
        <v>3347</v>
      </c>
      <c r="U95" s="4" t="s">
        <v>3343</v>
      </c>
      <c r="V95" s="4" t="s">
        <v>3348</v>
      </c>
      <c r="AA95" s="4" t="s">
        <v>3343</v>
      </c>
      <c r="AB95" s="4" t="s">
        <v>3349</v>
      </c>
      <c r="AD95" s="4" t="s">
        <v>3349</v>
      </c>
      <c r="AG95" s="30"/>
      <c r="AK95" s="4">
        <v>0.64855328199999995</v>
      </c>
      <c r="AL95" s="4">
        <v>19.321606736</v>
      </c>
      <c r="AM95" s="4" t="s">
        <v>1115</v>
      </c>
      <c r="AN95" s="4" t="s">
        <v>1114</v>
      </c>
      <c r="AO95" s="4" t="s">
        <v>1383</v>
      </c>
    </row>
    <row r="96" spans="1:41" ht="18.75">
      <c r="A96" s="29">
        <v>0</v>
      </c>
      <c r="B96" s="4">
        <v>6.2025172918497309E-2</v>
      </c>
      <c r="C96" s="4">
        <v>6.5426919148652882E-2</v>
      </c>
      <c r="D96" s="4">
        <v>6.0664474426435092E-2</v>
      </c>
      <c r="E96" s="4">
        <v>0</v>
      </c>
      <c r="F96" s="4">
        <v>6.2025172918497309E-2</v>
      </c>
      <c r="G96" s="4">
        <v>5.9643950557388407E-2</v>
      </c>
      <c r="H96" s="4">
        <v>6.3385871410559527E-2</v>
      </c>
      <c r="K96" s="4">
        <v>0</v>
      </c>
      <c r="L96" s="4">
        <v>1.5737611975996304</v>
      </c>
      <c r="M96" s="4">
        <v>1.5159315116869858</v>
      </c>
      <c r="N96" s="4">
        <v>7.1550062362932876E-2</v>
      </c>
      <c r="O96" s="4">
        <v>7.1550062362932876E-2</v>
      </c>
      <c r="Q96" s="4">
        <v>0</v>
      </c>
      <c r="R96" s="4">
        <v>5.1394313447636189E-2</v>
      </c>
      <c r="S96" s="4">
        <v>5.5106124974409906E-2</v>
      </c>
      <c r="T96" s="4">
        <v>5.2536409302028103E-2</v>
      </c>
      <c r="U96" s="4">
        <v>0</v>
      </c>
      <c r="V96" s="4">
        <v>5.2536409302028103E-2</v>
      </c>
      <c r="W96" s="4">
        <v>5.4535077047213963E-2</v>
      </c>
      <c r="X96" s="4">
        <v>5.1965361374832139E-2</v>
      </c>
      <c r="AA96" s="4">
        <v>0</v>
      </c>
      <c r="AB96" s="4">
        <v>1.1246788926124387</v>
      </c>
      <c r="AC96" s="4">
        <v>1.0590083809849036</v>
      </c>
      <c r="AD96" s="4">
        <v>5.1965361374832139E-2</v>
      </c>
      <c r="AE96" s="4">
        <v>5.7390316683193755E-2</v>
      </c>
      <c r="AG96" s="30"/>
      <c r="AK96" s="4">
        <v>2.0825688069999999</v>
      </c>
      <c r="AL96" s="4">
        <v>24.083780346000001</v>
      </c>
      <c r="AM96" s="4" t="s">
        <v>1115</v>
      </c>
      <c r="AN96" s="4" t="s">
        <v>1114</v>
      </c>
      <c r="AO96" s="4" t="s">
        <v>1383</v>
      </c>
    </row>
    <row r="97" spans="1:41" ht="18.75">
      <c r="A97" s="29">
        <v>0.1</v>
      </c>
      <c r="B97" s="4">
        <v>6.6107268394683977E-2</v>
      </c>
      <c r="C97" s="4">
        <v>6.6447443017699531E-2</v>
      </c>
      <c r="D97" s="4">
        <v>6.6107268394683977E-2</v>
      </c>
      <c r="E97" s="4">
        <v>0.1</v>
      </c>
      <c r="F97" s="4">
        <v>6.7467966886746222E-2</v>
      </c>
      <c r="G97" s="4">
        <v>6.032429980341953E-2</v>
      </c>
      <c r="H97" s="4">
        <v>6.2025172918497309E-2</v>
      </c>
      <c r="K97" s="4">
        <v>0.1</v>
      </c>
      <c r="L97" s="4">
        <v>1.6417961222027415</v>
      </c>
      <c r="M97" s="4">
        <v>1.5057262729965191</v>
      </c>
      <c r="N97" s="4">
        <v>7.5291983216104003E-2</v>
      </c>
      <c r="O97" s="4">
        <v>8.0394602561337361E-2</v>
      </c>
      <c r="Q97" s="4">
        <v>0.1</v>
      </c>
      <c r="R97" s="4">
        <v>5.6819268755997784E-2</v>
      </c>
      <c r="S97" s="4">
        <v>6.024555631917354E-2</v>
      </c>
      <c r="T97" s="4">
        <v>5.3107457229224067E-2</v>
      </c>
      <c r="U97" s="4">
        <v>0.1</v>
      </c>
      <c r="V97" s="4">
        <v>5.8532412537585662E-2</v>
      </c>
      <c r="W97" s="4">
        <v>6.0816604246369484E-2</v>
      </c>
      <c r="X97" s="4">
        <v>5.7961364610389698E-2</v>
      </c>
      <c r="AA97" s="4">
        <v>0.1</v>
      </c>
      <c r="AB97" s="4">
        <v>1.1617970078801758</v>
      </c>
      <c r="AC97" s="4">
        <v>1.0475874224409842</v>
      </c>
      <c r="AD97" s="4">
        <v>5.9103460464781606E-2</v>
      </c>
      <c r="AE97" s="4">
        <v>6.0531080282771502E-2</v>
      </c>
      <c r="AG97" s="30"/>
      <c r="AK97" s="4">
        <v>2.0825688069999999</v>
      </c>
      <c r="AL97" s="4">
        <v>24.456398545999999</v>
      </c>
      <c r="AM97" s="4" t="s">
        <v>1115</v>
      </c>
      <c r="AN97" s="4" t="s">
        <v>1114</v>
      </c>
      <c r="AO97" s="4" t="s">
        <v>1383</v>
      </c>
    </row>
    <row r="98" spans="1:41" ht="18.75">
      <c r="A98" s="29">
        <v>1</v>
      </c>
      <c r="B98" s="4">
        <v>9.1960539743866268E-2</v>
      </c>
      <c r="C98" s="4">
        <v>9.4001587481959609E-2</v>
      </c>
      <c r="D98" s="4">
        <v>9.2981063612912959E-2</v>
      </c>
      <c r="E98" s="4">
        <v>1</v>
      </c>
      <c r="F98" s="4">
        <v>7.461163397007288E-2</v>
      </c>
      <c r="G98" s="4">
        <v>6.406622065659065E-2</v>
      </c>
      <c r="H98" s="4">
        <v>6.9509014624839535E-2</v>
      </c>
      <c r="K98" s="4">
        <v>1</v>
      </c>
      <c r="L98" s="4">
        <v>2.4071890239877436</v>
      </c>
      <c r="M98" s="4">
        <v>2.3493593380750992</v>
      </c>
      <c r="N98" s="4">
        <v>8.0734777184352916E-2</v>
      </c>
      <c r="O98" s="4">
        <v>8.583739652958626E-2</v>
      </c>
      <c r="Q98" s="4">
        <v>1</v>
      </c>
      <c r="R98" s="4">
        <v>6.9382323154308853E-2</v>
      </c>
      <c r="S98" s="4">
        <v>7.0809942972298742E-2</v>
      </c>
      <c r="T98" s="4">
        <v>7.851908998944418E-2</v>
      </c>
      <c r="U98" s="4">
        <v>1</v>
      </c>
      <c r="V98" s="4">
        <v>5.8532412537585662E-2</v>
      </c>
      <c r="W98" s="4">
        <v>5.6533744792399802E-2</v>
      </c>
      <c r="X98" s="4">
        <v>6.224422406435938E-2</v>
      </c>
      <c r="AA98" s="4">
        <v>1</v>
      </c>
      <c r="AB98" s="4">
        <v>1.7471211332560326</v>
      </c>
      <c r="AC98" s="4">
        <v>1.6243458289089017</v>
      </c>
      <c r="AD98" s="4">
        <v>6.3957367845947258E-2</v>
      </c>
      <c r="AE98" s="4">
        <v>6.0816604246369484E-2</v>
      </c>
      <c r="AG98" s="30"/>
      <c r="AK98" s="4">
        <v>4.8574453069999999</v>
      </c>
      <c r="AL98" s="4">
        <v>31.519207296000001</v>
      </c>
      <c r="AM98" s="4" t="s">
        <v>1115</v>
      </c>
      <c r="AN98" s="4" t="s">
        <v>1114</v>
      </c>
      <c r="AO98" s="4" t="s">
        <v>1383</v>
      </c>
    </row>
    <row r="99" spans="1:41" ht="18.75">
      <c r="A99" s="29">
        <v>5</v>
      </c>
      <c r="B99" s="4">
        <v>0.26408889898973786</v>
      </c>
      <c r="C99" s="4">
        <v>0.29810636129129348</v>
      </c>
      <c r="D99" s="4">
        <v>0.30490985375160462</v>
      </c>
      <c r="E99" s="4">
        <v>5</v>
      </c>
      <c r="F99" s="4">
        <v>8.1415126430384011E-2</v>
      </c>
      <c r="G99" s="4">
        <v>7.9033904069275129E-2</v>
      </c>
      <c r="H99" s="4">
        <v>7.1550062362932876E-2</v>
      </c>
      <c r="K99" s="4">
        <v>5</v>
      </c>
      <c r="L99" s="4">
        <v>7.6458782184273124</v>
      </c>
      <c r="M99" s="4">
        <v>8.2309785700140701</v>
      </c>
      <c r="N99" s="4">
        <v>0.10556752466448853</v>
      </c>
      <c r="O99" s="4">
        <v>0.10658804853353521</v>
      </c>
      <c r="Q99" s="4">
        <v>5</v>
      </c>
      <c r="R99" s="4">
        <v>0.18987343579265592</v>
      </c>
      <c r="S99" s="4">
        <v>0.25097556400262344</v>
      </c>
      <c r="T99" s="4">
        <v>0.26239652254654255</v>
      </c>
      <c r="U99" s="4">
        <v>5</v>
      </c>
      <c r="V99" s="4">
        <v>6.5956035591133111E-2</v>
      </c>
      <c r="W99" s="4">
        <v>6.3957367845947258E-2</v>
      </c>
      <c r="X99" s="4">
        <v>7.0809942972298742E-2</v>
      </c>
      <c r="AA99" s="4">
        <v>5</v>
      </c>
      <c r="AB99" s="4">
        <v>6.9864858652789446</v>
      </c>
      <c r="AC99" s="4">
        <v>6.7352247773127232</v>
      </c>
      <c r="AD99" s="4">
        <v>7.4521754499072487E-2</v>
      </c>
      <c r="AE99" s="4">
        <v>7.5663850353464387E-2</v>
      </c>
      <c r="AG99" s="30"/>
      <c r="AK99" s="4">
        <v>4.8574453069999999</v>
      </c>
      <c r="AL99" s="4">
        <v>31.713984996000001</v>
      </c>
      <c r="AM99" s="4" t="s">
        <v>1115</v>
      </c>
      <c r="AN99" s="4" t="s">
        <v>1114</v>
      </c>
      <c r="AO99" s="4" t="s">
        <v>1383</v>
      </c>
    </row>
    <row r="100" spans="1:41" ht="18.75">
      <c r="A100" s="29">
        <v>10</v>
      </c>
      <c r="B100" s="4">
        <v>0.58045129839420539</v>
      </c>
      <c r="C100" s="4">
        <v>0.80496654958447267</v>
      </c>
      <c r="D100" s="4">
        <v>0.75734210236229471</v>
      </c>
      <c r="E100" s="4">
        <v>10</v>
      </c>
      <c r="F100" s="4">
        <v>9.5022111351006272E-2</v>
      </c>
      <c r="G100" s="4">
        <v>7.8013380200228452E-2</v>
      </c>
      <c r="H100" s="4">
        <v>8.0734777184352916E-2</v>
      </c>
      <c r="K100" s="4">
        <v>10</v>
      </c>
      <c r="L100" s="4">
        <v>11.969497676955035</v>
      </c>
      <c r="M100" s="4">
        <v>12.11917451108188</v>
      </c>
      <c r="N100" s="4">
        <v>0.12903957365256191</v>
      </c>
      <c r="O100" s="4">
        <v>0.14945005103349532</v>
      </c>
      <c r="Q100" s="4">
        <v>10</v>
      </c>
      <c r="R100" s="4">
        <v>0.45084233852120859</v>
      </c>
      <c r="S100" s="4">
        <v>0.59074908068421828</v>
      </c>
      <c r="T100" s="4">
        <v>0.6963929472154704</v>
      </c>
      <c r="U100" s="4">
        <v>10</v>
      </c>
      <c r="V100" s="4">
        <v>6.8811275227112903E-2</v>
      </c>
      <c r="W100" s="4">
        <v>7.3379658644680545E-2</v>
      </c>
      <c r="X100" s="4">
        <v>7.3950706571876523E-2</v>
      </c>
      <c r="AA100" s="4">
        <v>10</v>
      </c>
      <c r="AB100" s="4">
        <v>9.8788436165264706</v>
      </c>
      <c r="AC100" s="4">
        <v>10.40706294918273</v>
      </c>
      <c r="AD100" s="4">
        <v>9.9076815368498647E-2</v>
      </c>
      <c r="AE100" s="4">
        <v>9.9076815368498647E-2</v>
      </c>
      <c r="AG100" s="30"/>
      <c r="AK100" s="4">
        <v>6.9181369090000002</v>
      </c>
      <c r="AL100" s="4">
        <v>42.652587675999897</v>
      </c>
      <c r="AM100" s="4" t="s">
        <v>1115</v>
      </c>
      <c r="AN100" s="4" t="s">
        <v>1114</v>
      </c>
      <c r="AO100" s="4" t="s">
        <v>1383</v>
      </c>
    </row>
    <row r="101" spans="1:41" ht="18.75">
      <c r="A101" s="29">
        <v>50</v>
      </c>
      <c r="B101" s="4">
        <v>3.3766866995820797</v>
      </c>
      <c r="C101" s="4">
        <v>3.4209094005741019</v>
      </c>
      <c r="D101" s="4">
        <v>3.3052500287488127</v>
      </c>
      <c r="E101" s="4">
        <v>50</v>
      </c>
      <c r="F101" s="4">
        <v>0.1372037646049353</v>
      </c>
      <c r="G101" s="4">
        <v>0.12393695430732857</v>
      </c>
      <c r="H101" s="4">
        <v>0.12529765279939081</v>
      </c>
      <c r="K101" s="4">
        <v>50</v>
      </c>
      <c r="L101" s="4">
        <v>18.157274069608007</v>
      </c>
      <c r="M101" s="4">
        <v>17.827304685282918</v>
      </c>
      <c r="N101" s="4">
        <v>0.31511509244207131</v>
      </c>
      <c r="O101" s="4">
        <v>0.31851683867222685</v>
      </c>
      <c r="Q101" s="4">
        <v>50</v>
      </c>
      <c r="R101" s="4">
        <v>2.2153804335567178</v>
      </c>
      <c r="S101" s="4">
        <v>2.3295900189959093</v>
      </c>
      <c r="T101" s="4">
        <v>2.6436663789536858</v>
      </c>
      <c r="U101" s="4">
        <v>50</v>
      </c>
      <c r="V101" s="4">
        <v>0.10364519878606632</v>
      </c>
      <c r="W101" s="4">
        <v>9.3651860060137052E-2</v>
      </c>
      <c r="X101" s="4">
        <v>0.10278862689527238</v>
      </c>
      <c r="AA101" s="4">
        <v>50</v>
      </c>
      <c r="AB101" s="4">
        <v>14.570002338441261</v>
      </c>
      <c r="AC101" s="4">
        <v>14.261636457755444</v>
      </c>
      <c r="AD101" s="4">
        <v>0.20986011324451445</v>
      </c>
      <c r="AE101" s="4">
        <v>0.1590368477240742</v>
      </c>
      <c r="AG101" s="30"/>
      <c r="AK101" s="4">
        <v>6.9181369090000002</v>
      </c>
      <c r="AL101" s="4">
        <v>42.782439475999901</v>
      </c>
      <c r="AM101" s="4" t="s">
        <v>1115</v>
      </c>
      <c r="AN101" s="4" t="s">
        <v>1114</v>
      </c>
      <c r="AO101" s="4" t="s">
        <v>1383</v>
      </c>
    </row>
    <row r="102" spans="1:41" ht="18.75">
      <c r="A102" s="29">
        <v>100</v>
      </c>
      <c r="B102" s="4">
        <v>4.2509354807320596</v>
      </c>
      <c r="C102" s="4">
        <v>4.5638961339063711</v>
      </c>
      <c r="D102" s="4">
        <v>4.1454813475972365</v>
      </c>
      <c r="E102" s="4">
        <v>100</v>
      </c>
      <c r="F102" s="4">
        <v>0.13788411385096638</v>
      </c>
      <c r="G102" s="4">
        <v>0.14400725706524642</v>
      </c>
      <c r="H102" s="4">
        <v>0.13346184375176418</v>
      </c>
      <c r="K102" s="4">
        <v>100</v>
      </c>
      <c r="L102" s="4">
        <v>20.582719131708924</v>
      </c>
      <c r="M102" s="4">
        <v>20.021431003733255</v>
      </c>
      <c r="N102" s="4">
        <v>0.34573080851347138</v>
      </c>
      <c r="O102" s="4">
        <v>0.27429413768020455</v>
      </c>
      <c r="Q102" s="4">
        <v>100</v>
      </c>
      <c r="R102" s="4">
        <v>3.254687661053361</v>
      </c>
      <c r="S102" s="4">
        <v>3.2946610159570779</v>
      </c>
      <c r="T102" s="4">
        <v>3.5402116246513398</v>
      </c>
      <c r="U102" s="4">
        <v>100</v>
      </c>
      <c r="V102" s="4">
        <v>0.11278196562120164</v>
      </c>
      <c r="W102" s="4">
        <v>0.10564386653125217</v>
      </c>
      <c r="X102" s="4">
        <v>0.12020558867474909</v>
      </c>
      <c r="AA102" s="4">
        <v>100</v>
      </c>
      <c r="AB102" s="4">
        <v>17.342440024977638</v>
      </c>
      <c r="AC102" s="4">
        <v>16.214620368765619</v>
      </c>
      <c r="AD102" s="4">
        <v>0.18758924408387206</v>
      </c>
      <c r="AE102" s="4">
        <v>0.17645380950355094</v>
      </c>
      <c r="AG102" s="30"/>
      <c r="AK102" s="4">
        <v>4.0000000000000001E-3</v>
      </c>
      <c r="AL102" s="4">
        <v>-5.099353E-3</v>
      </c>
      <c r="AM102" s="4" t="s">
        <v>1115</v>
      </c>
      <c r="AN102" s="4" t="s">
        <v>1114</v>
      </c>
      <c r="AO102" s="4" t="s">
        <v>1383</v>
      </c>
    </row>
    <row r="103" spans="1:41" ht="18.75">
      <c r="A103" s="29">
        <v>1000</v>
      </c>
      <c r="B103" s="4">
        <v>6.0470574902541978</v>
      </c>
      <c r="C103" s="4">
        <v>6.4348565604919319</v>
      </c>
      <c r="D103" s="4">
        <v>5.846354462675019</v>
      </c>
      <c r="E103" s="4">
        <v>1000</v>
      </c>
      <c r="F103" s="4">
        <v>0.1698605284144287</v>
      </c>
      <c r="G103" s="4">
        <v>0.14536795555730861</v>
      </c>
      <c r="H103" s="4">
        <v>0.14672865404937085</v>
      </c>
      <c r="K103" s="4">
        <v>1000</v>
      </c>
      <c r="L103" s="4">
        <v>22.283592246786707</v>
      </c>
      <c r="M103" s="4">
        <v>22.351627171389818</v>
      </c>
      <c r="N103" s="4">
        <v>0.40356049442611602</v>
      </c>
      <c r="O103" s="4">
        <v>0.35253430097378252</v>
      </c>
      <c r="Q103" s="4">
        <v>1000</v>
      </c>
      <c r="R103" s="4">
        <v>4.0284576024038836</v>
      </c>
      <c r="S103" s="4">
        <v>4.2597320129182465</v>
      </c>
      <c r="T103" s="4">
        <v>4.0798519158515196</v>
      </c>
      <c r="U103" s="4">
        <v>1000</v>
      </c>
      <c r="V103" s="4">
        <v>0.13876464630861773</v>
      </c>
      <c r="W103" s="4">
        <v>0.134767310818246</v>
      </c>
      <c r="X103" s="4">
        <v>0.13762255045422578</v>
      </c>
      <c r="AA103" s="4">
        <v>1000</v>
      </c>
      <c r="AB103" s="4">
        <v>17.448083891508887</v>
      </c>
      <c r="AC103" s="4">
        <v>17.131152291915132</v>
      </c>
      <c r="AD103" s="4">
        <v>0.256686043274583</v>
      </c>
      <c r="AE103" s="4">
        <v>0.22527840727880533</v>
      </c>
      <c r="AG103" s="30"/>
      <c r="AK103" s="4">
        <v>4.0000000000000001E-3</v>
      </c>
      <c r="AL103" s="4">
        <v>-6.4743020000000004E-3</v>
      </c>
      <c r="AM103" s="4" t="s">
        <v>1115</v>
      </c>
      <c r="AN103" s="4" t="s">
        <v>1114</v>
      </c>
      <c r="AO103" s="4" t="s">
        <v>1383</v>
      </c>
    </row>
    <row r="104" spans="1:41" ht="18.75">
      <c r="A104" s="29"/>
      <c r="AG104" s="30"/>
      <c r="AK104" s="4">
        <v>0.126770246</v>
      </c>
      <c r="AL104" s="4">
        <v>8.5391052389999995</v>
      </c>
      <c r="AM104" s="4" t="s">
        <v>1115</v>
      </c>
      <c r="AN104" s="4" t="s">
        <v>1114</v>
      </c>
      <c r="AO104" s="4" t="s">
        <v>1383</v>
      </c>
    </row>
    <row r="105" spans="1:41" ht="18.75">
      <c r="A105" s="29"/>
      <c r="AG105" s="30"/>
      <c r="AK105" s="4">
        <v>0.126770246</v>
      </c>
      <c r="AL105" s="4">
        <v>9.1413326549999994</v>
      </c>
      <c r="AM105" s="4" t="s">
        <v>1115</v>
      </c>
      <c r="AN105" s="4" t="s">
        <v>1114</v>
      </c>
      <c r="AO105" s="4" t="s">
        <v>1383</v>
      </c>
    </row>
    <row r="106" spans="1:41" ht="18.75">
      <c r="A106" s="29" t="s">
        <v>3350</v>
      </c>
      <c r="AG106" s="30"/>
      <c r="AK106" s="4">
        <v>0.40327237700000002</v>
      </c>
      <c r="AL106" s="4">
        <v>16.513806186</v>
      </c>
      <c r="AM106" s="4" t="s">
        <v>1115</v>
      </c>
      <c r="AN106" s="4" t="s">
        <v>1114</v>
      </c>
      <c r="AO106" s="4" t="s">
        <v>1383</v>
      </c>
    </row>
    <row r="107" spans="1:41" ht="18.75">
      <c r="A107" s="29"/>
      <c r="B107" s="4" t="s">
        <v>3351</v>
      </c>
      <c r="M107" s="4" t="s">
        <v>3352</v>
      </c>
      <c r="X107" s="4" t="s">
        <v>3353</v>
      </c>
      <c r="AG107" s="30"/>
      <c r="AK107" s="4">
        <v>0.40327237700000002</v>
      </c>
      <c r="AL107" s="4">
        <v>17.187530926000001</v>
      </c>
      <c r="AM107" s="4" t="s">
        <v>1115</v>
      </c>
      <c r="AN107" s="4" t="s">
        <v>1114</v>
      </c>
      <c r="AO107" s="4" t="s">
        <v>1383</v>
      </c>
    </row>
    <row r="108" spans="1:41" ht="18.75">
      <c r="A108" s="29" t="s">
        <v>784</v>
      </c>
      <c r="B108" s="4">
        <v>20241025</v>
      </c>
      <c r="E108" s="4" t="s">
        <v>1069</v>
      </c>
      <c r="H108" s="4" t="s">
        <v>1070</v>
      </c>
      <c r="L108" s="4" t="s">
        <v>3343</v>
      </c>
      <c r="M108" s="4">
        <v>20241025</v>
      </c>
      <c r="P108" s="4" t="s">
        <v>1069</v>
      </c>
      <c r="S108" s="4" t="s">
        <v>1070</v>
      </c>
      <c r="W108" s="4" t="s">
        <v>2297</v>
      </c>
      <c r="X108" s="4">
        <v>20241025</v>
      </c>
      <c r="AA108" s="4" t="s">
        <v>1069</v>
      </c>
      <c r="AD108" s="4" t="s">
        <v>1070</v>
      </c>
      <c r="AG108" s="30"/>
      <c r="AK108" s="4">
        <v>1.515605665</v>
      </c>
      <c r="AL108" s="4">
        <v>24.832244245999998</v>
      </c>
      <c r="AM108" s="4" t="s">
        <v>1115</v>
      </c>
      <c r="AN108" s="4" t="s">
        <v>1114</v>
      </c>
      <c r="AO108" s="4" t="s">
        <v>1383</v>
      </c>
    </row>
    <row r="109" spans="1:41" ht="18.75">
      <c r="A109" s="29">
        <v>0.01</v>
      </c>
      <c r="B109" s="4">
        <v>5.8886713E-2</v>
      </c>
      <c r="C109" s="4">
        <v>5.9455360999999998E-2</v>
      </c>
      <c r="D109" s="4">
        <v>5.8507613999999999E-2</v>
      </c>
      <c r="E109" s="4">
        <v>3.3172E-2</v>
      </c>
      <c r="F109" s="4">
        <v>1.5228999999999999E-2</v>
      </c>
      <c r="G109" s="4">
        <v>2.3824000000000001E-2</v>
      </c>
      <c r="H109" s="4">
        <v>1.7711999999999999E-2</v>
      </c>
      <c r="I109" s="4">
        <v>1.9932999999999999E-2</v>
      </c>
      <c r="J109" s="4">
        <v>1.9932999999999999E-2</v>
      </c>
      <c r="L109" s="4">
        <v>0.01</v>
      </c>
      <c r="M109" s="4">
        <v>0.111012826</v>
      </c>
      <c r="N109" s="4">
        <v>0.109117331</v>
      </c>
      <c r="O109" s="4">
        <v>0.114803816</v>
      </c>
      <c r="P109" s="4">
        <v>3.2267999999999998E-2</v>
      </c>
      <c r="Q109" s="4">
        <v>3.1966224000000001E-2</v>
      </c>
      <c r="R109" s="4">
        <v>2.5180999999999999E-2</v>
      </c>
      <c r="S109" s="4">
        <v>5.9741000000000002E-2</v>
      </c>
      <c r="T109" s="4">
        <v>5.8715999999999997E-2</v>
      </c>
      <c r="U109" s="4">
        <v>5.7008000000000003E-2</v>
      </c>
      <c r="W109" s="4">
        <v>1E-3</v>
      </c>
      <c r="X109" s="4">
        <v>6.0782207999999997E-2</v>
      </c>
      <c r="Y109" s="4">
        <v>6.8932835999999997E-2</v>
      </c>
      <c r="Z109" s="4">
        <v>5.9834459999999999E-2</v>
      </c>
      <c r="AA109" s="4">
        <v>3.1514E-2</v>
      </c>
      <c r="AB109" s="4">
        <v>2.9100999999999998E-2</v>
      </c>
      <c r="AC109" s="4">
        <v>3.6037E-2</v>
      </c>
      <c r="AD109" s="4">
        <v>3.4797000000000002E-2</v>
      </c>
      <c r="AE109" s="4">
        <v>3.1551000000000003E-2</v>
      </c>
      <c r="AF109" s="4">
        <v>3.3430000000000001E-2</v>
      </c>
      <c r="AG109" s="30"/>
      <c r="AK109" s="4">
        <v>1.515605665</v>
      </c>
      <c r="AL109" s="4">
        <v>23.212554986000001</v>
      </c>
      <c r="AM109" s="4" t="s">
        <v>1115</v>
      </c>
      <c r="AN109" s="4" t="s">
        <v>1114</v>
      </c>
      <c r="AO109" s="4" t="s">
        <v>1383</v>
      </c>
    </row>
    <row r="110" spans="1:41" ht="18.75">
      <c r="A110" s="29">
        <v>1</v>
      </c>
      <c r="B110" s="4">
        <v>5.8507613999999999E-2</v>
      </c>
      <c r="C110" s="4">
        <v>5.206293E-2</v>
      </c>
      <c r="D110" s="4">
        <v>5.3389776999999999E-2</v>
      </c>
      <c r="E110" s="4">
        <v>2.4427000000000001E-2</v>
      </c>
      <c r="F110" s="4">
        <v>1.8546E-2</v>
      </c>
      <c r="G110" s="4">
        <v>2.699E-2</v>
      </c>
      <c r="H110" s="4">
        <v>1.942E-2</v>
      </c>
      <c r="I110" s="4">
        <v>2.0275000000000001E-2</v>
      </c>
      <c r="J110" s="4">
        <v>2.1982999999999999E-2</v>
      </c>
      <c r="L110" s="4">
        <v>0.1</v>
      </c>
      <c r="M110" s="4">
        <v>0.107221836</v>
      </c>
      <c r="N110" s="4">
        <v>0.10343084600000001</v>
      </c>
      <c r="O110" s="4">
        <v>0.111012826</v>
      </c>
      <c r="P110" s="4">
        <v>3.6942000000000003E-2</v>
      </c>
      <c r="Q110" s="4">
        <v>3.7696018999999997E-2</v>
      </c>
      <c r="R110" s="4">
        <v>3.9355000000000001E-2</v>
      </c>
      <c r="S110" s="4">
        <v>6.4696000000000004E-2</v>
      </c>
      <c r="T110" s="4">
        <v>6.2816999999999998E-2</v>
      </c>
      <c r="U110" s="4">
        <v>6.5209000000000003E-2</v>
      </c>
      <c r="W110" s="4">
        <v>0.01</v>
      </c>
      <c r="X110" s="4">
        <v>5.8507613999999999E-2</v>
      </c>
      <c r="Y110" s="4">
        <v>5.9834459999999999E-2</v>
      </c>
      <c r="Z110" s="4">
        <v>5.7559866000000001E-2</v>
      </c>
      <c r="AA110" s="4">
        <v>4.5837999999999997E-2</v>
      </c>
      <c r="AB110" s="4">
        <v>4.4179999999999997E-2</v>
      </c>
      <c r="AC110" s="4">
        <v>4.3124000000000003E-2</v>
      </c>
      <c r="AD110" s="4">
        <v>5.6494999999999997E-2</v>
      </c>
      <c r="AE110" s="4">
        <v>5.8715999999999997E-2</v>
      </c>
      <c r="AF110" s="4">
        <v>6.1108000000000003E-2</v>
      </c>
      <c r="AG110" s="30"/>
      <c r="AK110" s="4">
        <v>4.3246253269999997</v>
      </c>
      <c r="AL110" s="4">
        <v>28.154119676000001</v>
      </c>
      <c r="AM110" s="4" t="s">
        <v>1115</v>
      </c>
      <c r="AN110" s="4" t="s">
        <v>1114</v>
      </c>
      <c r="AO110" s="4" t="s">
        <v>1383</v>
      </c>
    </row>
    <row r="111" spans="1:41" ht="18.75">
      <c r="A111" s="29">
        <v>5</v>
      </c>
      <c r="B111" s="4">
        <v>0.12996777700000001</v>
      </c>
      <c r="C111" s="4">
        <v>0.131863272</v>
      </c>
      <c r="D111" s="4">
        <v>0.14513173700000001</v>
      </c>
      <c r="E111" s="4">
        <v>9.2280000000000001E-2</v>
      </c>
      <c r="F111" s="4">
        <v>0.17521100000000001</v>
      </c>
      <c r="G111" s="4">
        <v>0.102835</v>
      </c>
      <c r="H111" s="4">
        <v>0.116123</v>
      </c>
      <c r="I111" s="4">
        <v>0.13320799999999999</v>
      </c>
      <c r="J111" s="4">
        <v>0.140042</v>
      </c>
      <c r="L111" s="4">
        <v>1</v>
      </c>
      <c r="M111" s="4">
        <v>0.135654262</v>
      </c>
      <c r="N111" s="4">
        <v>0.131863272</v>
      </c>
      <c r="O111" s="4">
        <v>0.12807228200000001</v>
      </c>
      <c r="P111" s="4">
        <v>4.5234999999999997E-2</v>
      </c>
      <c r="Q111" s="4">
        <v>6.0162846999999998E-2</v>
      </c>
      <c r="R111" s="4">
        <v>4.4783000000000003E-2</v>
      </c>
      <c r="S111" s="4">
        <v>7.2897000000000003E-2</v>
      </c>
      <c r="T111" s="4">
        <v>6.8967000000000001E-2</v>
      </c>
      <c r="U111" s="4">
        <v>6.4353999999999995E-2</v>
      </c>
      <c r="W111" s="4">
        <v>0.1</v>
      </c>
      <c r="X111" s="4">
        <v>0.97156757400000004</v>
      </c>
      <c r="Y111" s="4">
        <v>0.74789916000000001</v>
      </c>
      <c r="Z111" s="4">
        <v>0.75737663499999996</v>
      </c>
      <c r="AA111" s="4">
        <v>1.1055489999999999</v>
      </c>
      <c r="AB111" s="4">
        <v>1.1945110000000001</v>
      </c>
      <c r="AC111" s="4">
        <v>1.202051</v>
      </c>
      <c r="AD111" s="4">
        <v>2.2791160000000001</v>
      </c>
      <c r="AE111" s="4">
        <v>2.4055469999999999</v>
      </c>
      <c r="AF111" s="4">
        <v>2.3747940000000001</v>
      </c>
      <c r="AG111" s="30"/>
      <c r="AK111" s="4">
        <v>4.3246253269999997</v>
      </c>
      <c r="AL111" s="4">
        <v>27.557392056000001</v>
      </c>
      <c r="AM111" s="4" t="s">
        <v>1115</v>
      </c>
      <c r="AN111" s="4" t="s">
        <v>1114</v>
      </c>
      <c r="AO111" s="4" t="s">
        <v>1383</v>
      </c>
    </row>
    <row r="112" spans="1:41" ht="18.75">
      <c r="A112" s="29">
        <v>10</v>
      </c>
      <c r="B112" s="4">
        <v>0.42376950800000002</v>
      </c>
      <c r="C112" s="4">
        <v>0.40481455700000002</v>
      </c>
      <c r="D112" s="4">
        <v>0.42566500299999999</v>
      </c>
      <c r="E112" s="4">
        <v>0.35916799999999999</v>
      </c>
      <c r="F112" s="4">
        <v>0.37726199999999999</v>
      </c>
      <c r="G112" s="4">
        <v>0.402895</v>
      </c>
      <c r="H112" s="4">
        <v>0.58767599999999998</v>
      </c>
      <c r="I112" s="4">
        <v>0.59280100000000002</v>
      </c>
      <c r="J112" s="4">
        <v>0.611595</v>
      </c>
      <c r="L112" s="4">
        <v>5</v>
      </c>
      <c r="M112" s="4">
        <v>0.47305237900000002</v>
      </c>
      <c r="N112" s="4">
        <v>0.48632084399999997</v>
      </c>
      <c r="O112" s="4">
        <v>0.53560371500000004</v>
      </c>
      <c r="P112" s="4">
        <v>0.15862499999999999</v>
      </c>
      <c r="Q112" s="4">
        <v>0.164656212</v>
      </c>
      <c r="R112" s="4">
        <v>0.22497</v>
      </c>
      <c r="S112" s="4">
        <v>0.28697499999999998</v>
      </c>
      <c r="T112" s="4">
        <v>0.21521699999999999</v>
      </c>
      <c r="U112" s="4">
        <v>0.26647300000000002</v>
      </c>
      <c r="W112" s="4">
        <v>0.5</v>
      </c>
      <c r="X112" s="4">
        <v>11.25273267</v>
      </c>
      <c r="Y112" s="4">
        <v>9.861439313</v>
      </c>
      <c r="Z112" s="4">
        <v>9.8917672329999995</v>
      </c>
      <c r="AA112" s="4">
        <v>13.29041</v>
      </c>
      <c r="AB112" s="4">
        <v>13.41405</v>
      </c>
      <c r="AC112" s="4">
        <v>13.661339999999999</v>
      </c>
      <c r="AD112" s="4">
        <v>16.19847</v>
      </c>
      <c r="AE112" s="4">
        <v>16.449629999999999</v>
      </c>
      <c r="AF112" s="4">
        <v>17.01173</v>
      </c>
      <c r="AG112" s="30"/>
      <c r="AK112" s="4">
        <v>7.0868967410000003</v>
      </c>
      <c r="AL112" s="4">
        <v>38.460733175999998</v>
      </c>
      <c r="AM112" s="4" t="s">
        <v>1115</v>
      </c>
      <c r="AN112" s="4" t="s">
        <v>1114</v>
      </c>
      <c r="AO112" s="4" t="s">
        <v>1383</v>
      </c>
    </row>
    <row r="113" spans="1:41" ht="18.75">
      <c r="A113" s="29">
        <v>20</v>
      </c>
      <c r="B113" s="4">
        <v>4.6147090420000003</v>
      </c>
      <c r="C113" s="4">
        <v>4.3910406269999998</v>
      </c>
      <c r="D113" s="4">
        <v>4.5730081509999998</v>
      </c>
      <c r="E113" s="4">
        <v>1.931846</v>
      </c>
      <c r="F113" s="4">
        <v>1.987636</v>
      </c>
      <c r="G113" s="4">
        <v>2.1776239999999998</v>
      </c>
      <c r="H113" s="4">
        <v>2.3235380000000001</v>
      </c>
      <c r="I113" s="4">
        <v>2.2791160000000001</v>
      </c>
      <c r="J113" s="4">
        <v>2.3525830000000001</v>
      </c>
      <c r="L113" s="4">
        <v>10</v>
      </c>
      <c r="M113" s="4">
        <v>1.8814051940000001</v>
      </c>
      <c r="N113" s="4">
        <v>1.523156631</v>
      </c>
      <c r="O113" s="4">
        <v>1.2786377710000001</v>
      </c>
      <c r="P113" s="4">
        <v>0.384801</v>
      </c>
      <c r="Q113" s="4">
        <v>0.67430639299999995</v>
      </c>
      <c r="R113" s="4">
        <v>1.3030759999999999</v>
      </c>
      <c r="S113" s="4">
        <v>0.48516399999999998</v>
      </c>
      <c r="T113" s="4">
        <v>0.63893200000000006</v>
      </c>
      <c r="U113" s="4">
        <v>0.74998600000000004</v>
      </c>
      <c r="W113" s="4">
        <v>1</v>
      </c>
      <c r="X113" s="4">
        <v>16.507044919999998</v>
      </c>
      <c r="Y113" s="4">
        <v>14.558476020000001</v>
      </c>
      <c r="Z113" s="4">
        <v>14.38219498</v>
      </c>
      <c r="AA113" s="4">
        <v>20.522010000000002</v>
      </c>
      <c r="AB113" s="4">
        <v>20.900480000000002</v>
      </c>
      <c r="AC113" s="4">
        <v>20.965319999999998</v>
      </c>
      <c r="AD113" s="4">
        <v>23.244430000000001</v>
      </c>
      <c r="AE113" s="4">
        <v>23.457999999999998</v>
      </c>
      <c r="AF113" s="4">
        <v>24.038900000000002</v>
      </c>
      <c r="AG113" s="30"/>
      <c r="AK113" s="4">
        <v>7.0868967410000003</v>
      </c>
      <c r="AL113" s="4">
        <v>35.306601455999903</v>
      </c>
      <c r="AM113" s="4" t="s">
        <v>1115</v>
      </c>
      <c r="AN113" s="4" t="s">
        <v>1114</v>
      </c>
      <c r="AO113" s="4" t="s">
        <v>1383</v>
      </c>
    </row>
    <row r="114" spans="1:41" ht="18.75">
      <c r="A114" s="29">
        <v>50</v>
      </c>
      <c r="B114" s="4">
        <v>4.673469388</v>
      </c>
      <c r="C114" s="4">
        <v>4.9255702279999998</v>
      </c>
      <c r="D114" s="4">
        <v>5.25728186</v>
      </c>
      <c r="E114" s="4">
        <v>5.3863089999999998</v>
      </c>
      <c r="F114" s="4">
        <v>5.4526539999999999</v>
      </c>
      <c r="G114" s="4">
        <v>5.5898669999999999</v>
      </c>
      <c r="H114" s="4">
        <v>5.1887350000000003</v>
      </c>
      <c r="I114" s="4">
        <v>5.2536589999999999</v>
      </c>
      <c r="J114" s="4">
        <v>5.2365740000000001</v>
      </c>
      <c r="L114" s="4">
        <v>50</v>
      </c>
      <c r="M114" s="4">
        <v>5.2402224049999999</v>
      </c>
      <c r="N114" s="4">
        <v>4.745498199</v>
      </c>
      <c r="O114" s="4">
        <v>4.9558981490000003</v>
      </c>
      <c r="P114" s="4">
        <v>2.951146</v>
      </c>
      <c r="Q114" s="4">
        <v>3.7035585040000001</v>
      </c>
      <c r="R114" s="4">
        <v>3.892039</v>
      </c>
      <c r="S114" s="4">
        <v>4.3327640000000001</v>
      </c>
      <c r="T114" s="4">
        <v>3.0462440000000002</v>
      </c>
      <c r="U114" s="4">
        <v>2.9146879999999999</v>
      </c>
      <c r="W114" s="4">
        <v>5</v>
      </c>
      <c r="X114" s="4">
        <v>26.92847665</v>
      </c>
      <c r="Y114" s="4">
        <v>26.03759398</v>
      </c>
      <c r="Z114" s="4">
        <v>25.643331020000002</v>
      </c>
      <c r="AA114" s="4">
        <v>24.128769999999999</v>
      </c>
      <c r="AB114" s="4">
        <v>24.05489</v>
      </c>
      <c r="AC114" s="4">
        <v>24.801269999999999</v>
      </c>
      <c r="AD114" s="4">
        <v>26.027619999999999</v>
      </c>
      <c r="AE114" s="4">
        <v>26.917760000000001</v>
      </c>
      <c r="AF114" s="4">
        <v>26.509429999999998</v>
      </c>
      <c r="AG114" s="30"/>
      <c r="AK114" s="4">
        <v>0.49652800000000002</v>
      </c>
      <c r="AL114" s="4">
        <v>2.74169999999999E-2</v>
      </c>
      <c r="AM114" s="4" t="s">
        <v>1116</v>
      </c>
      <c r="AN114" s="4" t="s">
        <v>1112</v>
      </c>
      <c r="AO114" s="4" t="s">
        <v>1524</v>
      </c>
    </row>
    <row r="115" spans="1:41" ht="18.75">
      <c r="A115" s="29">
        <v>100</v>
      </c>
      <c r="B115" s="4">
        <v>9.2719403549999999</v>
      </c>
      <c r="C115" s="4">
        <v>8.7468882289999996</v>
      </c>
      <c r="D115" s="4">
        <v>8.9648701590000002</v>
      </c>
      <c r="E115" s="4">
        <v>7.6510860000000003</v>
      </c>
      <c r="F115" s="4">
        <v>7.5349820000000003</v>
      </c>
      <c r="G115" s="4">
        <v>7.5817249999999996</v>
      </c>
      <c r="H115" s="4">
        <v>7.0681130000000003</v>
      </c>
      <c r="I115" s="4">
        <v>6.9382650000000003</v>
      </c>
      <c r="J115" s="4">
        <v>7.0681130000000003</v>
      </c>
      <c r="L115" s="4">
        <v>100</v>
      </c>
      <c r="M115" s="4">
        <v>5.3558476019999999</v>
      </c>
      <c r="N115" s="4">
        <v>5.6269033930000001</v>
      </c>
      <c r="O115" s="4">
        <v>5.5074872050000003</v>
      </c>
      <c r="P115" s="4">
        <v>4.0277440000000002</v>
      </c>
      <c r="Q115" s="4">
        <v>4.2720144749999998</v>
      </c>
      <c r="R115" s="4">
        <v>4.2584439999999999</v>
      </c>
      <c r="S115" s="4">
        <v>4.5258269999999996</v>
      </c>
      <c r="T115" s="4">
        <v>4.5121589999999996</v>
      </c>
      <c r="U115" s="4">
        <v>4.4421090000000003</v>
      </c>
      <c r="W115" s="4">
        <v>10</v>
      </c>
      <c r="X115" s="4">
        <v>28.19087635</v>
      </c>
      <c r="Y115" s="4">
        <v>26.03759398</v>
      </c>
      <c r="Z115" s="4">
        <v>27.17489101</v>
      </c>
      <c r="AA115" s="4">
        <v>24.351929999999999</v>
      </c>
      <c r="AB115" s="4">
        <v>24.878170000000001</v>
      </c>
      <c r="AC115" s="4">
        <v>26.123640000000002</v>
      </c>
      <c r="AD115" s="4">
        <v>27.58409</v>
      </c>
      <c r="AE115" s="4">
        <v>28.18036</v>
      </c>
      <c r="AF115" s="4">
        <v>27.92238</v>
      </c>
      <c r="AG115" s="30"/>
      <c r="AK115" s="4">
        <v>0.49652800000000002</v>
      </c>
      <c r="AL115" s="4">
        <v>2.53909999999999E-2</v>
      </c>
      <c r="AM115" s="4" t="s">
        <v>1116</v>
      </c>
      <c r="AN115" s="4" t="s">
        <v>1112</v>
      </c>
      <c r="AO115" s="4" t="s">
        <v>1524</v>
      </c>
    </row>
    <row r="116" spans="1:41" ht="18.75">
      <c r="A116" s="29">
        <v>1000</v>
      </c>
      <c r="B116" s="4">
        <v>12.261136029999999</v>
      </c>
      <c r="C116" s="4">
        <v>11.391103810000001</v>
      </c>
      <c r="D116" s="4">
        <v>11.53137044</v>
      </c>
      <c r="E116" s="4">
        <v>10.659230000000001</v>
      </c>
      <c r="F116" s="4">
        <v>9.8721350000000001</v>
      </c>
      <c r="G116" s="4">
        <v>9.8419779999999992</v>
      </c>
      <c r="H116" s="4">
        <v>9.3524119999999993</v>
      </c>
      <c r="I116" s="4">
        <v>9.154223</v>
      </c>
      <c r="J116" s="4">
        <v>9.2379409999999993</v>
      </c>
      <c r="L116" s="4">
        <v>1000</v>
      </c>
      <c r="M116" s="4">
        <v>5.8771087380000004</v>
      </c>
      <c r="N116" s="4">
        <v>6.0420168070000004</v>
      </c>
      <c r="O116" s="4">
        <v>6.0041069059999996</v>
      </c>
      <c r="P116" s="4">
        <v>4.7017490000000004</v>
      </c>
      <c r="Q116" s="4">
        <v>4.8645958990000002</v>
      </c>
      <c r="R116" s="4">
        <v>4.6866709999999996</v>
      </c>
      <c r="S116" s="4">
        <v>5.2041120000000003</v>
      </c>
      <c r="T116" s="4">
        <v>5.1716499999999996</v>
      </c>
      <c r="U116" s="4">
        <v>5.1408959999999997</v>
      </c>
      <c r="W116" s="4">
        <v>100</v>
      </c>
      <c r="X116" s="4">
        <v>28.975611300000001</v>
      </c>
      <c r="Y116" s="4">
        <v>27.09338472</v>
      </c>
      <c r="Z116" s="4">
        <v>26.600556009999998</v>
      </c>
      <c r="AA116" s="4">
        <v>27.18215</v>
      </c>
      <c r="AB116" s="4">
        <v>27.016279999999998</v>
      </c>
      <c r="AC116" s="4">
        <v>26.851929999999999</v>
      </c>
      <c r="AD116" s="4">
        <v>28.87744</v>
      </c>
      <c r="AE116" s="4">
        <v>29.053419999999999</v>
      </c>
      <c r="AF116" s="4">
        <v>28.87744</v>
      </c>
      <c r="AG116" s="30"/>
      <c r="AK116" s="4">
        <v>1.630787</v>
      </c>
      <c r="AL116" s="4">
        <v>9.6572000000000005E-2</v>
      </c>
      <c r="AM116" s="4" t="s">
        <v>1116</v>
      </c>
      <c r="AN116" s="4" t="s">
        <v>1112</v>
      </c>
      <c r="AO116" s="4" t="s">
        <v>1524</v>
      </c>
    </row>
    <row r="117" spans="1:41" ht="18.75">
      <c r="A117" s="29"/>
      <c r="AG117" s="30"/>
      <c r="AK117" s="4">
        <v>1.630787</v>
      </c>
      <c r="AL117" s="4">
        <v>9.2810000000000004E-2</v>
      </c>
      <c r="AM117" s="4" t="s">
        <v>1116</v>
      </c>
      <c r="AN117" s="4" t="s">
        <v>1112</v>
      </c>
      <c r="AO117" s="4" t="s">
        <v>1524</v>
      </c>
    </row>
    <row r="118" spans="1:41" ht="18.75">
      <c r="A118" s="29"/>
      <c r="AG118" s="30"/>
      <c r="AK118" s="4">
        <v>4.6892360000000002</v>
      </c>
      <c r="AL118" s="4">
        <v>0.93598099999999995</v>
      </c>
      <c r="AM118" s="4" t="s">
        <v>1116</v>
      </c>
      <c r="AN118" s="4" t="s">
        <v>1112</v>
      </c>
      <c r="AO118" s="4" t="s">
        <v>1524</v>
      </c>
    </row>
    <row r="119" spans="1:41" ht="18.75">
      <c r="A119" s="29"/>
      <c r="B119" s="4" t="s">
        <v>3354</v>
      </c>
      <c r="AG119" s="30"/>
      <c r="AK119" s="4">
        <v>4.6892360000000002</v>
      </c>
      <c r="AL119" s="4">
        <v>0.95044899999999999</v>
      </c>
      <c r="AM119" s="4" t="s">
        <v>1116</v>
      </c>
      <c r="AN119" s="4" t="s">
        <v>1112</v>
      </c>
      <c r="AO119" s="4" t="s">
        <v>1524</v>
      </c>
    </row>
    <row r="120" spans="1:41" ht="18.75">
      <c r="A120" s="29" t="s">
        <v>2299</v>
      </c>
      <c r="B120" s="4">
        <v>20241025</v>
      </c>
      <c r="E120" s="4" t="s">
        <v>1069</v>
      </c>
      <c r="H120" s="4" t="s">
        <v>1070</v>
      </c>
      <c r="AG120" s="30"/>
      <c r="AK120" s="4">
        <v>8.1556709999999999</v>
      </c>
      <c r="AL120" s="4">
        <v>3.6761439999999999</v>
      </c>
      <c r="AM120" s="4" t="s">
        <v>1116</v>
      </c>
      <c r="AN120" s="4" t="s">
        <v>1112</v>
      </c>
      <c r="AO120" s="4" t="s">
        <v>1524</v>
      </c>
    </row>
    <row r="121" spans="1:41" ht="18.75">
      <c r="A121" s="29">
        <v>1E-3</v>
      </c>
      <c r="B121" s="4">
        <v>9.4427245000000007E-2</v>
      </c>
      <c r="C121" s="4">
        <v>9.1695501999999998E-2</v>
      </c>
      <c r="D121" s="4">
        <v>9.7158987000000002E-2</v>
      </c>
      <c r="E121" s="4">
        <v>5.0210999999999999E-2</v>
      </c>
      <c r="F121" s="4">
        <v>4.9155999999999998E-2</v>
      </c>
      <c r="G121" s="4">
        <v>5.5488999999999997E-2</v>
      </c>
      <c r="H121" s="4">
        <v>9.3911999999999995E-2</v>
      </c>
      <c r="I121" s="4">
        <v>9.2202999999999993E-2</v>
      </c>
      <c r="J121" s="4">
        <v>9.5619999999999997E-2</v>
      </c>
      <c r="AG121" s="30"/>
      <c r="AK121" s="4">
        <v>8.1556709999999999</v>
      </c>
      <c r="AL121" s="4">
        <v>3.3983660000000002</v>
      </c>
      <c r="AM121" s="4" t="s">
        <v>1116</v>
      </c>
      <c r="AN121" s="4" t="s">
        <v>1112</v>
      </c>
      <c r="AO121" s="4" t="s">
        <v>1524</v>
      </c>
    </row>
    <row r="122" spans="1:41" ht="18.75">
      <c r="A122" s="29">
        <v>0.01</v>
      </c>
      <c r="B122" s="4">
        <v>0.132671645</v>
      </c>
      <c r="C122" s="4">
        <v>0.14359861600000001</v>
      </c>
      <c r="D122" s="4">
        <v>0.13540338699999999</v>
      </c>
      <c r="E122" s="4">
        <v>5.7449E-2</v>
      </c>
      <c r="F122" s="4">
        <v>6.3028000000000001E-2</v>
      </c>
      <c r="G122" s="4">
        <v>6.2122999999999998E-2</v>
      </c>
      <c r="H122" s="4">
        <v>0.10758</v>
      </c>
      <c r="I122" s="4">
        <v>0.110997</v>
      </c>
      <c r="J122" s="4">
        <v>0.110997</v>
      </c>
      <c r="AG122" s="30"/>
      <c r="AK122" s="4">
        <v>0.48303699999999999</v>
      </c>
      <c r="AL122" s="4">
        <v>2.3608999999999901E-2</v>
      </c>
      <c r="AM122" s="4" t="s">
        <v>1116</v>
      </c>
      <c r="AN122" s="4" t="s">
        <v>1112</v>
      </c>
      <c r="AO122" s="4" t="s">
        <v>1524</v>
      </c>
    </row>
    <row r="123" spans="1:41" ht="18.75">
      <c r="A123" s="29">
        <v>0.1</v>
      </c>
      <c r="B123" s="4">
        <v>2.2484064830000001</v>
      </c>
      <c r="C123" s="4">
        <v>2.5024585689999999</v>
      </c>
      <c r="D123" s="4">
        <v>2.690948825</v>
      </c>
      <c r="E123" s="4" t="s">
        <v>3355</v>
      </c>
      <c r="F123" s="4" t="s">
        <v>3356</v>
      </c>
      <c r="G123" s="4" t="s">
        <v>3357</v>
      </c>
      <c r="H123" s="4">
        <v>0.43219999999999997</v>
      </c>
      <c r="I123" s="4">
        <v>0.32627099999999998</v>
      </c>
      <c r="J123" s="4">
        <v>0.57571600000000001</v>
      </c>
      <c r="AG123" s="30"/>
      <c r="AK123" s="4">
        <v>0.48303699999999999</v>
      </c>
      <c r="AL123" s="4">
        <v>2.6839999999999899E-2</v>
      </c>
      <c r="AM123" s="4" t="s">
        <v>1116</v>
      </c>
      <c r="AN123" s="4" t="s">
        <v>1112</v>
      </c>
      <c r="AO123" s="4" t="s">
        <v>1524</v>
      </c>
    </row>
    <row r="124" spans="1:41" ht="18.75">
      <c r="A124" s="29">
        <v>0.5</v>
      </c>
      <c r="B124" s="4">
        <v>8.472682571</v>
      </c>
      <c r="C124" s="4">
        <v>9.2621562560000008</v>
      </c>
      <c r="D124" s="4">
        <v>9.233472956</v>
      </c>
      <c r="E124" s="4">
        <v>5.4692400000000001</v>
      </c>
      <c r="F124" s="4">
        <v>5.286791</v>
      </c>
      <c r="G124" s="4">
        <v>6.3422799999999997</v>
      </c>
      <c r="H124" s="4">
        <v>7.1552480000000003</v>
      </c>
      <c r="I124" s="4">
        <v>6.442793</v>
      </c>
      <c r="J124" s="4">
        <v>6.3829940000000001</v>
      </c>
      <c r="AG124" s="30"/>
      <c r="AK124" s="4">
        <v>1.7534149999999999</v>
      </c>
      <c r="AL124" s="4">
        <v>0.112315</v>
      </c>
      <c r="AM124" s="4" t="s">
        <v>1116</v>
      </c>
      <c r="AN124" s="4" t="s">
        <v>1112</v>
      </c>
      <c r="AO124" s="4" t="s">
        <v>1524</v>
      </c>
    </row>
    <row r="125" spans="1:41" ht="18.75">
      <c r="A125" s="29">
        <v>1</v>
      </c>
      <c r="B125" s="4">
        <v>11.48169732</v>
      </c>
      <c r="C125" s="4">
        <v>12.435075579999999</v>
      </c>
      <c r="D125" s="4">
        <v>12.246585319999999</v>
      </c>
      <c r="E125" s="4">
        <v>12.38721</v>
      </c>
      <c r="F125" s="4">
        <v>10.88993</v>
      </c>
      <c r="G125" s="4">
        <v>10.99095</v>
      </c>
      <c r="H125" s="4">
        <v>11.31551</v>
      </c>
      <c r="I125" s="4">
        <v>10.60989</v>
      </c>
      <c r="J125" s="4">
        <v>10.773910000000001</v>
      </c>
      <c r="AG125" s="30"/>
      <c r="AK125" s="4">
        <v>1.7534149999999999</v>
      </c>
      <c r="AL125" s="4">
        <v>0.11114</v>
      </c>
      <c r="AM125" s="4" t="s">
        <v>1116</v>
      </c>
      <c r="AN125" s="4" t="s">
        <v>1112</v>
      </c>
      <c r="AO125" s="4" t="s">
        <v>1524</v>
      </c>
    </row>
    <row r="126" spans="1:41" ht="18.75">
      <c r="A126" s="29">
        <v>5</v>
      </c>
      <c r="B126" s="4">
        <v>14.22983063</v>
      </c>
      <c r="C126" s="4">
        <v>15.08350027</v>
      </c>
      <c r="D126" s="4">
        <v>15.175013659999999</v>
      </c>
      <c r="E126" s="4">
        <v>15.727080000000001</v>
      </c>
      <c r="F126" s="4">
        <v>16.167369999999998</v>
      </c>
      <c r="G126" s="4">
        <v>16.26538</v>
      </c>
      <c r="H126" s="4">
        <v>14.50703</v>
      </c>
      <c r="I126" s="4">
        <v>14.821400000000001</v>
      </c>
      <c r="J126" s="4">
        <v>15.2827</v>
      </c>
      <c r="AG126" s="30"/>
      <c r="AK126" s="4">
        <v>4.485093</v>
      </c>
      <c r="AL126" s="4">
        <v>0.80845199999999995</v>
      </c>
      <c r="AM126" s="4" t="s">
        <v>1116</v>
      </c>
      <c r="AN126" s="4" t="s">
        <v>1112</v>
      </c>
      <c r="AO126" s="4" t="s">
        <v>1524</v>
      </c>
    </row>
    <row r="127" spans="1:41" ht="18.75">
      <c r="A127" s="29">
        <v>10</v>
      </c>
      <c r="B127" s="4">
        <v>15.128574029999999</v>
      </c>
      <c r="C127" s="4">
        <v>15.79238754</v>
      </c>
      <c r="D127" s="4">
        <v>15.889364410000001</v>
      </c>
      <c r="E127" s="4">
        <v>16.465920000000001</v>
      </c>
      <c r="F127" s="4">
        <v>16.167369999999998</v>
      </c>
      <c r="G127" s="4">
        <v>16.770510000000002</v>
      </c>
      <c r="H127" s="4">
        <v>15.47064</v>
      </c>
      <c r="I127" s="4">
        <v>15.807219999999999</v>
      </c>
      <c r="J127" s="4">
        <v>15.952450000000001</v>
      </c>
      <c r="AG127" s="30"/>
      <c r="AK127" s="4">
        <v>4.485093</v>
      </c>
      <c r="AL127" s="4">
        <v>0.95825400000000005</v>
      </c>
      <c r="AM127" s="4" t="s">
        <v>1116</v>
      </c>
      <c r="AN127" s="4" t="s">
        <v>1112</v>
      </c>
      <c r="AO127" s="4" t="s">
        <v>1524</v>
      </c>
    </row>
    <row r="128" spans="1:41" ht="18.75">
      <c r="A128" s="29">
        <v>25</v>
      </c>
      <c r="B128" s="4">
        <v>15.31569842</v>
      </c>
      <c r="C128" s="4">
        <v>15.840193040000001</v>
      </c>
      <c r="D128" s="4">
        <v>16.183026770000001</v>
      </c>
      <c r="E128" s="4">
        <v>17.29222</v>
      </c>
      <c r="F128" s="4">
        <v>17.504829999999998</v>
      </c>
      <c r="G128" s="4">
        <v>16.925809999999998</v>
      </c>
      <c r="H128" s="4">
        <v>16.14893</v>
      </c>
      <c r="I128" s="4">
        <v>16.449629999999999</v>
      </c>
      <c r="J128" s="4">
        <v>15.566319999999999</v>
      </c>
      <c r="AG128" s="30"/>
      <c r="AK128" s="4">
        <v>7.7058309999999999</v>
      </c>
      <c r="AL128" s="4">
        <v>3.0966010000000002</v>
      </c>
      <c r="AM128" s="4" t="s">
        <v>1116</v>
      </c>
      <c r="AN128" s="4" t="s">
        <v>1112</v>
      </c>
      <c r="AO128" s="4" t="s">
        <v>1524</v>
      </c>
    </row>
    <row r="129" spans="1:41" ht="18.75">
      <c r="A129" s="29"/>
      <c r="AG129" s="30"/>
      <c r="AK129" s="4">
        <v>7.7058309999999999</v>
      </c>
      <c r="AL129" s="4">
        <v>3.4549500000000002</v>
      </c>
      <c r="AM129" s="4" t="s">
        <v>1116</v>
      </c>
      <c r="AN129" s="4" t="s">
        <v>1112</v>
      </c>
      <c r="AO129" s="4" t="s">
        <v>1524</v>
      </c>
    </row>
    <row r="130" spans="1:41" ht="18.75">
      <c r="A130" s="29"/>
      <c r="AG130" s="30"/>
      <c r="AK130" s="4">
        <v>0.50113399999999997</v>
      </c>
      <c r="AL130" s="4">
        <v>2.2669000000000002E-2</v>
      </c>
      <c r="AM130" s="4" t="s">
        <v>1116</v>
      </c>
      <c r="AN130" s="4" t="s">
        <v>1112</v>
      </c>
      <c r="AO130" s="4" t="s">
        <v>1524</v>
      </c>
    </row>
    <row r="131" spans="1:41" ht="18.75">
      <c r="A131" s="29"/>
      <c r="AG131" s="30"/>
      <c r="AK131" s="4">
        <v>1.9580500000000001</v>
      </c>
      <c r="AL131" s="4">
        <v>8.3610000000000004E-2</v>
      </c>
      <c r="AM131" s="4" t="s">
        <v>1116</v>
      </c>
      <c r="AN131" s="4" t="s">
        <v>1112</v>
      </c>
      <c r="AO131" s="4" t="s">
        <v>1524</v>
      </c>
    </row>
    <row r="132" spans="1:41" ht="18.75">
      <c r="A132" s="29">
        <v>368</v>
      </c>
      <c r="B132" s="4" t="s">
        <v>3358</v>
      </c>
      <c r="E132" s="4">
        <v>368</v>
      </c>
      <c r="F132" s="4" t="s">
        <v>3358</v>
      </c>
      <c r="I132" s="4">
        <v>368</v>
      </c>
      <c r="J132" s="4" t="s">
        <v>3358</v>
      </c>
      <c r="M132" s="4">
        <v>368</v>
      </c>
      <c r="N132" s="4" t="s">
        <v>3358</v>
      </c>
      <c r="Q132" s="4">
        <v>368</v>
      </c>
      <c r="R132" s="4" t="s">
        <v>3358</v>
      </c>
      <c r="U132" s="4">
        <v>368</v>
      </c>
      <c r="V132" s="4" t="s">
        <v>3358</v>
      </c>
      <c r="Y132" s="4">
        <v>373</v>
      </c>
      <c r="Z132" s="4" t="s">
        <v>3359</v>
      </c>
      <c r="AC132" s="4">
        <v>373</v>
      </c>
      <c r="AD132" s="4" t="s">
        <v>3359</v>
      </c>
      <c r="AG132" s="30"/>
      <c r="AK132" s="4">
        <v>1.9580500000000001</v>
      </c>
      <c r="AL132" s="4">
        <v>9.2964000000000005E-2</v>
      </c>
      <c r="AM132" s="4" t="s">
        <v>1116</v>
      </c>
      <c r="AN132" s="4" t="s">
        <v>1112</v>
      </c>
      <c r="AO132" s="4" t="s">
        <v>1524</v>
      </c>
    </row>
    <row r="133" spans="1:41" ht="18.75">
      <c r="A133" s="29"/>
      <c r="AG133" s="30"/>
      <c r="AK133" s="4">
        <v>4.8322000000000003</v>
      </c>
      <c r="AL133" s="4">
        <v>0.77607000000000004</v>
      </c>
      <c r="AM133" s="4" t="s">
        <v>1116</v>
      </c>
      <c r="AN133" s="4" t="s">
        <v>1112</v>
      </c>
      <c r="AO133" s="4" t="s">
        <v>1524</v>
      </c>
    </row>
    <row r="134" spans="1:41" ht="18.75">
      <c r="A134" s="29" t="s">
        <v>1671</v>
      </c>
      <c r="B134" s="4" t="s">
        <v>3360</v>
      </c>
      <c r="E134" s="4" t="s">
        <v>1671</v>
      </c>
      <c r="F134" s="4" t="s">
        <v>3361</v>
      </c>
      <c r="I134" s="4" t="s">
        <v>1671</v>
      </c>
      <c r="J134" s="4" t="s">
        <v>3362</v>
      </c>
      <c r="M134" s="4" t="s">
        <v>1671</v>
      </c>
      <c r="N134" s="4" t="s">
        <v>3363</v>
      </c>
      <c r="Q134" s="4" t="s">
        <v>1671</v>
      </c>
      <c r="R134" s="4" t="s">
        <v>3364</v>
      </c>
      <c r="U134" s="4" t="s">
        <v>1671</v>
      </c>
      <c r="V134" s="4" t="s">
        <v>3365</v>
      </c>
      <c r="Y134" s="4" t="s">
        <v>3366</v>
      </c>
      <c r="Z134" s="4" t="s">
        <v>3367</v>
      </c>
      <c r="AC134" s="4" t="s">
        <v>3366</v>
      </c>
      <c r="AD134" s="4" t="s">
        <v>3368</v>
      </c>
      <c r="AG134" s="30"/>
      <c r="AK134" s="4">
        <v>4.8322000000000003</v>
      </c>
      <c r="AL134" s="4">
        <v>0.81291800000000003</v>
      </c>
      <c r="AM134" s="4" t="s">
        <v>1116</v>
      </c>
      <c r="AN134" s="4" t="s">
        <v>1112</v>
      </c>
      <c r="AO134" s="4" t="s">
        <v>1524</v>
      </c>
    </row>
    <row r="135" spans="1:41" ht="18.75">
      <c r="A135" s="29">
        <v>0</v>
      </c>
      <c r="B135" s="4">
        <v>0.18482821199999999</v>
      </c>
      <c r="C135" s="4">
        <v>0.18720943400000001</v>
      </c>
      <c r="E135" s="4">
        <v>0</v>
      </c>
      <c r="F135" s="4">
        <v>0.46139017999999998</v>
      </c>
      <c r="G135" s="4">
        <v>0.46479192699999999</v>
      </c>
      <c r="I135" s="4">
        <v>0</v>
      </c>
      <c r="J135" s="4">
        <v>1.5941716749999999</v>
      </c>
      <c r="K135" s="4">
        <v>1.6451978679999999</v>
      </c>
      <c r="M135" s="4">
        <v>0</v>
      </c>
      <c r="N135" s="4">
        <v>6.9281097640000002</v>
      </c>
      <c r="O135" s="4">
        <v>7.3227123269999996</v>
      </c>
      <c r="Q135" s="4">
        <v>0</v>
      </c>
      <c r="R135" s="4">
        <v>15.772649960000001</v>
      </c>
      <c r="S135" s="4">
        <v>16.26250142</v>
      </c>
      <c r="U135" s="4">
        <v>0</v>
      </c>
      <c r="V135" s="4">
        <v>22.627168619999999</v>
      </c>
      <c r="W135" s="4">
        <v>22.35162717</v>
      </c>
      <c r="Y135" s="4">
        <v>0</v>
      </c>
      <c r="Z135" s="4">
        <v>4.8112222000000003E-2</v>
      </c>
      <c r="AA135" s="4">
        <v>4.9524517999999997E-2</v>
      </c>
      <c r="AC135" s="4">
        <v>0</v>
      </c>
      <c r="AD135" s="4">
        <v>2.9117760999999999E-2</v>
      </c>
      <c r="AE135" s="4">
        <v>2.716209E-2</v>
      </c>
      <c r="AG135" s="30"/>
      <c r="AK135" s="4">
        <v>8.5850340000000003</v>
      </c>
      <c r="AL135" s="4">
        <v>3.0549819999999999</v>
      </c>
      <c r="AM135" s="4" t="s">
        <v>1116</v>
      </c>
      <c r="AN135" s="4" t="s">
        <v>1112</v>
      </c>
      <c r="AO135" s="4" t="s">
        <v>1524</v>
      </c>
    </row>
    <row r="136" spans="1:41" ht="18.75">
      <c r="A136" s="29">
        <v>10</v>
      </c>
      <c r="B136" s="4">
        <v>0.21000113400000001</v>
      </c>
      <c r="C136" s="4">
        <v>0.19809502200000001</v>
      </c>
      <c r="E136" s="4">
        <v>10</v>
      </c>
      <c r="F136" s="4">
        <v>0.47839891099999998</v>
      </c>
      <c r="G136" s="4">
        <v>0.49880938899999999</v>
      </c>
      <c r="I136" s="4">
        <v>10</v>
      </c>
      <c r="J136" s="4">
        <v>1.743848509</v>
      </c>
      <c r="K136" s="4">
        <v>1.716634539</v>
      </c>
      <c r="M136" s="4">
        <v>10</v>
      </c>
      <c r="N136" s="4">
        <v>7.1015988219999997</v>
      </c>
      <c r="O136" s="4">
        <v>7.2546774020000004</v>
      </c>
      <c r="Q136" s="4">
        <v>10</v>
      </c>
      <c r="R136" s="4">
        <v>15.82027441</v>
      </c>
      <c r="S136" s="4">
        <v>15.772649960000001</v>
      </c>
      <c r="U136" s="4">
        <v>10</v>
      </c>
      <c r="V136" s="4">
        <v>21.81415127</v>
      </c>
      <c r="W136" s="4">
        <v>20.33098991</v>
      </c>
      <c r="Y136" s="4">
        <v>1</v>
      </c>
      <c r="Z136" s="4">
        <v>4.4440251E-2</v>
      </c>
      <c r="AA136" s="4">
        <v>4.9806977000000002E-2</v>
      </c>
      <c r="AC136" s="4">
        <v>1</v>
      </c>
      <c r="AD136" s="4">
        <v>3.2377213000000002E-2</v>
      </c>
      <c r="AE136" s="4">
        <v>3.0421541999999999E-2</v>
      </c>
      <c r="AG136" s="30"/>
      <c r="AK136" s="4">
        <v>8.5850340000000003</v>
      </c>
      <c r="AL136" s="4">
        <v>3.154188</v>
      </c>
      <c r="AM136" s="4" t="s">
        <v>1116</v>
      </c>
      <c r="AN136" s="4" t="s">
        <v>1112</v>
      </c>
      <c r="AO136" s="4" t="s">
        <v>1524</v>
      </c>
    </row>
    <row r="137" spans="1:41" ht="18.75">
      <c r="A137" s="29">
        <v>100</v>
      </c>
      <c r="B137" s="4">
        <v>0.20149676799999999</v>
      </c>
      <c r="C137" s="4">
        <v>0.204898515</v>
      </c>
      <c r="E137" s="4">
        <v>100</v>
      </c>
      <c r="F137" s="4">
        <v>0.59405828299999996</v>
      </c>
      <c r="G137" s="4">
        <v>0.56684431300000004</v>
      </c>
      <c r="I137" s="4">
        <v>100</v>
      </c>
      <c r="J137" s="4">
        <v>2.056809162</v>
      </c>
      <c r="K137" s="4">
        <v>1.975167253</v>
      </c>
      <c r="M137" s="4">
        <v>100</v>
      </c>
      <c r="N137" s="4">
        <v>7.4349699520000003</v>
      </c>
      <c r="O137" s="4">
        <v>7.9316249020000003</v>
      </c>
      <c r="Q137" s="4">
        <v>100</v>
      </c>
      <c r="R137" s="4">
        <v>16.112824589999999</v>
      </c>
      <c r="S137" s="4">
        <v>15.966549499999999</v>
      </c>
      <c r="U137" s="4">
        <v>100</v>
      </c>
      <c r="V137" s="4">
        <v>21.61344824</v>
      </c>
      <c r="W137" s="4">
        <v>20.769815170000001</v>
      </c>
      <c r="Y137" s="4">
        <v>10</v>
      </c>
      <c r="Z137" s="4">
        <v>4.6417465999999998E-2</v>
      </c>
      <c r="AA137" s="4">
        <v>4.6982384000000002E-2</v>
      </c>
      <c r="AC137" s="4">
        <v>10</v>
      </c>
      <c r="AD137" s="4">
        <v>3.2703158000000003E-2</v>
      </c>
      <c r="AE137" s="4">
        <v>3.3680993999999999E-2</v>
      </c>
      <c r="AG137" s="30"/>
      <c r="AK137" s="4">
        <v>0.13425899999999999</v>
      </c>
      <c r="AL137" s="4">
        <v>2.167662</v>
      </c>
      <c r="AM137" s="4" t="s">
        <v>1116</v>
      </c>
      <c r="AN137" s="4" t="s">
        <v>1114</v>
      </c>
      <c r="AO137" s="4" t="s">
        <v>1524</v>
      </c>
    </row>
    <row r="138" spans="1:41" ht="18.75">
      <c r="A138" s="29">
        <v>500</v>
      </c>
      <c r="B138" s="4">
        <v>0.20387799100000001</v>
      </c>
      <c r="C138" s="4">
        <v>0.23109196100000001</v>
      </c>
      <c r="E138" s="4">
        <v>500</v>
      </c>
      <c r="F138" s="4">
        <v>0.78795781799999998</v>
      </c>
      <c r="G138" s="4">
        <v>0.76074384900000003</v>
      </c>
      <c r="I138" s="4">
        <v>500</v>
      </c>
      <c r="J138" s="4">
        <v>2.8358090489999999</v>
      </c>
      <c r="K138" s="4">
        <v>2.730354916</v>
      </c>
      <c r="M138" s="4">
        <v>500</v>
      </c>
      <c r="N138" s="4">
        <v>8.2547907939999998</v>
      </c>
      <c r="O138" s="4">
        <v>8.5133235070000008</v>
      </c>
      <c r="Q138" s="4">
        <v>500</v>
      </c>
      <c r="R138" s="4">
        <v>16.163850780000001</v>
      </c>
      <c r="S138" s="4">
        <v>16.561855090000002</v>
      </c>
      <c r="U138" s="4">
        <v>500</v>
      </c>
      <c r="V138" s="4">
        <v>20.08266244</v>
      </c>
      <c r="W138" s="4">
        <v>21.157614240000001</v>
      </c>
      <c r="Y138" s="4">
        <v>50</v>
      </c>
      <c r="Z138" s="4">
        <v>4.674795252</v>
      </c>
      <c r="AA138" s="4">
        <v>3.680538581</v>
      </c>
      <c r="AC138" s="4">
        <v>50</v>
      </c>
      <c r="AD138" s="4">
        <v>4.4919595670000003</v>
      </c>
      <c r="AE138" s="4">
        <v>3.7129505169999999</v>
      </c>
      <c r="AG138" s="30"/>
      <c r="AK138" s="4">
        <v>0.13425899999999999</v>
      </c>
      <c r="AL138" s="4">
        <v>2.3673150000000001</v>
      </c>
      <c r="AM138" s="4" t="s">
        <v>1116</v>
      </c>
      <c r="AN138" s="4" t="s">
        <v>1114</v>
      </c>
      <c r="AO138" s="4" t="s">
        <v>1524</v>
      </c>
    </row>
    <row r="139" spans="1:41" ht="18.75">
      <c r="A139" s="29">
        <v>1000</v>
      </c>
      <c r="B139" s="4">
        <v>0.211021658</v>
      </c>
      <c r="C139" s="4">
        <v>0.21272253099999999</v>
      </c>
      <c r="E139" s="4">
        <v>1000</v>
      </c>
      <c r="F139" s="4">
        <v>0.93083115999999999</v>
      </c>
      <c r="G139" s="4">
        <v>0.92062592099999996</v>
      </c>
      <c r="I139" s="4">
        <v>1000</v>
      </c>
      <c r="J139" s="4">
        <v>3.4821408329999999</v>
      </c>
      <c r="K139" s="4">
        <v>3.6046036969999999</v>
      </c>
      <c r="M139" s="4">
        <v>1000</v>
      </c>
      <c r="N139" s="4">
        <v>9.5100351530000005</v>
      </c>
      <c r="O139" s="4">
        <v>9.7447556419999994</v>
      </c>
      <c r="Q139" s="4">
        <v>1000</v>
      </c>
      <c r="R139" s="4">
        <v>16.361152059999998</v>
      </c>
      <c r="S139" s="4">
        <v>17.02449257</v>
      </c>
      <c r="U139" s="4">
        <v>1000</v>
      </c>
      <c r="V139" s="4">
        <v>20.45685452</v>
      </c>
      <c r="W139" s="4">
        <v>21.548815059999999</v>
      </c>
      <c r="Y139" s="4">
        <v>100</v>
      </c>
      <c r="Z139" s="4">
        <v>12.812447150000001</v>
      </c>
      <c r="AA139" s="4">
        <v>11.90575286</v>
      </c>
      <c r="AC139" s="4">
        <v>100</v>
      </c>
      <c r="AD139" s="4">
        <v>12.669924869999999</v>
      </c>
      <c r="AE139" s="4">
        <v>12.36353637</v>
      </c>
      <c r="AG139" s="30"/>
      <c r="AK139" s="4">
        <v>0.49652800000000002</v>
      </c>
      <c r="AL139" s="4">
        <v>7.0200930000000001</v>
      </c>
      <c r="AM139" s="4" t="s">
        <v>1116</v>
      </c>
      <c r="AN139" s="4" t="s">
        <v>1114</v>
      </c>
      <c r="AO139" s="4" t="s">
        <v>1524</v>
      </c>
    </row>
    <row r="140" spans="1:41" ht="18.75">
      <c r="A140" s="29">
        <v>5000</v>
      </c>
      <c r="B140" s="4">
        <v>0.222587595</v>
      </c>
      <c r="C140" s="4">
        <v>0.244698945</v>
      </c>
      <c r="E140" s="4">
        <v>5000</v>
      </c>
      <c r="F140" s="4">
        <v>1.743848509</v>
      </c>
      <c r="G140" s="4">
        <v>1.6451978679999999</v>
      </c>
      <c r="I140" s="4">
        <v>5000</v>
      </c>
      <c r="J140" s="4">
        <v>5.4279396760000003</v>
      </c>
      <c r="K140" s="4">
        <v>5.3803152289999998</v>
      </c>
      <c r="M140" s="4">
        <v>5000</v>
      </c>
      <c r="N140" s="4">
        <v>13.00362853</v>
      </c>
      <c r="O140" s="4">
        <v>14.126204789999999</v>
      </c>
      <c r="Q140" s="4">
        <v>5000</v>
      </c>
      <c r="R140" s="4">
        <v>20.834448349999999</v>
      </c>
      <c r="S140" s="4">
        <v>19.242431119999999</v>
      </c>
      <c r="U140" s="4">
        <v>5000</v>
      </c>
      <c r="V140" s="4">
        <v>22.283592250000002</v>
      </c>
      <c r="W140" s="4">
        <v>23.117020069999999</v>
      </c>
      <c r="Y140" s="4">
        <v>500</v>
      </c>
      <c r="Z140" s="4">
        <v>26.774409429999999</v>
      </c>
      <c r="AA140" s="4">
        <v>25.342340879999998</v>
      </c>
      <c r="AC140" s="4">
        <v>500</v>
      </c>
      <c r="AD140" s="4">
        <v>30.505646720000001</v>
      </c>
      <c r="AE140" s="4">
        <v>30.785959600000002</v>
      </c>
      <c r="AG140" s="30"/>
      <c r="AK140" s="4">
        <v>0.49652800000000002</v>
      </c>
      <c r="AL140" s="4">
        <v>7.1965969999999997</v>
      </c>
      <c r="AM140" s="4" t="s">
        <v>1116</v>
      </c>
      <c r="AN140" s="4" t="s">
        <v>1114</v>
      </c>
      <c r="AO140" s="4" t="s">
        <v>1524</v>
      </c>
    </row>
    <row r="141" spans="1:41" ht="18.75">
      <c r="A141" s="29">
        <v>10000</v>
      </c>
      <c r="B141" s="4">
        <v>0.25864610500000002</v>
      </c>
      <c r="C141" s="4">
        <v>0.233133008</v>
      </c>
      <c r="E141" s="4">
        <v>10000</v>
      </c>
      <c r="F141" s="4">
        <v>2.4616169640000001</v>
      </c>
      <c r="G141" s="4">
        <v>2.1350493259999999</v>
      </c>
      <c r="I141" s="4">
        <v>10000</v>
      </c>
      <c r="J141" s="4">
        <v>6.9485202409999998</v>
      </c>
      <c r="K141" s="4">
        <v>7.1220092990000001</v>
      </c>
      <c r="M141" s="4">
        <v>10000</v>
      </c>
      <c r="N141" s="4">
        <v>15.531125980000001</v>
      </c>
      <c r="O141" s="4">
        <v>17.02449257</v>
      </c>
      <c r="Q141" s="4">
        <v>10000</v>
      </c>
      <c r="R141" s="4">
        <v>22.014854289999999</v>
      </c>
      <c r="S141" s="4">
        <v>22.906111809999999</v>
      </c>
      <c r="U141" s="4">
        <v>10000</v>
      </c>
      <c r="V141" s="4">
        <v>26.362285979999999</v>
      </c>
      <c r="W141" s="4">
        <v>26.443927890000001</v>
      </c>
      <c r="Y141" s="4">
        <v>1000</v>
      </c>
      <c r="Z141" s="4">
        <v>29.61312521</v>
      </c>
      <c r="AA141" s="4">
        <v>28.9888902</v>
      </c>
      <c r="AC141" s="4">
        <v>1000</v>
      </c>
      <c r="AD141" s="4">
        <v>33.536937170000002</v>
      </c>
      <c r="AE141" s="4">
        <v>33.63798019</v>
      </c>
      <c r="AG141" s="30"/>
      <c r="AK141" s="4">
        <v>1.630787</v>
      </c>
      <c r="AL141" s="4">
        <v>13.388730000000001</v>
      </c>
      <c r="AM141" s="4" t="s">
        <v>1116</v>
      </c>
      <c r="AN141" s="4" t="s">
        <v>1114</v>
      </c>
      <c r="AO141" s="4" t="s">
        <v>1524</v>
      </c>
    </row>
    <row r="142" spans="1:41" ht="18.75">
      <c r="A142" s="29">
        <v>100000</v>
      </c>
      <c r="B142" s="4">
        <v>0.260687153</v>
      </c>
      <c r="C142" s="4">
        <v>0.28449937600000003</v>
      </c>
      <c r="E142" s="4">
        <v>100000</v>
      </c>
      <c r="F142" s="4">
        <v>3.6964508450000002</v>
      </c>
      <c r="G142" s="4">
        <v>3.672638622</v>
      </c>
      <c r="I142" s="4">
        <v>100000</v>
      </c>
      <c r="J142" s="4">
        <v>9.3637600649999992</v>
      </c>
      <c r="K142" s="4">
        <v>9.4794194360000006</v>
      </c>
      <c r="M142" s="4">
        <v>100000</v>
      </c>
      <c r="N142" s="4">
        <v>17.02449257</v>
      </c>
      <c r="O142" s="4">
        <v>18.436217259999999</v>
      </c>
      <c r="Q142" s="4">
        <v>100000</v>
      </c>
      <c r="R142" s="4">
        <v>24.42329063</v>
      </c>
      <c r="S142" s="4">
        <v>24.127338699999999</v>
      </c>
      <c r="U142" s="4">
        <v>100000</v>
      </c>
      <c r="V142" s="4">
        <v>27.348792379999999</v>
      </c>
      <c r="W142" s="4">
        <v>26.688853609999999</v>
      </c>
      <c r="Y142" s="4">
        <v>10000</v>
      </c>
      <c r="Z142" s="4">
        <v>32.553526329999997</v>
      </c>
      <c r="AA142" s="4">
        <v>32.553526329999997</v>
      </c>
      <c r="AC142" s="4">
        <v>10000</v>
      </c>
      <c r="AD142" s="4">
        <v>35.00369061</v>
      </c>
      <c r="AE142" s="4">
        <v>36.754016389999997</v>
      </c>
      <c r="AG142" s="30"/>
      <c r="AK142" s="4">
        <v>1.630787</v>
      </c>
      <c r="AL142" s="4">
        <v>13.553660000000001</v>
      </c>
      <c r="AM142" s="4" t="s">
        <v>1116</v>
      </c>
      <c r="AN142" s="4" t="s">
        <v>1114</v>
      </c>
      <c r="AO142" s="4" t="s">
        <v>1524</v>
      </c>
    </row>
    <row r="143" spans="1:41" ht="18.75">
      <c r="A143" s="29"/>
      <c r="AG143" s="30"/>
      <c r="AK143" s="4">
        <v>4.6892360000000002</v>
      </c>
      <c r="AL143" s="4">
        <v>18.371369999999999</v>
      </c>
      <c r="AM143" s="4" t="s">
        <v>1116</v>
      </c>
      <c r="AN143" s="4" t="s">
        <v>1114</v>
      </c>
      <c r="AO143" s="4" t="s">
        <v>1524</v>
      </c>
    </row>
    <row r="144" spans="1:41" ht="18.75">
      <c r="A144" s="29"/>
      <c r="AG144" s="30"/>
      <c r="AK144" s="4">
        <v>4.6892360000000002</v>
      </c>
      <c r="AL144" s="4">
        <v>18.657819999999901</v>
      </c>
      <c r="AM144" s="4" t="s">
        <v>1116</v>
      </c>
      <c r="AN144" s="4" t="s">
        <v>1114</v>
      </c>
      <c r="AO144" s="4" t="s">
        <v>1524</v>
      </c>
    </row>
    <row r="145" spans="1:41" ht="18.75">
      <c r="A145" s="29"/>
      <c r="AG145" s="30"/>
      <c r="AK145" s="4">
        <v>8.1556709999999999</v>
      </c>
      <c r="AL145" s="4">
        <v>20.26662</v>
      </c>
      <c r="AM145" s="4" t="s">
        <v>1116</v>
      </c>
      <c r="AN145" s="4" t="s">
        <v>1114</v>
      </c>
      <c r="AO145" s="4" t="s">
        <v>1524</v>
      </c>
    </row>
    <row r="146" spans="1:41" ht="18.75">
      <c r="A146" s="29">
        <v>374</v>
      </c>
      <c r="B146" s="4" t="s">
        <v>3369</v>
      </c>
      <c r="E146" s="4">
        <v>374</v>
      </c>
      <c r="F146" s="4" t="s">
        <v>3369</v>
      </c>
      <c r="I146" s="4">
        <v>374</v>
      </c>
      <c r="J146" s="4" t="s">
        <v>3369</v>
      </c>
      <c r="M146" s="4">
        <v>374</v>
      </c>
      <c r="N146" s="4" t="s">
        <v>3369</v>
      </c>
      <c r="AG146" s="30"/>
      <c r="AK146" s="4">
        <v>8.1556709999999999</v>
      </c>
      <c r="AL146" s="4">
        <v>21.091269999999898</v>
      </c>
      <c r="AM146" s="4" t="s">
        <v>1116</v>
      </c>
      <c r="AN146" s="4" t="s">
        <v>1114</v>
      </c>
      <c r="AO146" s="4" t="s">
        <v>1524</v>
      </c>
    </row>
    <row r="147" spans="1:41" ht="18.75">
      <c r="A147" s="29"/>
      <c r="AG147" s="30"/>
      <c r="AK147" s="4">
        <v>0.18490200000000001</v>
      </c>
      <c r="AL147" s="4">
        <v>2.7288749999999999</v>
      </c>
      <c r="AM147" s="4" t="s">
        <v>1116</v>
      </c>
      <c r="AN147" s="4" t="s">
        <v>1114</v>
      </c>
      <c r="AO147" s="4" t="s">
        <v>1524</v>
      </c>
    </row>
    <row r="148" spans="1:41" ht="18.75">
      <c r="A148" s="29" t="s">
        <v>3366</v>
      </c>
      <c r="B148" s="4" t="s">
        <v>3367</v>
      </c>
      <c r="E148" s="4" t="s">
        <v>3366</v>
      </c>
      <c r="F148" s="4" t="s">
        <v>3368</v>
      </c>
      <c r="I148" s="4" t="s">
        <v>3366</v>
      </c>
      <c r="J148" s="4" t="s">
        <v>3370</v>
      </c>
      <c r="M148" s="4" t="s">
        <v>3366</v>
      </c>
      <c r="N148" s="4" t="s">
        <v>3371</v>
      </c>
      <c r="AG148" s="30"/>
      <c r="AK148" s="4">
        <v>0.18490200000000001</v>
      </c>
      <c r="AL148" s="4">
        <v>2.825806</v>
      </c>
      <c r="AM148" s="4" t="s">
        <v>1116</v>
      </c>
      <c r="AN148" s="4" t="s">
        <v>1114</v>
      </c>
      <c r="AO148" s="4" t="s">
        <v>1524</v>
      </c>
    </row>
    <row r="149" spans="1:41" ht="18.75">
      <c r="A149" s="29">
        <v>0</v>
      </c>
      <c r="B149" s="4">
        <v>0.14838526599999999</v>
      </c>
      <c r="C149" s="4">
        <v>0.15714150399999999</v>
      </c>
      <c r="E149" s="4">
        <v>0</v>
      </c>
      <c r="F149" s="4">
        <v>0.120056475</v>
      </c>
      <c r="G149" s="4">
        <v>0.11940458399999999</v>
      </c>
      <c r="I149" s="4">
        <v>0</v>
      </c>
      <c r="J149" s="4">
        <v>0.14640805100000001</v>
      </c>
      <c r="K149" s="4">
        <v>0.153751993</v>
      </c>
      <c r="M149" s="4">
        <v>0</v>
      </c>
      <c r="N149" s="4">
        <v>0.12559754300000001</v>
      </c>
      <c r="O149" s="4">
        <v>0.12690132400000001</v>
      </c>
      <c r="AG149" s="30"/>
      <c r="AK149" s="4">
        <v>0.48303699999999999</v>
      </c>
      <c r="AL149" s="4">
        <v>6.8704520000000002</v>
      </c>
      <c r="AM149" s="4" t="s">
        <v>1116</v>
      </c>
      <c r="AN149" s="4" t="s">
        <v>1114</v>
      </c>
      <c r="AO149" s="4" t="s">
        <v>1524</v>
      </c>
    </row>
    <row r="150" spans="1:41" ht="18.75">
      <c r="A150" s="29">
        <v>1</v>
      </c>
      <c r="B150" s="4">
        <v>0.14160624399999999</v>
      </c>
      <c r="C150" s="4">
        <v>0.14443083600000001</v>
      </c>
      <c r="E150" s="4">
        <v>1</v>
      </c>
      <c r="F150" s="4">
        <v>0.11940458399999999</v>
      </c>
      <c r="G150" s="4">
        <v>0.116145132</v>
      </c>
      <c r="I150" s="4">
        <v>1</v>
      </c>
      <c r="J150" s="4">
        <v>0.14838526599999999</v>
      </c>
      <c r="K150" s="4">
        <v>0.14640805100000001</v>
      </c>
      <c r="M150" s="4">
        <v>1</v>
      </c>
      <c r="N150" s="4">
        <v>0.121360255</v>
      </c>
      <c r="O150" s="4">
        <v>0.11223379</v>
      </c>
      <c r="AG150" s="30"/>
      <c r="AK150" s="4">
        <v>0.48303699999999999</v>
      </c>
      <c r="AL150" s="4">
        <v>7.287547</v>
      </c>
      <c r="AM150" s="4" t="s">
        <v>1116</v>
      </c>
      <c r="AN150" s="4" t="s">
        <v>1114</v>
      </c>
      <c r="AO150" s="4" t="s">
        <v>1524</v>
      </c>
    </row>
    <row r="151" spans="1:41" ht="18.75">
      <c r="A151" s="29">
        <v>10</v>
      </c>
      <c r="B151" s="4">
        <v>0.14160624399999999</v>
      </c>
      <c r="C151" s="4">
        <v>0.143583459</v>
      </c>
      <c r="E151" s="4">
        <v>10</v>
      </c>
      <c r="F151" s="4">
        <v>0.122664036</v>
      </c>
      <c r="G151" s="4">
        <v>0.117448913</v>
      </c>
      <c r="I151" s="4">
        <v>10</v>
      </c>
      <c r="J151" s="4">
        <v>0.144995755</v>
      </c>
      <c r="K151" s="4">
        <v>0.15149231899999999</v>
      </c>
      <c r="M151" s="4">
        <v>10</v>
      </c>
      <c r="N151" s="4">
        <v>0.12331592700000001</v>
      </c>
      <c r="O151" s="4">
        <v>0.13309428300000001</v>
      </c>
      <c r="AG151" s="30"/>
      <c r="AK151" s="4">
        <v>1.7534149999999999</v>
      </c>
      <c r="AL151" s="4">
        <v>13.849449999999999</v>
      </c>
      <c r="AM151" s="4" t="s">
        <v>1116</v>
      </c>
      <c r="AN151" s="4" t="s">
        <v>1114</v>
      </c>
      <c r="AO151" s="4" t="s">
        <v>1524</v>
      </c>
    </row>
    <row r="152" spans="1:41" ht="18.75">
      <c r="A152" s="29">
        <v>50</v>
      </c>
      <c r="B152" s="4">
        <v>0.26843046100000001</v>
      </c>
      <c r="C152" s="4">
        <v>0.24300912599999999</v>
      </c>
      <c r="E152" s="4">
        <v>50</v>
      </c>
      <c r="F152" s="4">
        <v>0.235115133</v>
      </c>
      <c r="G152" s="4">
        <v>0.20284655800000001</v>
      </c>
      <c r="I152" s="4">
        <v>50</v>
      </c>
      <c r="J152" s="4">
        <v>0.66669804799999999</v>
      </c>
      <c r="K152" s="4">
        <v>0.65257508399999997</v>
      </c>
      <c r="M152" s="4">
        <v>50</v>
      </c>
      <c r="N152" s="4">
        <v>0.56106034299999996</v>
      </c>
      <c r="O152" s="4">
        <v>0.56431979499999996</v>
      </c>
      <c r="AG152" s="30"/>
      <c r="AK152" s="4">
        <v>1.7534149999999999</v>
      </c>
      <c r="AL152" s="4">
        <v>13.893509999999999</v>
      </c>
      <c r="AM152" s="4" t="s">
        <v>1116</v>
      </c>
      <c r="AN152" s="4" t="s">
        <v>1114</v>
      </c>
      <c r="AO152" s="4" t="s">
        <v>1524</v>
      </c>
    </row>
    <row r="153" spans="1:41" ht="18.75">
      <c r="A153" s="29">
        <v>100</v>
      </c>
      <c r="B153" s="4">
        <v>0.53959137099999999</v>
      </c>
      <c r="C153" s="4">
        <v>0.50287166500000002</v>
      </c>
      <c r="E153" s="4">
        <v>100</v>
      </c>
      <c r="F153" s="4">
        <v>0.43068225900000001</v>
      </c>
      <c r="G153" s="4">
        <v>0.38179047799999999</v>
      </c>
      <c r="I153" s="4">
        <v>100</v>
      </c>
      <c r="J153" s="4">
        <v>1.54232182</v>
      </c>
      <c r="K153" s="4">
        <v>1.6298841980000001</v>
      </c>
      <c r="M153" s="4">
        <v>100</v>
      </c>
      <c r="N153" s="4">
        <v>1.268361447</v>
      </c>
      <c r="O153" s="4">
        <v>1.2455452819999999</v>
      </c>
      <c r="AG153" s="30"/>
      <c r="AK153" s="4">
        <v>4.485093</v>
      </c>
      <c r="AL153" s="4">
        <v>19.177689999999998</v>
      </c>
      <c r="AM153" s="4" t="s">
        <v>1116</v>
      </c>
      <c r="AN153" s="4" t="s">
        <v>1114</v>
      </c>
      <c r="AO153" s="4" t="s">
        <v>1524</v>
      </c>
    </row>
    <row r="154" spans="1:41" ht="18.75">
      <c r="A154" s="29">
        <v>500</v>
      </c>
      <c r="B154" s="4">
        <v>1.824781102</v>
      </c>
      <c r="C154" s="4">
        <v>1.9462385929999999</v>
      </c>
      <c r="E154" s="4">
        <v>500</v>
      </c>
      <c r="F154" s="4">
        <v>1.8289872069999999</v>
      </c>
      <c r="G154" s="4">
        <v>1.600825561</v>
      </c>
      <c r="I154" s="4">
        <v>500</v>
      </c>
      <c r="J154" s="4">
        <v>5.7311929639999999</v>
      </c>
      <c r="K154" s="4">
        <v>5.4882779819999996</v>
      </c>
      <c r="M154" s="4">
        <v>500</v>
      </c>
      <c r="N154" s="4">
        <v>5.3785305369999996</v>
      </c>
      <c r="O154" s="4">
        <v>5.9554535570000002</v>
      </c>
      <c r="AG154" s="30"/>
      <c r="AK154" s="4">
        <v>4.485093</v>
      </c>
      <c r="AL154" s="4">
        <v>18.543239999999901</v>
      </c>
      <c r="AM154" s="4" t="s">
        <v>1116</v>
      </c>
      <c r="AN154" s="4" t="s">
        <v>1114</v>
      </c>
      <c r="AO154" s="4" t="s">
        <v>1524</v>
      </c>
    </row>
    <row r="155" spans="1:41" ht="18.75">
      <c r="A155" s="29">
        <v>1000</v>
      </c>
      <c r="B155" s="4">
        <v>2.8359853290000001</v>
      </c>
      <c r="C155" s="4">
        <v>2.8444591080000001</v>
      </c>
      <c r="E155" s="4">
        <v>1000</v>
      </c>
      <c r="F155" s="4">
        <v>2.8068228350000002</v>
      </c>
      <c r="G155" s="4">
        <v>2.669925847</v>
      </c>
      <c r="I155" s="4">
        <v>1000</v>
      </c>
      <c r="J155" s="4">
        <v>7.6999341560000003</v>
      </c>
      <c r="K155" s="4">
        <v>7.629319336</v>
      </c>
      <c r="M155" s="4">
        <v>1000</v>
      </c>
      <c r="N155" s="4">
        <v>7.5786607000000004</v>
      </c>
      <c r="O155" s="4">
        <v>7.6731848100000004</v>
      </c>
      <c r="AG155" s="30"/>
      <c r="AK155" s="4">
        <v>7.7058309999999999</v>
      </c>
      <c r="AL155" s="4">
        <v>21.02525</v>
      </c>
      <c r="AM155" s="4" t="s">
        <v>1116</v>
      </c>
      <c r="AN155" s="4" t="s">
        <v>1114</v>
      </c>
      <c r="AO155" s="4" t="s">
        <v>1524</v>
      </c>
    </row>
    <row r="156" spans="1:41" ht="18.75">
      <c r="A156" s="29">
        <v>10000</v>
      </c>
      <c r="B156" s="4">
        <v>4.7030411799999996</v>
      </c>
      <c r="C156" s="4">
        <v>4.5731099100000003</v>
      </c>
      <c r="E156" s="4">
        <v>10000</v>
      </c>
      <c r="F156" s="4">
        <v>4.8537587499999999</v>
      </c>
      <c r="G156" s="4">
        <v>4.4202516210000002</v>
      </c>
      <c r="I156" s="4">
        <v>10000</v>
      </c>
      <c r="J156" s="4">
        <v>10.05846916</v>
      </c>
      <c r="K156" s="4">
        <v>10.027398639999999</v>
      </c>
      <c r="M156" s="4">
        <v>10000</v>
      </c>
      <c r="N156" s="4">
        <v>10.831593890000001</v>
      </c>
      <c r="O156" s="4">
        <v>10.34593553</v>
      </c>
      <c r="AG156" s="30"/>
      <c r="AK156" s="4">
        <v>7.7058309999999999</v>
      </c>
      <c r="AL156" s="4">
        <v>20.89894</v>
      </c>
      <c r="AM156" s="4" t="s">
        <v>1116</v>
      </c>
      <c r="AN156" s="4" t="s">
        <v>1114</v>
      </c>
      <c r="AO156" s="4" t="s">
        <v>1524</v>
      </c>
    </row>
    <row r="157" spans="1:41" ht="19.5" thickBot="1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3"/>
      <c r="AK157" s="4">
        <v>0.14200699999999999</v>
      </c>
      <c r="AL157" s="4">
        <v>1.5370520000000001</v>
      </c>
      <c r="AM157" s="4" t="s">
        <v>1116</v>
      </c>
      <c r="AN157" s="4" t="s">
        <v>1114</v>
      </c>
      <c r="AO157" s="4" t="s">
        <v>1524</v>
      </c>
    </row>
    <row r="158" spans="1:41" ht="18.75">
      <c r="AK158" s="4">
        <v>0.14200699999999999</v>
      </c>
      <c r="AL158" s="4">
        <v>1.579569</v>
      </c>
      <c r="AM158" s="4" t="s">
        <v>1116</v>
      </c>
      <c r="AN158" s="4" t="s">
        <v>1114</v>
      </c>
      <c r="AO158" s="4" t="s">
        <v>1524</v>
      </c>
    </row>
    <row r="159" spans="1:41" ht="18.75">
      <c r="AK159" s="4">
        <v>0.50113399999999997</v>
      </c>
      <c r="AL159" s="4">
        <v>6.4690250000000002</v>
      </c>
      <c r="AM159" s="4" t="s">
        <v>1116</v>
      </c>
      <c r="AN159" s="4" t="s">
        <v>1114</v>
      </c>
      <c r="AO159" s="4" t="s">
        <v>1524</v>
      </c>
    </row>
    <row r="160" spans="1:41" ht="18.75">
      <c r="AK160" s="4">
        <v>0.50113399999999997</v>
      </c>
      <c r="AL160" s="4">
        <v>6.9480500000000003</v>
      </c>
      <c r="AM160" s="4" t="s">
        <v>1116</v>
      </c>
      <c r="AN160" s="4" t="s">
        <v>1114</v>
      </c>
      <c r="AO160" s="4" t="s">
        <v>1524</v>
      </c>
    </row>
    <row r="161" spans="37:41" ht="18.75">
      <c r="AK161" s="4">
        <v>1.9580500000000001</v>
      </c>
      <c r="AL161" s="4">
        <v>13.49</v>
      </c>
      <c r="AM161" s="4" t="s">
        <v>1116</v>
      </c>
      <c r="AN161" s="4" t="s">
        <v>1114</v>
      </c>
      <c r="AO161" s="4" t="s">
        <v>1524</v>
      </c>
    </row>
    <row r="162" spans="37:41" ht="18.75">
      <c r="AK162" s="4">
        <v>1.9580500000000001</v>
      </c>
      <c r="AL162" s="4">
        <v>14.0824</v>
      </c>
      <c r="AM162" s="4" t="s">
        <v>1116</v>
      </c>
      <c r="AN162" s="4" t="s">
        <v>1114</v>
      </c>
      <c r="AO162" s="4" t="s">
        <v>1524</v>
      </c>
    </row>
    <row r="163" spans="37:41" ht="18.75">
      <c r="AK163" s="4">
        <v>4.8322000000000003</v>
      </c>
      <c r="AL163" s="4">
        <v>19.439549999999901</v>
      </c>
      <c r="AM163" s="4" t="s">
        <v>1116</v>
      </c>
      <c r="AN163" s="4" t="s">
        <v>1114</v>
      </c>
      <c r="AO163" s="4" t="s">
        <v>1524</v>
      </c>
    </row>
    <row r="164" spans="37:41" ht="18.75">
      <c r="AK164" s="4">
        <v>4.8322000000000003</v>
      </c>
      <c r="AL164" s="4">
        <v>18.393629999999899</v>
      </c>
      <c r="AM164" s="4" t="s">
        <v>1116</v>
      </c>
      <c r="AN164" s="4" t="s">
        <v>1114</v>
      </c>
      <c r="AO164" s="4" t="s">
        <v>1524</v>
      </c>
    </row>
    <row r="165" spans="37:41" ht="18.75">
      <c r="AK165" s="4">
        <v>8.5850340000000003</v>
      </c>
      <c r="AL165" s="4">
        <v>21.70712</v>
      </c>
      <c r="AM165" s="4" t="s">
        <v>1116</v>
      </c>
      <c r="AN165" s="4" t="s">
        <v>1114</v>
      </c>
      <c r="AO165" s="4" t="s">
        <v>1524</v>
      </c>
    </row>
    <row r="166" spans="37:41" ht="18.75">
      <c r="AK166" s="4">
        <v>8.5850340000000003</v>
      </c>
      <c r="AL166" s="4">
        <v>21.772309999999901</v>
      </c>
      <c r="AM166" s="4" t="s">
        <v>1116</v>
      </c>
      <c r="AN166" s="4" t="s">
        <v>1114</v>
      </c>
      <c r="AO166" s="4" t="s">
        <v>1524</v>
      </c>
    </row>
    <row r="167" spans="37:41" ht="18.75">
      <c r="AK167" s="4">
        <v>4.0000000000000001E-3</v>
      </c>
      <c r="AL167" s="4">
        <v>2.06189439999999E-2</v>
      </c>
      <c r="AM167" s="4" t="s">
        <v>1117</v>
      </c>
      <c r="AN167" s="4" t="s">
        <v>1112</v>
      </c>
      <c r="AO167" s="4" t="s">
        <v>1453</v>
      </c>
    </row>
    <row r="168" spans="37:41" ht="18.75">
      <c r="AK168" s="4">
        <v>0.13425899999999999</v>
      </c>
      <c r="AL168" s="4">
        <v>2.06189439999999E-2</v>
      </c>
      <c r="AM168" s="4" t="s">
        <v>1117</v>
      </c>
      <c r="AN168" s="4" t="s">
        <v>1112</v>
      </c>
      <c r="AO168" s="4" t="s">
        <v>1453</v>
      </c>
    </row>
    <row r="169" spans="37:41" ht="18.75">
      <c r="AK169" s="4">
        <v>0.13425899999999999</v>
      </c>
      <c r="AL169" s="4">
        <v>2.1775943999999998E-2</v>
      </c>
      <c r="AM169" s="4" t="s">
        <v>1117</v>
      </c>
      <c r="AN169" s="4" t="s">
        <v>1112</v>
      </c>
      <c r="AO169" s="4" t="s">
        <v>1453</v>
      </c>
    </row>
    <row r="170" spans="37:41" ht="18.75">
      <c r="AK170" s="4">
        <v>0.49652800000000002</v>
      </c>
      <c r="AL170" s="4">
        <v>2.06189439999999E-2</v>
      </c>
      <c r="AM170" s="4" t="s">
        <v>1117</v>
      </c>
      <c r="AN170" s="4" t="s">
        <v>1112</v>
      </c>
      <c r="AO170" s="4" t="s">
        <v>1453</v>
      </c>
    </row>
    <row r="171" spans="37:41" ht="18.75">
      <c r="AK171" s="4">
        <v>0.49652800000000002</v>
      </c>
      <c r="AL171" s="4">
        <v>1.94609439999999E-2</v>
      </c>
      <c r="AM171" s="4" t="s">
        <v>1117</v>
      </c>
      <c r="AN171" s="4" t="s">
        <v>1112</v>
      </c>
      <c r="AO171" s="4" t="s">
        <v>1453</v>
      </c>
    </row>
    <row r="172" spans="37:41" ht="18.75">
      <c r="AK172" s="4">
        <v>1.630787</v>
      </c>
      <c r="AL172" s="4">
        <v>3.01669439999999E-2</v>
      </c>
      <c r="AM172" s="4" t="s">
        <v>1117</v>
      </c>
      <c r="AN172" s="4" t="s">
        <v>1112</v>
      </c>
      <c r="AO172" s="4" t="s">
        <v>1453</v>
      </c>
    </row>
    <row r="173" spans="37:41" ht="18.75">
      <c r="AK173" s="4">
        <v>1.630787</v>
      </c>
      <c r="AL173" s="4">
        <v>3.3928944000000003E-2</v>
      </c>
      <c r="AM173" s="4" t="s">
        <v>1117</v>
      </c>
      <c r="AN173" s="4" t="s">
        <v>1112</v>
      </c>
      <c r="AO173" s="4" t="s">
        <v>1453</v>
      </c>
    </row>
    <row r="174" spans="37:41" ht="18.75">
      <c r="AK174" s="4">
        <v>4.6892360000000002</v>
      </c>
      <c r="AL174" s="4">
        <v>0.284796944</v>
      </c>
      <c r="AM174" s="4" t="s">
        <v>1117</v>
      </c>
      <c r="AN174" s="4" t="s">
        <v>1112</v>
      </c>
      <c r="AO174" s="4" t="s">
        <v>1453</v>
      </c>
    </row>
    <row r="175" spans="37:41" ht="18.75">
      <c r="AK175" s="4">
        <v>4.6892360000000002</v>
      </c>
      <c r="AL175" s="4">
        <v>0.29637094400000003</v>
      </c>
      <c r="AM175" s="4" t="s">
        <v>1117</v>
      </c>
      <c r="AN175" s="4" t="s">
        <v>1112</v>
      </c>
      <c r="AO175" s="4" t="s">
        <v>1453</v>
      </c>
    </row>
    <row r="176" spans="37:41" ht="18.75">
      <c r="AK176" s="4">
        <v>8.1556709999999999</v>
      </c>
      <c r="AL176" s="4">
        <v>2.8253059440000001</v>
      </c>
      <c r="AM176" s="4" t="s">
        <v>1117</v>
      </c>
      <c r="AN176" s="4" t="s">
        <v>1112</v>
      </c>
      <c r="AO176" s="4" t="s">
        <v>1453</v>
      </c>
    </row>
    <row r="177" spans="37:41" ht="18.75">
      <c r="AK177" s="4">
        <v>8.1556709999999999</v>
      </c>
      <c r="AL177" s="4">
        <v>2.851347944</v>
      </c>
      <c r="AM177" s="4" t="s">
        <v>1117</v>
      </c>
      <c r="AN177" s="4" t="s">
        <v>1112</v>
      </c>
      <c r="AO177" s="4" t="s">
        <v>1453</v>
      </c>
    </row>
    <row r="178" spans="37:41" ht="18.75">
      <c r="AK178" s="4">
        <v>4.0000000000000001E-3</v>
      </c>
      <c r="AL178" s="4">
        <v>2.1203943999999999E-2</v>
      </c>
      <c r="AM178" s="4" t="s">
        <v>1117</v>
      </c>
      <c r="AN178" s="4" t="s">
        <v>1112</v>
      </c>
      <c r="AO178" s="4" t="s">
        <v>1453</v>
      </c>
    </row>
    <row r="179" spans="37:41" ht="18.75">
      <c r="AK179" s="4">
        <v>0.18490200000000001</v>
      </c>
      <c r="AL179" s="4">
        <v>2.2671943999999899E-2</v>
      </c>
      <c r="AM179" s="4" t="s">
        <v>1117</v>
      </c>
      <c r="AN179" s="4" t="s">
        <v>1112</v>
      </c>
      <c r="AO179" s="4" t="s">
        <v>1453</v>
      </c>
    </row>
    <row r="180" spans="37:41" ht="18.75">
      <c r="AK180" s="4">
        <v>0.18490200000000001</v>
      </c>
      <c r="AL180" s="4">
        <v>3.1777944000000002E-2</v>
      </c>
      <c r="AM180" s="4" t="s">
        <v>1117</v>
      </c>
      <c r="AN180" s="4" t="s">
        <v>1112</v>
      </c>
      <c r="AO180" s="4" t="s">
        <v>1453</v>
      </c>
    </row>
    <row r="181" spans="37:41" ht="18.75">
      <c r="AK181" s="4">
        <v>0.48303699999999999</v>
      </c>
      <c r="AL181" s="4">
        <v>2.9133943999999998E-2</v>
      </c>
      <c r="AM181" s="4" t="s">
        <v>1117</v>
      </c>
      <c r="AN181" s="4" t="s">
        <v>1112</v>
      </c>
      <c r="AO181" s="4" t="s">
        <v>1453</v>
      </c>
    </row>
    <row r="182" spans="37:41" ht="18.75">
      <c r="AK182" s="4">
        <v>1.7534149999999999</v>
      </c>
      <c r="AL182" s="4">
        <v>4.4407943999999998E-2</v>
      </c>
      <c r="AM182" s="4" t="s">
        <v>1117</v>
      </c>
      <c r="AN182" s="4" t="s">
        <v>1112</v>
      </c>
      <c r="AO182" s="4" t="s">
        <v>1453</v>
      </c>
    </row>
    <row r="183" spans="37:41" ht="18.75">
      <c r="AK183" s="4">
        <v>1.7534149999999999</v>
      </c>
      <c r="AL183" s="4">
        <v>4.9694943999999998E-2</v>
      </c>
      <c r="AM183" s="4" t="s">
        <v>1117</v>
      </c>
      <c r="AN183" s="4" t="s">
        <v>1112</v>
      </c>
      <c r="AO183" s="4" t="s">
        <v>1453</v>
      </c>
    </row>
    <row r="184" spans="37:41" ht="18.75">
      <c r="AK184" s="4">
        <v>4.485093</v>
      </c>
      <c r="AL184" s="4">
        <v>0.30318294400000001</v>
      </c>
      <c r="AM184" s="4" t="s">
        <v>1117</v>
      </c>
      <c r="AN184" s="4" t="s">
        <v>1112</v>
      </c>
      <c r="AO184" s="4" t="s">
        <v>1453</v>
      </c>
    </row>
    <row r="185" spans="37:41" ht="18.75">
      <c r="AK185" s="4">
        <v>4.485093</v>
      </c>
      <c r="AL185" s="4">
        <v>0.347242944</v>
      </c>
      <c r="AM185" s="4" t="s">
        <v>1117</v>
      </c>
      <c r="AN185" s="4" t="s">
        <v>1112</v>
      </c>
      <c r="AO185" s="4" t="s">
        <v>1453</v>
      </c>
    </row>
    <row r="186" spans="37:41" ht="18.75">
      <c r="AK186" s="4">
        <v>7.7058309999999999</v>
      </c>
      <c r="AL186" s="4">
        <v>2.629515944</v>
      </c>
      <c r="AM186" s="4" t="s">
        <v>1117</v>
      </c>
      <c r="AN186" s="4" t="s">
        <v>1112</v>
      </c>
      <c r="AO186" s="4" t="s">
        <v>1453</v>
      </c>
    </row>
    <row r="187" spans="37:41" ht="18.75">
      <c r="AK187" s="4">
        <v>7.7058309999999999</v>
      </c>
      <c r="AL187" s="4">
        <v>2.42096894399999</v>
      </c>
      <c r="AM187" s="4" t="s">
        <v>1117</v>
      </c>
      <c r="AN187" s="4" t="s">
        <v>1112</v>
      </c>
      <c r="AO187" s="4" t="s">
        <v>1453</v>
      </c>
    </row>
    <row r="188" spans="37:41" ht="18.75">
      <c r="AK188" s="4">
        <v>4.0000000000000001E-3</v>
      </c>
      <c r="AL188" s="4">
        <v>3.4312943999999998E-2</v>
      </c>
      <c r="AM188" s="4" t="s">
        <v>1117</v>
      </c>
      <c r="AN188" s="4" t="s">
        <v>1112</v>
      </c>
      <c r="AO188" s="4" t="s">
        <v>1453</v>
      </c>
    </row>
    <row r="189" spans="37:41" ht="18.75">
      <c r="AK189" s="4">
        <v>4.0000000000000001E-3</v>
      </c>
      <c r="AL189" s="4">
        <v>3.5162944000000002E-2</v>
      </c>
      <c r="AM189" s="4" t="s">
        <v>1117</v>
      </c>
      <c r="AN189" s="4" t="s">
        <v>1112</v>
      </c>
      <c r="AO189" s="4" t="s">
        <v>1453</v>
      </c>
    </row>
    <row r="190" spans="37:41" ht="18.75">
      <c r="AK190" s="4">
        <v>0.14200699999999999</v>
      </c>
      <c r="AL190" s="4">
        <v>4.4232943999999899E-2</v>
      </c>
      <c r="AM190" s="4" t="s">
        <v>1117</v>
      </c>
      <c r="AN190" s="4" t="s">
        <v>1112</v>
      </c>
      <c r="AO190" s="4" t="s">
        <v>1453</v>
      </c>
    </row>
    <row r="191" spans="37:41" ht="18.75">
      <c r="AK191" s="4">
        <v>0.14200699999999999</v>
      </c>
      <c r="AL191" s="4">
        <v>5.0752944000000001E-2</v>
      </c>
      <c r="AM191" s="4" t="s">
        <v>1117</v>
      </c>
      <c r="AN191" s="4" t="s">
        <v>1112</v>
      </c>
      <c r="AO191" s="4" t="s">
        <v>1453</v>
      </c>
    </row>
    <row r="192" spans="37:41" ht="18.75">
      <c r="AK192" s="4">
        <v>0.50113399999999997</v>
      </c>
      <c r="AL192" s="4">
        <v>4.2532944000000003E-2</v>
      </c>
      <c r="AM192" s="4" t="s">
        <v>1117</v>
      </c>
      <c r="AN192" s="4" t="s">
        <v>1112</v>
      </c>
      <c r="AO192" s="4" t="s">
        <v>1453</v>
      </c>
    </row>
    <row r="193" spans="37:41" ht="18.75">
      <c r="AK193" s="4">
        <v>0.50113399999999997</v>
      </c>
      <c r="AL193" s="4">
        <v>3.9414943999999903E-2</v>
      </c>
      <c r="AM193" s="4" t="s">
        <v>1117</v>
      </c>
      <c r="AN193" s="4" t="s">
        <v>1112</v>
      </c>
      <c r="AO193" s="4" t="s">
        <v>1453</v>
      </c>
    </row>
    <row r="194" spans="37:41" ht="18.75">
      <c r="AK194" s="4">
        <v>1.9580500000000001</v>
      </c>
      <c r="AL194" s="4">
        <v>7.6545944000000005E-2</v>
      </c>
      <c r="AM194" s="4" t="s">
        <v>1117</v>
      </c>
      <c r="AN194" s="4" t="s">
        <v>1112</v>
      </c>
      <c r="AO194" s="4" t="s">
        <v>1453</v>
      </c>
    </row>
    <row r="195" spans="37:41" ht="18.75">
      <c r="AK195" s="4">
        <v>1.9580500000000001</v>
      </c>
      <c r="AL195" s="4">
        <v>6.8609944000000006E-2</v>
      </c>
      <c r="AM195" s="4" t="s">
        <v>1117</v>
      </c>
      <c r="AN195" s="4" t="s">
        <v>1112</v>
      </c>
      <c r="AO195" s="4" t="s">
        <v>1453</v>
      </c>
    </row>
    <row r="196" spans="37:41" ht="18.75">
      <c r="AK196" s="4">
        <v>4.8322000000000003</v>
      </c>
      <c r="AL196" s="4">
        <v>0.347804944</v>
      </c>
      <c r="AM196" s="4" t="s">
        <v>1117</v>
      </c>
      <c r="AN196" s="4" t="s">
        <v>1112</v>
      </c>
      <c r="AO196" s="4" t="s">
        <v>1453</v>
      </c>
    </row>
    <row r="197" spans="37:41" ht="18.75">
      <c r="AK197" s="4">
        <v>4.8322000000000003</v>
      </c>
      <c r="AL197" s="4">
        <v>0.33079794400000001</v>
      </c>
      <c r="AM197" s="4" t="s">
        <v>1117</v>
      </c>
      <c r="AN197" s="4" t="s">
        <v>1112</v>
      </c>
      <c r="AO197" s="4" t="s">
        <v>1453</v>
      </c>
    </row>
    <row r="198" spans="37:41" ht="18.75">
      <c r="AK198" s="4">
        <v>8.5850340000000003</v>
      </c>
      <c r="AL198" s="4">
        <v>2.555854944</v>
      </c>
      <c r="AM198" s="4" t="s">
        <v>1117</v>
      </c>
      <c r="AN198" s="4" t="s">
        <v>1112</v>
      </c>
      <c r="AO198" s="4" t="s">
        <v>1453</v>
      </c>
    </row>
    <row r="199" spans="37:41" ht="18.75">
      <c r="AK199" s="4">
        <v>8.5850340000000003</v>
      </c>
      <c r="AL199" s="4">
        <v>2.612543944</v>
      </c>
      <c r="AM199" s="4" t="s">
        <v>1117</v>
      </c>
      <c r="AN199" s="4" t="s">
        <v>1112</v>
      </c>
      <c r="AO199" s="4" t="s">
        <v>1453</v>
      </c>
    </row>
    <row r="200" spans="37:41" ht="18.75">
      <c r="AK200" s="4">
        <v>4.0000000000000001E-3</v>
      </c>
      <c r="AL200" s="4">
        <v>2.2989439999999898E-3</v>
      </c>
      <c r="AM200" s="4" t="s">
        <v>1117</v>
      </c>
      <c r="AN200" s="4" t="s">
        <v>1114</v>
      </c>
      <c r="AO200" s="4" t="s">
        <v>1453</v>
      </c>
    </row>
    <row r="201" spans="37:41" ht="18.75">
      <c r="AK201" s="4">
        <v>0.13425899999999999</v>
      </c>
      <c r="AL201" s="4">
        <v>5.9879943999999997E-2</v>
      </c>
      <c r="AM201" s="4" t="s">
        <v>1117</v>
      </c>
      <c r="AN201" s="4" t="s">
        <v>1114</v>
      </c>
      <c r="AO201" s="4" t="s">
        <v>1453</v>
      </c>
    </row>
    <row r="202" spans="37:41" ht="18.75">
      <c r="AK202" s="4">
        <v>0.13425899999999999</v>
      </c>
      <c r="AL202" s="4">
        <v>5.2645944E-2</v>
      </c>
      <c r="AM202" s="4" t="s">
        <v>1117</v>
      </c>
      <c r="AN202" s="4" t="s">
        <v>1114</v>
      </c>
      <c r="AO202" s="4" t="s">
        <v>1453</v>
      </c>
    </row>
    <row r="203" spans="37:41" ht="18.75">
      <c r="AK203" s="4">
        <v>0.49652800000000002</v>
      </c>
      <c r="AL203" s="4">
        <v>0.61369994400000005</v>
      </c>
      <c r="AM203" s="4" t="s">
        <v>1117</v>
      </c>
      <c r="AN203" s="4" t="s">
        <v>1114</v>
      </c>
      <c r="AO203" s="4" t="s">
        <v>1453</v>
      </c>
    </row>
    <row r="204" spans="37:41" ht="18.75">
      <c r="AK204" s="4">
        <v>0.49652800000000002</v>
      </c>
      <c r="AL204" s="4">
        <v>0.63395394400000005</v>
      </c>
      <c r="AM204" s="4" t="s">
        <v>1117</v>
      </c>
      <c r="AN204" s="4" t="s">
        <v>1114</v>
      </c>
      <c r="AO204" s="4" t="s">
        <v>1453</v>
      </c>
    </row>
    <row r="205" spans="37:41" ht="18.75">
      <c r="AK205" s="4">
        <v>1.630787</v>
      </c>
      <c r="AL205" s="4">
        <v>5.1362689440000002</v>
      </c>
      <c r="AM205" s="4" t="s">
        <v>1117</v>
      </c>
      <c r="AN205" s="4" t="s">
        <v>1114</v>
      </c>
      <c r="AO205" s="4" t="s">
        <v>1453</v>
      </c>
    </row>
    <row r="206" spans="37:41" ht="18.75">
      <c r="AK206" s="4">
        <v>1.630787</v>
      </c>
      <c r="AL206" s="4">
        <v>5.1362689440000002</v>
      </c>
      <c r="AM206" s="4" t="s">
        <v>1117</v>
      </c>
      <c r="AN206" s="4" t="s">
        <v>1114</v>
      </c>
      <c r="AO206" s="4" t="s">
        <v>1453</v>
      </c>
    </row>
    <row r="207" spans="37:41" ht="18.75">
      <c r="AK207" s="4">
        <v>4.6892360000000002</v>
      </c>
      <c r="AL207" s="4">
        <v>13.886269944</v>
      </c>
      <c r="AM207" s="4" t="s">
        <v>1117</v>
      </c>
      <c r="AN207" s="4" t="s">
        <v>1114</v>
      </c>
      <c r="AO207" s="4" t="s">
        <v>1453</v>
      </c>
    </row>
    <row r="208" spans="37:41" ht="18.75">
      <c r="AK208" s="4">
        <v>4.6892360000000002</v>
      </c>
      <c r="AL208" s="4">
        <v>14.812199944</v>
      </c>
      <c r="AM208" s="4" t="s">
        <v>1117</v>
      </c>
      <c r="AN208" s="4" t="s">
        <v>1114</v>
      </c>
      <c r="AO208" s="4" t="s">
        <v>1453</v>
      </c>
    </row>
    <row r="209" spans="37:41" ht="18.75">
      <c r="AK209" s="4">
        <v>8.1556709999999999</v>
      </c>
      <c r="AL209" s="4">
        <v>21.808719944</v>
      </c>
      <c r="AM209" s="4" t="s">
        <v>1117</v>
      </c>
      <c r="AN209" s="4" t="s">
        <v>1114</v>
      </c>
      <c r="AO209" s="4" t="s">
        <v>1453</v>
      </c>
    </row>
    <row r="210" spans="37:41" ht="18.75">
      <c r="AK210" s="4">
        <v>8.1556709999999999</v>
      </c>
      <c r="AL210" s="4">
        <v>21.542519943999999</v>
      </c>
      <c r="AM210" s="4" t="s">
        <v>1117</v>
      </c>
      <c r="AN210" s="4" t="s">
        <v>1114</v>
      </c>
      <c r="AO210" s="4" t="s">
        <v>1453</v>
      </c>
    </row>
    <row r="211" spans="37:41" ht="18.75">
      <c r="AK211" s="4">
        <v>4.0000000000000001E-3</v>
      </c>
      <c r="AL211" s="4">
        <v>-2.2720560000000002E-3</v>
      </c>
      <c r="AM211" s="4" t="s">
        <v>1117</v>
      </c>
      <c r="AN211" s="4" t="s">
        <v>1114</v>
      </c>
      <c r="AO211" s="4" t="s">
        <v>1453</v>
      </c>
    </row>
    <row r="212" spans="37:41" ht="18.75">
      <c r="AK212" s="4">
        <v>0.18490200000000001</v>
      </c>
      <c r="AL212" s="4">
        <v>0.119919944</v>
      </c>
      <c r="AM212" s="4" t="s">
        <v>1117</v>
      </c>
      <c r="AN212" s="4" t="s">
        <v>1114</v>
      </c>
      <c r="AO212" s="4" t="s">
        <v>1453</v>
      </c>
    </row>
    <row r="213" spans="37:41" ht="18.75">
      <c r="AK213" s="4">
        <v>0.18490200000000001</v>
      </c>
      <c r="AL213" s="4">
        <v>0.13431194399999999</v>
      </c>
      <c r="AM213" s="4" t="s">
        <v>1117</v>
      </c>
      <c r="AN213" s="4" t="s">
        <v>1114</v>
      </c>
      <c r="AO213" s="4" t="s">
        <v>1453</v>
      </c>
    </row>
    <row r="214" spans="37:41" ht="18.75">
      <c r="AK214" s="4">
        <v>0.48303699999999999</v>
      </c>
      <c r="AL214" s="4">
        <v>0.66390594400000003</v>
      </c>
      <c r="AM214" s="4" t="s">
        <v>1117</v>
      </c>
      <c r="AN214" s="4" t="s">
        <v>1114</v>
      </c>
      <c r="AO214" s="4" t="s">
        <v>1453</v>
      </c>
    </row>
    <row r="215" spans="37:41" ht="18.75">
      <c r="AK215" s="4">
        <v>1.7534149999999999</v>
      </c>
      <c r="AL215" s="4">
        <v>5.072775944</v>
      </c>
      <c r="AM215" s="4" t="s">
        <v>1117</v>
      </c>
      <c r="AN215" s="4" t="s">
        <v>1114</v>
      </c>
      <c r="AO215" s="4" t="s">
        <v>1453</v>
      </c>
    </row>
    <row r="216" spans="37:41" ht="18.75">
      <c r="AK216" s="4">
        <v>1.7534149999999999</v>
      </c>
      <c r="AL216" s="4">
        <v>5.0257799439999999</v>
      </c>
      <c r="AM216" s="4" t="s">
        <v>1117</v>
      </c>
      <c r="AN216" s="4" t="s">
        <v>1114</v>
      </c>
      <c r="AO216" s="4" t="s">
        <v>1453</v>
      </c>
    </row>
    <row r="217" spans="37:41" ht="18.75">
      <c r="AK217" s="4">
        <v>4.485093</v>
      </c>
      <c r="AL217" s="4">
        <v>12.8184099439999</v>
      </c>
      <c r="AM217" s="4" t="s">
        <v>1117</v>
      </c>
      <c r="AN217" s="4" t="s">
        <v>1114</v>
      </c>
      <c r="AO217" s="4" t="s">
        <v>1453</v>
      </c>
    </row>
    <row r="218" spans="37:41" ht="18.75">
      <c r="AK218" s="4">
        <v>4.485093</v>
      </c>
      <c r="AL218" s="4">
        <v>11.296889944</v>
      </c>
      <c r="AM218" s="4" t="s">
        <v>1117</v>
      </c>
      <c r="AN218" s="4" t="s">
        <v>1114</v>
      </c>
      <c r="AO218" s="4" t="s">
        <v>1453</v>
      </c>
    </row>
    <row r="219" spans="37:41" ht="18.75">
      <c r="AK219" s="4">
        <v>7.7058309999999999</v>
      </c>
      <c r="AL219" s="4">
        <v>19.171759944000001</v>
      </c>
      <c r="AM219" s="4" t="s">
        <v>1117</v>
      </c>
      <c r="AN219" s="4" t="s">
        <v>1114</v>
      </c>
      <c r="AO219" s="4" t="s">
        <v>1453</v>
      </c>
    </row>
    <row r="220" spans="37:41" ht="18.75">
      <c r="AK220" s="4">
        <v>7.7058309999999999</v>
      </c>
      <c r="AL220" s="4">
        <v>18.766419943999999</v>
      </c>
      <c r="AM220" s="4" t="s">
        <v>1117</v>
      </c>
      <c r="AN220" s="4" t="s">
        <v>1114</v>
      </c>
      <c r="AO220" s="4" t="s">
        <v>1453</v>
      </c>
    </row>
    <row r="221" spans="37:41" ht="18.75">
      <c r="AK221" s="4">
        <v>4.0000000000000001E-3</v>
      </c>
      <c r="AL221" s="4">
        <v>1.49659439999999E-2</v>
      </c>
      <c r="AM221" s="4" t="s">
        <v>1117</v>
      </c>
      <c r="AN221" s="4" t="s">
        <v>1114</v>
      </c>
      <c r="AO221" s="4" t="s">
        <v>1453</v>
      </c>
    </row>
    <row r="222" spans="37:41" ht="18.75">
      <c r="AK222" s="4">
        <v>4.0000000000000001E-3</v>
      </c>
      <c r="AL222" s="4">
        <v>1.41149439999999E-2</v>
      </c>
      <c r="AM222" s="4" t="s">
        <v>1117</v>
      </c>
      <c r="AN222" s="4" t="s">
        <v>1114</v>
      </c>
      <c r="AO222" s="4" t="s">
        <v>1453</v>
      </c>
    </row>
    <row r="223" spans="37:41" ht="18.75">
      <c r="AK223" s="4">
        <v>0.14200699999999999</v>
      </c>
      <c r="AL223" s="4">
        <v>9.0078943999999994E-2</v>
      </c>
      <c r="AM223" s="4" t="s">
        <v>1117</v>
      </c>
      <c r="AN223" s="4" t="s">
        <v>1114</v>
      </c>
      <c r="AO223" s="4" t="s">
        <v>1453</v>
      </c>
    </row>
    <row r="224" spans="37:41" ht="18.75">
      <c r="AK224" s="4">
        <v>0.14200699999999999</v>
      </c>
      <c r="AL224" s="4">
        <v>9.2346944E-2</v>
      </c>
      <c r="AM224" s="4" t="s">
        <v>1117</v>
      </c>
      <c r="AN224" s="4" t="s">
        <v>1114</v>
      </c>
      <c r="AO224" s="4" t="s">
        <v>1453</v>
      </c>
    </row>
    <row r="225" spans="37:41" ht="18.75">
      <c r="AK225" s="4">
        <v>0.50113399999999997</v>
      </c>
      <c r="AL225" s="4">
        <v>0.54189294399999999</v>
      </c>
      <c r="AM225" s="4" t="s">
        <v>1117</v>
      </c>
      <c r="AN225" s="4" t="s">
        <v>1114</v>
      </c>
      <c r="AO225" s="4" t="s">
        <v>1453</v>
      </c>
    </row>
    <row r="226" spans="37:41" ht="18.75">
      <c r="AK226" s="4">
        <v>0.50113399999999997</v>
      </c>
      <c r="AL226" s="4">
        <v>0.53905894399999998</v>
      </c>
      <c r="AM226" s="4" t="s">
        <v>1117</v>
      </c>
      <c r="AN226" s="4" t="s">
        <v>1114</v>
      </c>
      <c r="AO226" s="4" t="s">
        <v>1453</v>
      </c>
    </row>
    <row r="227" spans="37:41" ht="18.75">
      <c r="AK227" s="4">
        <v>1.9580500000000001</v>
      </c>
      <c r="AL227" s="4">
        <v>4.7907589440000002</v>
      </c>
      <c r="AM227" s="4" t="s">
        <v>1117</v>
      </c>
      <c r="AN227" s="4" t="s">
        <v>1114</v>
      </c>
      <c r="AO227" s="4" t="s">
        <v>1453</v>
      </c>
    </row>
    <row r="228" spans="37:41" ht="18.75">
      <c r="AK228" s="4">
        <v>1.9580500000000001</v>
      </c>
      <c r="AL228" s="4">
        <v>4.5696709439999896</v>
      </c>
      <c r="AM228" s="4" t="s">
        <v>1117</v>
      </c>
      <c r="AN228" s="4" t="s">
        <v>1114</v>
      </c>
      <c r="AO228" s="4" t="s">
        <v>1453</v>
      </c>
    </row>
    <row r="229" spans="37:41" ht="18.75">
      <c r="AK229" s="4">
        <v>4.8322000000000003</v>
      </c>
      <c r="AL229" s="4">
        <v>12.256749943999999</v>
      </c>
      <c r="AM229" s="4" t="s">
        <v>1117</v>
      </c>
      <c r="AN229" s="4" t="s">
        <v>1114</v>
      </c>
      <c r="AO229" s="4" t="s">
        <v>1453</v>
      </c>
    </row>
    <row r="230" spans="37:41" ht="18.75">
      <c r="AK230" s="4">
        <v>4.8322000000000003</v>
      </c>
      <c r="AL230" s="4">
        <v>11.525449944</v>
      </c>
      <c r="AM230" s="4" t="s">
        <v>1117</v>
      </c>
      <c r="AN230" s="4" t="s">
        <v>1114</v>
      </c>
      <c r="AO230" s="4" t="s">
        <v>1453</v>
      </c>
    </row>
    <row r="231" spans="37:41" ht="18.75">
      <c r="AK231" s="4">
        <v>8.5850340000000003</v>
      </c>
      <c r="AL231" s="4">
        <v>20.726129944</v>
      </c>
      <c r="AM231" s="4" t="s">
        <v>1117</v>
      </c>
      <c r="AN231" s="4" t="s">
        <v>1114</v>
      </c>
      <c r="AO231" s="4" t="s">
        <v>1453</v>
      </c>
    </row>
    <row r="232" spans="37:41" ht="18.75">
      <c r="AK232" s="4">
        <v>8.5850340000000003</v>
      </c>
      <c r="AL232" s="4">
        <v>20.853679944</v>
      </c>
      <c r="AM232" s="4" t="s">
        <v>1117</v>
      </c>
      <c r="AN232" s="4" t="s">
        <v>1114</v>
      </c>
      <c r="AO232" s="4" t="s">
        <v>1453</v>
      </c>
    </row>
    <row r="233" spans="37:41" ht="18.75">
      <c r="AK233" s="4">
        <v>0</v>
      </c>
      <c r="AL233" s="4">
        <v>3.0827027999999899E-2</v>
      </c>
      <c r="AM233" s="4" t="s">
        <v>1118</v>
      </c>
      <c r="AN233" s="4" t="s">
        <v>1112</v>
      </c>
      <c r="AO233" s="4" t="s">
        <v>1454</v>
      </c>
    </row>
    <row r="234" spans="37:41" ht="18.75">
      <c r="AK234" s="4">
        <v>0</v>
      </c>
      <c r="AL234" s="4">
        <v>2.38830279999999E-2</v>
      </c>
      <c r="AM234" s="4" t="s">
        <v>1118</v>
      </c>
      <c r="AN234" s="4" t="s">
        <v>1112</v>
      </c>
      <c r="AO234" s="4" t="s">
        <v>1454</v>
      </c>
    </row>
    <row r="235" spans="37:41" ht="18.75">
      <c r="AK235" s="4">
        <v>0.13425899999999999</v>
      </c>
      <c r="AL235" s="4">
        <v>2.3304028000000001E-2</v>
      </c>
      <c r="AM235" s="4" t="s">
        <v>1118</v>
      </c>
      <c r="AN235" s="4" t="s">
        <v>1112</v>
      </c>
      <c r="AO235" s="4" t="s">
        <v>1454</v>
      </c>
    </row>
    <row r="236" spans="37:41" ht="18.75">
      <c r="AK236" s="4">
        <v>0.49652800000000002</v>
      </c>
      <c r="AL236" s="4">
        <v>2.76440279999999E-2</v>
      </c>
      <c r="AM236" s="4" t="s">
        <v>1118</v>
      </c>
      <c r="AN236" s="4" t="s">
        <v>1112</v>
      </c>
      <c r="AO236" s="4" t="s">
        <v>1454</v>
      </c>
    </row>
    <row r="237" spans="37:41" ht="18.75">
      <c r="AK237" s="4">
        <v>0.49652800000000002</v>
      </c>
      <c r="AL237" s="4">
        <v>2.2725027999999901E-2</v>
      </c>
      <c r="AM237" s="4" t="s">
        <v>1118</v>
      </c>
      <c r="AN237" s="4" t="s">
        <v>1112</v>
      </c>
      <c r="AO237" s="4" t="s">
        <v>1454</v>
      </c>
    </row>
    <row r="238" spans="37:41" ht="18.75">
      <c r="AK238" s="4">
        <v>1.630787</v>
      </c>
      <c r="AL238" s="4">
        <v>4.0954028000000003E-2</v>
      </c>
      <c r="AM238" s="4" t="s">
        <v>1118</v>
      </c>
      <c r="AN238" s="4" t="s">
        <v>1112</v>
      </c>
      <c r="AO238" s="4" t="s">
        <v>1454</v>
      </c>
    </row>
    <row r="239" spans="37:41" ht="18.75">
      <c r="AK239" s="4">
        <v>1.630787</v>
      </c>
      <c r="AL239" s="4">
        <v>5.0503027999999901E-2</v>
      </c>
      <c r="AM239" s="4" t="s">
        <v>1118</v>
      </c>
      <c r="AN239" s="4" t="s">
        <v>1112</v>
      </c>
      <c r="AO239" s="4" t="s">
        <v>1454</v>
      </c>
    </row>
    <row r="240" spans="37:41" ht="18.75">
      <c r="AK240" s="4">
        <v>4.6892360000000002</v>
      </c>
      <c r="AL240" s="4">
        <v>0.18186902799999999</v>
      </c>
      <c r="AM240" s="4" t="s">
        <v>1118</v>
      </c>
      <c r="AN240" s="4" t="s">
        <v>1112</v>
      </c>
      <c r="AO240" s="4" t="s">
        <v>1454</v>
      </c>
    </row>
    <row r="241" spans="37:41" ht="18.75">
      <c r="AK241" s="4">
        <v>4.6892360000000002</v>
      </c>
      <c r="AL241" s="4">
        <v>0.196336028</v>
      </c>
      <c r="AM241" s="4" t="s">
        <v>1118</v>
      </c>
      <c r="AN241" s="4" t="s">
        <v>1112</v>
      </c>
      <c r="AO241" s="4" t="s">
        <v>1454</v>
      </c>
    </row>
    <row r="242" spans="37:41" ht="18.75">
      <c r="AK242" s="4">
        <v>8.1556709999999999</v>
      </c>
      <c r="AL242" s="4">
        <v>0.78082702800000003</v>
      </c>
      <c r="AM242" s="4" t="s">
        <v>1118</v>
      </c>
      <c r="AN242" s="4" t="s">
        <v>1112</v>
      </c>
      <c r="AO242" s="4" t="s">
        <v>1454</v>
      </c>
    </row>
    <row r="243" spans="37:41" ht="18.75">
      <c r="AK243" s="4">
        <v>8.1556709999999999</v>
      </c>
      <c r="AL243" s="4">
        <v>0.83291002800000002</v>
      </c>
      <c r="AM243" s="4" t="s">
        <v>1118</v>
      </c>
      <c r="AN243" s="4" t="s">
        <v>1112</v>
      </c>
      <c r="AO243" s="4" t="s">
        <v>1454</v>
      </c>
    </row>
    <row r="244" spans="37:41" ht="18.75">
      <c r="AK244" s="4">
        <v>0</v>
      </c>
      <c r="AL244" s="4">
        <v>2.6217028E-2</v>
      </c>
      <c r="AM244" s="4" t="s">
        <v>1118</v>
      </c>
      <c r="AN244" s="4" t="s">
        <v>1112</v>
      </c>
      <c r="AO244" s="4" t="s">
        <v>1454</v>
      </c>
    </row>
    <row r="245" spans="37:41" ht="18.75">
      <c r="AK245" s="4">
        <v>0.18490200000000001</v>
      </c>
      <c r="AL245" s="4">
        <v>2.15170279999999E-2</v>
      </c>
      <c r="AM245" s="4" t="s">
        <v>1118</v>
      </c>
      <c r="AN245" s="4" t="s">
        <v>1112</v>
      </c>
      <c r="AO245" s="4" t="s">
        <v>1454</v>
      </c>
    </row>
    <row r="246" spans="37:41" ht="18.75">
      <c r="AK246" s="4">
        <v>0.18490200000000001</v>
      </c>
      <c r="AL246" s="4">
        <v>2.5336028E-2</v>
      </c>
      <c r="AM246" s="4" t="s">
        <v>1118</v>
      </c>
      <c r="AN246" s="4" t="s">
        <v>1112</v>
      </c>
      <c r="AO246" s="4" t="s">
        <v>1454</v>
      </c>
    </row>
    <row r="247" spans="37:41" ht="18.75">
      <c r="AK247" s="4">
        <v>0.48303699999999999</v>
      </c>
      <c r="AL247" s="4">
        <v>2.7392027999999999E-2</v>
      </c>
      <c r="AM247" s="4" t="s">
        <v>1118</v>
      </c>
      <c r="AN247" s="4" t="s">
        <v>1112</v>
      </c>
      <c r="AO247" s="4" t="s">
        <v>1454</v>
      </c>
    </row>
    <row r="248" spans="37:41" ht="18.75">
      <c r="AK248" s="4">
        <v>4.485093</v>
      </c>
      <c r="AL248" s="4">
        <v>0.13195902800000001</v>
      </c>
      <c r="AM248" s="4" t="s">
        <v>1118</v>
      </c>
      <c r="AN248" s="4" t="s">
        <v>1112</v>
      </c>
      <c r="AO248" s="4" t="s">
        <v>1454</v>
      </c>
    </row>
    <row r="249" spans="37:41" ht="18.75">
      <c r="AK249" s="4">
        <v>4.485093</v>
      </c>
      <c r="AL249" s="4">
        <v>0.210385028</v>
      </c>
      <c r="AM249" s="4" t="s">
        <v>1118</v>
      </c>
      <c r="AN249" s="4" t="s">
        <v>1112</v>
      </c>
      <c r="AO249" s="4" t="s">
        <v>1454</v>
      </c>
    </row>
    <row r="250" spans="37:41" ht="18.75">
      <c r="AK250" s="4">
        <v>7.7058309999999999</v>
      </c>
      <c r="AL250" s="4">
        <v>0.82134102799999997</v>
      </c>
      <c r="AM250" s="4" t="s">
        <v>1118</v>
      </c>
      <c r="AN250" s="4" t="s">
        <v>1112</v>
      </c>
      <c r="AO250" s="4" t="s">
        <v>1454</v>
      </c>
    </row>
    <row r="251" spans="37:41" ht="18.75">
      <c r="AK251" s="4">
        <v>7.7058309999999999</v>
      </c>
      <c r="AL251" s="4">
        <v>0.82427802800000005</v>
      </c>
      <c r="AM251" s="4" t="s">
        <v>1118</v>
      </c>
      <c r="AN251" s="4" t="s">
        <v>1112</v>
      </c>
      <c r="AO251" s="4" t="s">
        <v>1454</v>
      </c>
    </row>
    <row r="252" spans="37:41" ht="18.75">
      <c r="AK252" s="4">
        <v>0</v>
      </c>
      <c r="AL252" s="4">
        <v>3.4193028E-2</v>
      </c>
      <c r="AM252" s="4" t="s">
        <v>1118</v>
      </c>
      <c r="AN252" s="4" t="s">
        <v>1112</v>
      </c>
      <c r="AO252" s="4" t="s">
        <v>1454</v>
      </c>
    </row>
    <row r="253" spans="37:41" ht="18.75">
      <c r="AK253" s="4">
        <v>0</v>
      </c>
      <c r="AL253" s="4">
        <v>2.45560279999999E-2</v>
      </c>
      <c r="AM253" s="4" t="s">
        <v>1118</v>
      </c>
      <c r="AN253" s="4" t="s">
        <v>1112</v>
      </c>
      <c r="AO253" s="4" t="s">
        <v>1454</v>
      </c>
    </row>
    <row r="254" spans="37:41" ht="18.75">
      <c r="AK254" s="4">
        <v>0.14200699999999999</v>
      </c>
      <c r="AL254" s="4">
        <v>3.9295027999999899E-2</v>
      </c>
      <c r="AM254" s="4" t="s">
        <v>1118</v>
      </c>
      <c r="AN254" s="4" t="s">
        <v>1112</v>
      </c>
      <c r="AO254" s="4" t="s">
        <v>1454</v>
      </c>
    </row>
    <row r="255" spans="37:41" ht="18.75">
      <c r="AK255" s="4">
        <v>0.14200699999999999</v>
      </c>
      <c r="AL255" s="4">
        <v>1.5769028000000001E-2</v>
      </c>
      <c r="AM255" s="4" t="s">
        <v>1118</v>
      </c>
      <c r="AN255" s="4" t="s">
        <v>1112</v>
      </c>
      <c r="AO255" s="4" t="s">
        <v>1454</v>
      </c>
    </row>
    <row r="256" spans="37:41" ht="18.75">
      <c r="AK256" s="4">
        <v>0.50113399999999997</v>
      </c>
      <c r="AL256" s="4">
        <v>3.4193028E-2</v>
      </c>
      <c r="AM256" s="4" t="s">
        <v>1118</v>
      </c>
      <c r="AN256" s="4" t="s">
        <v>1112</v>
      </c>
      <c r="AO256" s="4" t="s">
        <v>1454</v>
      </c>
    </row>
    <row r="257" spans="37:41" ht="18.75">
      <c r="AK257" s="4">
        <v>0.50113399999999997</v>
      </c>
      <c r="AL257" s="4">
        <v>3.1925027999999897E-2</v>
      </c>
      <c r="AM257" s="4" t="s">
        <v>1118</v>
      </c>
      <c r="AN257" s="4" t="s">
        <v>1112</v>
      </c>
      <c r="AO257" s="4" t="s">
        <v>1454</v>
      </c>
    </row>
    <row r="258" spans="37:41" ht="18.75">
      <c r="AK258" s="4">
        <v>1.9580500000000001</v>
      </c>
      <c r="AL258" s="4">
        <v>2.1154027999999998E-2</v>
      </c>
      <c r="AM258" s="4" t="s">
        <v>1118</v>
      </c>
      <c r="AN258" s="4" t="s">
        <v>1112</v>
      </c>
      <c r="AO258" s="4" t="s">
        <v>1454</v>
      </c>
    </row>
    <row r="259" spans="37:41" ht="18.75">
      <c r="AK259" s="4">
        <v>4.8322000000000003</v>
      </c>
      <c r="AL259" s="4">
        <v>0.13963502799999999</v>
      </c>
      <c r="AM259" s="4" t="s">
        <v>1118</v>
      </c>
      <c r="AN259" s="4" t="s">
        <v>1112</v>
      </c>
      <c r="AO259" s="4" t="s">
        <v>1454</v>
      </c>
    </row>
    <row r="260" spans="37:41" ht="18.75">
      <c r="AK260" s="4">
        <v>4.8322000000000003</v>
      </c>
      <c r="AL260" s="4">
        <v>0.15494102800000001</v>
      </c>
      <c r="AM260" s="4" t="s">
        <v>1118</v>
      </c>
      <c r="AN260" s="4" t="s">
        <v>1112</v>
      </c>
      <c r="AO260" s="4" t="s">
        <v>1454</v>
      </c>
    </row>
    <row r="261" spans="37:41" ht="18.75">
      <c r="AK261" s="4">
        <v>8.5850340000000003</v>
      </c>
      <c r="AL261" s="4">
        <v>0.75443102799999995</v>
      </c>
      <c r="AM261" s="4" t="s">
        <v>1118</v>
      </c>
      <c r="AN261" s="4" t="s">
        <v>1112</v>
      </c>
      <c r="AO261" s="4" t="s">
        <v>1454</v>
      </c>
    </row>
    <row r="262" spans="37:41" ht="18.75">
      <c r="AK262" s="4">
        <v>8.5850340000000003</v>
      </c>
      <c r="AL262" s="4">
        <v>0.836631028</v>
      </c>
      <c r="AM262" s="4" t="s">
        <v>1118</v>
      </c>
      <c r="AN262" s="4" t="s">
        <v>1112</v>
      </c>
      <c r="AO262" s="4" t="s">
        <v>1454</v>
      </c>
    </row>
    <row r="263" spans="37:41" ht="18.75">
      <c r="AK263" s="4">
        <v>4.0000000000000001E-3</v>
      </c>
      <c r="AL263" s="4">
        <v>6.7210280000000004E-3</v>
      </c>
      <c r="AM263" s="4" t="s">
        <v>1118</v>
      </c>
      <c r="AN263" s="4" t="s">
        <v>1114</v>
      </c>
      <c r="AO263" s="4" t="s">
        <v>1454</v>
      </c>
    </row>
    <row r="264" spans="37:41" ht="18.75">
      <c r="AK264" s="4">
        <v>0.13425899999999999</v>
      </c>
      <c r="AL264" s="4">
        <v>9.0922028000000002E-2</v>
      </c>
      <c r="AM264" s="4" t="s">
        <v>1118</v>
      </c>
      <c r="AN264" s="4" t="s">
        <v>1114</v>
      </c>
      <c r="AO264" s="4" t="s">
        <v>1454</v>
      </c>
    </row>
    <row r="265" spans="37:41" ht="18.75">
      <c r="AK265" s="4">
        <v>0.13425899999999999</v>
      </c>
      <c r="AL265" s="4">
        <v>0.103075028</v>
      </c>
      <c r="AM265" s="4" t="s">
        <v>1118</v>
      </c>
      <c r="AN265" s="4" t="s">
        <v>1114</v>
      </c>
      <c r="AO265" s="4" t="s">
        <v>1454</v>
      </c>
    </row>
    <row r="266" spans="37:41" ht="18.75">
      <c r="AK266" s="4">
        <v>0.49652800000000002</v>
      </c>
      <c r="AL266" s="4">
        <v>2.680910028</v>
      </c>
      <c r="AM266" s="4" t="s">
        <v>1118</v>
      </c>
      <c r="AN266" s="4" t="s">
        <v>1114</v>
      </c>
      <c r="AO266" s="4" t="s">
        <v>1454</v>
      </c>
    </row>
    <row r="267" spans="37:41" ht="18.75">
      <c r="AK267" s="4">
        <v>0.49652800000000002</v>
      </c>
      <c r="AL267" s="4">
        <v>2.379984028</v>
      </c>
      <c r="AM267" s="4" t="s">
        <v>1118</v>
      </c>
      <c r="AN267" s="4" t="s">
        <v>1114</v>
      </c>
      <c r="AO267" s="4" t="s">
        <v>1454</v>
      </c>
    </row>
    <row r="268" spans="37:41" ht="18.75">
      <c r="AK268" s="4">
        <v>4.6892360000000002</v>
      </c>
      <c r="AL268" s="4">
        <v>22.978942027999999</v>
      </c>
      <c r="AM268" s="4" t="s">
        <v>1118</v>
      </c>
      <c r="AN268" s="4" t="s">
        <v>1114</v>
      </c>
      <c r="AO268" s="4" t="s">
        <v>1454</v>
      </c>
    </row>
    <row r="269" spans="37:41" ht="18.75">
      <c r="AK269" s="4">
        <v>4.6892360000000002</v>
      </c>
      <c r="AL269" s="4">
        <v>23.548962027999998</v>
      </c>
      <c r="AM269" s="4" t="s">
        <v>1118</v>
      </c>
      <c r="AN269" s="4" t="s">
        <v>1114</v>
      </c>
      <c r="AO269" s="4" t="s">
        <v>1454</v>
      </c>
    </row>
    <row r="270" spans="37:41" ht="18.75">
      <c r="AK270" s="4">
        <v>8.1556709999999999</v>
      </c>
      <c r="AL270" s="4">
        <v>29.720842028</v>
      </c>
      <c r="AM270" s="4" t="s">
        <v>1118</v>
      </c>
      <c r="AN270" s="4" t="s">
        <v>1114</v>
      </c>
      <c r="AO270" s="4" t="s">
        <v>1454</v>
      </c>
    </row>
    <row r="271" spans="37:41" ht="18.75">
      <c r="AK271" s="4">
        <v>8.1556709999999999</v>
      </c>
      <c r="AL271" s="4">
        <v>29.903132027999899</v>
      </c>
      <c r="AM271" s="4" t="s">
        <v>1118</v>
      </c>
      <c r="AN271" s="4" t="s">
        <v>1114</v>
      </c>
      <c r="AO271" s="4" t="s">
        <v>1454</v>
      </c>
    </row>
    <row r="272" spans="37:41" ht="18.75">
      <c r="AK272" s="4">
        <v>4.0000000000000001E-3</v>
      </c>
      <c r="AL272" s="4">
        <v>-4.0139720000000002E-3</v>
      </c>
      <c r="AM272" s="4" t="s">
        <v>1118</v>
      </c>
      <c r="AN272" s="4" t="s">
        <v>1114</v>
      </c>
      <c r="AO272" s="4" t="s">
        <v>1454</v>
      </c>
    </row>
    <row r="273" spans="37:41" ht="18.75">
      <c r="AK273" s="4">
        <v>4.0000000000000001E-3</v>
      </c>
      <c r="AL273" s="4">
        <v>-3.13297199999999E-3</v>
      </c>
      <c r="AM273" s="4" t="s">
        <v>1118</v>
      </c>
      <c r="AN273" s="4" t="s">
        <v>1114</v>
      </c>
      <c r="AO273" s="4" t="s">
        <v>1454</v>
      </c>
    </row>
    <row r="274" spans="37:41" ht="18.75">
      <c r="AK274" s="4">
        <v>0.18490200000000001</v>
      </c>
      <c r="AL274" s="4">
        <v>0.17457302799999999</v>
      </c>
      <c r="AM274" s="4" t="s">
        <v>1118</v>
      </c>
      <c r="AN274" s="4" t="s">
        <v>1114</v>
      </c>
      <c r="AO274" s="4" t="s">
        <v>1454</v>
      </c>
    </row>
    <row r="275" spans="37:41" ht="18.75">
      <c r="AK275" s="4">
        <v>0.18490200000000001</v>
      </c>
      <c r="AL275" s="4">
        <v>0.114065028</v>
      </c>
      <c r="AM275" s="4" t="s">
        <v>1118</v>
      </c>
      <c r="AN275" s="4" t="s">
        <v>1114</v>
      </c>
      <c r="AO275" s="4" t="s">
        <v>1454</v>
      </c>
    </row>
    <row r="276" spans="37:41" ht="18.75">
      <c r="AK276" s="4">
        <v>0.48303699999999999</v>
      </c>
      <c r="AL276" s="4">
        <v>2.9326870279999899</v>
      </c>
      <c r="AM276" s="4" t="s">
        <v>1118</v>
      </c>
      <c r="AN276" s="4" t="s">
        <v>1114</v>
      </c>
      <c r="AO276" s="4" t="s">
        <v>1454</v>
      </c>
    </row>
    <row r="277" spans="37:41" ht="18.75">
      <c r="AK277" s="4">
        <v>0.48303699999999999</v>
      </c>
      <c r="AL277" s="4">
        <v>2.351104028</v>
      </c>
      <c r="AM277" s="4" t="s">
        <v>1118</v>
      </c>
      <c r="AN277" s="4" t="s">
        <v>1114</v>
      </c>
      <c r="AO277" s="4" t="s">
        <v>1454</v>
      </c>
    </row>
    <row r="278" spans="37:41" ht="18.75">
      <c r="AK278" s="4">
        <v>1.7534149999999999</v>
      </c>
      <c r="AL278" s="4">
        <v>12.942972028</v>
      </c>
      <c r="AM278" s="4" t="s">
        <v>1118</v>
      </c>
      <c r="AN278" s="4" t="s">
        <v>1114</v>
      </c>
      <c r="AO278" s="4" t="s">
        <v>1454</v>
      </c>
    </row>
    <row r="279" spans="37:41" ht="18.75">
      <c r="AK279" s="4">
        <v>1.7534149999999999</v>
      </c>
      <c r="AL279" s="4">
        <v>14.816962028000001</v>
      </c>
      <c r="AM279" s="4" t="s">
        <v>1118</v>
      </c>
      <c r="AN279" s="4" t="s">
        <v>1114</v>
      </c>
      <c r="AO279" s="4" t="s">
        <v>1454</v>
      </c>
    </row>
    <row r="280" spans="37:41" ht="18.75">
      <c r="AK280" s="4">
        <v>4.485093</v>
      </c>
      <c r="AL280" s="4">
        <v>22.909192028</v>
      </c>
      <c r="AM280" s="4" t="s">
        <v>1118</v>
      </c>
      <c r="AN280" s="4" t="s">
        <v>1114</v>
      </c>
      <c r="AO280" s="4" t="s">
        <v>1454</v>
      </c>
    </row>
    <row r="281" spans="37:41" ht="18.75">
      <c r="AK281" s="4">
        <v>4.485093</v>
      </c>
      <c r="AL281" s="4">
        <v>23.191172028</v>
      </c>
      <c r="AM281" s="4" t="s">
        <v>1118</v>
      </c>
      <c r="AN281" s="4" t="s">
        <v>1114</v>
      </c>
      <c r="AO281" s="4" t="s">
        <v>1454</v>
      </c>
    </row>
    <row r="282" spans="37:41" ht="18.75">
      <c r="AK282" s="4">
        <v>7.7058309999999999</v>
      </c>
      <c r="AL282" s="4">
        <v>28.125812027999999</v>
      </c>
      <c r="AM282" s="4" t="s">
        <v>1118</v>
      </c>
      <c r="AN282" s="4" t="s">
        <v>1114</v>
      </c>
      <c r="AO282" s="4" t="s">
        <v>1454</v>
      </c>
    </row>
    <row r="283" spans="37:41" ht="18.75">
      <c r="AK283" s="4">
        <v>7.7058309999999999</v>
      </c>
      <c r="AL283" s="4">
        <v>26.945022028</v>
      </c>
      <c r="AM283" s="4" t="s">
        <v>1118</v>
      </c>
      <c r="AN283" s="4" t="s">
        <v>1114</v>
      </c>
      <c r="AO283" s="4" t="s">
        <v>1454</v>
      </c>
    </row>
    <row r="284" spans="37:41" ht="18.75">
      <c r="AK284" s="4">
        <v>4.0000000000000001E-3</v>
      </c>
      <c r="AL284" s="4">
        <v>-1.7697200000000001E-4</v>
      </c>
      <c r="AM284" s="4" t="s">
        <v>1118</v>
      </c>
      <c r="AN284" s="4" t="s">
        <v>1114</v>
      </c>
      <c r="AO284" s="4" t="s">
        <v>1454</v>
      </c>
    </row>
    <row r="285" spans="37:41" ht="18.75">
      <c r="AK285" s="4">
        <v>4.0000000000000001E-3</v>
      </c>
      <c r="AL285" s="4">
        <v>-4.711972E-3</v>
      </c>
      <c r="AM285" s="4" t="s">
        <v>1118</v>
      </c>
      <c r="AN285" s="4" t="s">
        <v>1114</v>
      </c>
      <c r="AO285" s="4" t="s">
        <v>1454</v>
      </c>
    </row>
    <row r="286" spans="37:41" ht="18.75">
      <c r="AK286" s="4">
        <v>0.14200699999999999</v>
      </c>
      <c r="AL286" s="4">
        <v>8.3157027999999994E-2</v>
      </c>
      <c r="AM286" s="4" t="s">
        <v>1118</v>
      </c>
      <c r="AN286" s="4" t="s">
        <v>1114</v>
      </c>
      <c r="AO286" s="4" t="s">
        <v>1454</v>
      </c>
    </row>
    <row r="287" spans="37:41" ht="18.75">
      <c r="AK287" s="4">
        <v>0.14200699999999999</v>
      </c>
      <c r="AL287" s="4">
        <v>9.1660027999999893E-2</v>
      </c>
      <c r="AM287" s="4" t="s">
        <v>1118</v>
      </c>
      <c r="AN287" s="4" t="s">
        <v>1114</v>
      </c>
      <c r="AO287" s="4" t="s">
        <v>1454</v>
      </c>
    </row>
    <row r="288" spans="37:41" ht="18.75">
      <c r="AK288" s="4">
        <v>0.50113399999999997</v>
      </c>
      <c r="AL288" s="4">
        <v>3.55622902799999</v>
      </c>
      <c r="AM288" s="4" t="s">
        <v>1118</v>
      </c>
      <c r="AN288" s="4" t="s">
        <v>1114</v>
      </c>
      <c r="AO288" s="4" t="s">
        <v>1454</v>
      </c>
    </row>
    <row r="289" spans="37:41" ht="18.75">
      <c r="AK289" s="4">
        <v>0.50113399999999997</v>
      </c>
      <c r="AL289" s="4">
        <v>3.1650730279999899</v>
      </c>
      <c r="AM289" s="4" t="s">
        <v>1118</v>
      </c>
      <c r="AN289" s="4" t="s">
        <v>1114</v>
      </c>
      <c r="AO289" s="4" t="s">
        <v>1454</v>
      </c>
    </row>
    <row r="290" spans="37:41" ht="18.75">
      <c r="AK290" s="4">
        <v>1.9580500000000001</v>
      </c>
      <c r="AL290" s="4">
        <v>10.512012027999999</v>
      </c>
      <c r="AM290" s="4" t="s">
        <v>1118</v>
      </c>
      <c r="AN290" s="4" t="s">
        <v>1114</v>
      </c>
      <c r="AO290" s="4" t="s">
        <v>1454</v>
      </c>
    </row>
    <row r="291" spans="37:41" ht="18.75">
      <c r="AK291" s="4">
        <v>1.9580500000000001</v>
      </c>
      <c r="AL291" s="4">
        <v>12.147502028</v>
      </c>
      <c r="AM291" s="4" t="s">
        <v>1118</v>
      </c>
      <c r="AN291" s="4" t="s">
        <v>1114</v>
      </c>
      <c r="AO291" s="4" t="s">
        <v>1454</v>
      </c>
    </row>
    <row r="292" spans="37:41" ht="18.75">
      <c r="AK292" s="4">
        <v>4.8322000000000003</v>
      </c>
      <c r="AL292" s="4">
        <v>7.9581570279999996</v>
      </c>
      <c r="AM292" s="4" t="s">
        <v>1118</v>
      </c>
      <c r="AN292" s="4" t="s">
        <v>1114</v>
      </c>
      <c r="AO292" s="4" t="s">
        <v>1454</v>
      </c>
    </row>
    <row r="293" spans="37:41" ht="18.75">
      <c r="AK293" s="4">
        <v>4.8322000000000003</v>
      </c>
      <c r="AL293" s="4">
        <v>6.4870680279999897</v>
      </c>
      <c r="AM293" s="4" t="s">
        <v>1118</v>
      </c>
      <c r="AN293" s="4" t="s">
        <v>1114</v>
      </c>
      <c r="AO293" s="4" t="s">
        <v>1454</v>
      </c>
    </row>
    <row r="294" spans="37:41" ht="18.75">
      <c r="AK294" s="4">
        <v>8.5850340000000003</v>
      </c>
      <c r="AL294" s="4">
        <v>33.417342028</v>
      </c>
      <c r="AM294" s="4" t="s">
        <v>1118</v>
      </c>
      <c r="AN294" s="4" t="s">
        <v>1114</v>
      </c>
      <c r="AO294" s="4" t="s">
        <v>1454</v>
      </c>
    </row>
    <row r="295" spans="37:41" ht="18.75">
      <c r="AK295" s="4">
        <v>8.5850340000000003</v>
      </c>
      <c r="AL295" s="4">
        <v>33.519382028000003</v>
      </c>
      <c r="AM295" s="4" t="s">
        <v>1118</v>
      </c>
      <c r="AN295" s="4" t="s">
        <v>1114</v>
      </c>
      <c r="AO295" s="4" t="s">
        <v>1454</v>
      </c>
    </row>
    <row r="296" spans="37:41" ht="18.75">
      <c r="AK296" s="4">
        <v>0.13425899999999999</v>
      </c>
      <c r="AL296" s="4">
        <v>2.2383104000000001E-2</v>
      </c>
      <c r="AM296" s="4" t="s">
        <v>1119</v>
      </c>
      <c r="AN296" s="4" t="s">
        <v>1112</v>
      </c>
      <c r="AO296" s="4" t="s">
        <v>1385</v>
      </c>
    </row>
    <row r="297" spans="37:41" ht="18.75">
      <c r="AK297" s="4">
        <v>0.49652800000000002</v>
      </c>
      <c r="AL297" s="4">
        <v>2.6724103999999999E-2</v>
      </c>
      <c r="AM297" s="4" t="s">
        <v>1119</v>
      </c>
      <c r="AN297" s="4" t="s">
        <v>1112</v>
      </c>
      <c r="AO297" s="4" t="s">
        <v>1385</v>
      </c>
    </row>
    <row r="298" spans="37:41" ht="18.75">
      <c r="AK298" s="4">
        <v>0.49652800000000002</v>
      </c>
      <c r="AL298" s="4">
        <v>3.0196104000000001E-2</v>
      </c>
      <c r="AM298" s="4" t="s">
        <v>1119</v>
      </c>
      <c r="AN298" s="4" t="s">
        <v>1112</v>
      </c>
      <c r="AO298" s="4" t="s">
        <v>1385</v>
      </c>
    </row>
    <row r="299" spans="37:41" ht="18.75">
      <c r="AK299" s="4">
        <v>1.630787</v>
      </c>
      <c r="AL299" s="4">
        <v>0.14333210399999999</v>
      </c>
      <c r="AM299" s="4" t="s">
        <v>1119</v>
      </c>
      <c r="AN299" s="4" t="s">
        <v>1112</v>
      </c>
      <c r="AO299" s="4" t="s">
        <v>1385</v>
      </c>
    </row>
    <row r="300" spans="37:41" ht="18.75">
      <c r="AK300" s="4">
        <v>1.6307879999999999</v>
      </c>
      <c r="AL300" s="4">
        <v>0.164744104</v>
      </c>
      <c r="AM300" s="4" t="s">
        <v>1119</v>
      </c>
      <c r="AN300" s="4" t="s">
        <v>1112</v>
      </c>
      <c r="AO300" s="4" t="s">
        <v>1385</v>
      </c>
    </row>
    <row r="301" spans="37:41" ht="18.75">
      <c r="AK301" s="4">
        <v>4.6892360000000002</v>
      </c>
      <c r="AL301" s="4">
        <v>1.9960521039999899</v>
      </c>
      <c r="AM301" s="4" t="s">
        <v>1119</v>
      </c>
      <c r="AN301" s="4" t="s">
        <v>1112</v>
      </c>
      <c r="AO301" s="4" t="s">
        <v>1385</v>
      </c>
    </row>
    <row r="302" spans="37:41" ht="18.75">
      <c r="AK302" s="4">
        <v>4.6892360000000002</v>
      </c>
      <c r="AL302" s="4">
        <v>1.9757981039999899</v>
      </c>
      <c r="AM302" s="4" t="s">
        <v>1119</v>
      </c>
      <c r="AN302" s="4" t="s">
        <v>1112</v>
      </c>
      <c r="AO302" s="4" t="s">
        <v>1385</v>
      </c>
    </row>
    <row r="303" spans="37:41" ht="18.75">
      <c r="AK303" s="4">
        <v>8.1556709999999999</v>
      </c>
      <c r="AL303" s="4">
        <v>9.0215151039999899</v>
      </c>
      <c r="AM303" s="4" t="s">
        <v>1119</v>
      </c>
      <c r="AN303" s="4" t="s">
        <v>1112</v>
      </c>
      <c r="AO303" s="4" t="s">
        <v>1385</v>
      </c>
    </row>
    <row r="304" spans="37:41" ht="18.75">
      <c r="AK304" s="4">
        <v>8.1556709999999999</v>
      </c>
      <c r="AL304" s="4">
        <v>8.1997561039999898</v>
      </c>
      <c r="AM304" s="4" t="s">
        <v>1119</v>
      </c>
      <c r="AN304" s="4" t="s">
        <v>1112</v>
      </c>
      <c r="AO304" s="4" t="s">
        <v>1385</v>
      </c>
    </row>
    <row r="305" spans="37:41" ht="18.75">
      <c r="AK305" s="4">
        <v>0.18490200000000001</v>
      </c>
      <c r="AL305" s="4">
        <v>2.2890104000000001E-2</v>
      </c>
      <c r="AM305" s="4" t="s">
        <v>1119</v>
      </c>
      <c r="AN305" s="4" t="s">
        <v>1112</v>
      </c>
      <c r="AO305" s="4" t="s">
        <v>1385</v>
      </c>
    </row>
    <row r="306" spans="37:41" ht="18.75">
      <c r="AK306" s="4">
        <v>0.18490200000000001</v>
      </c>
      <c r="AL306" s="4">
        <v>2.3477103999999999E-2</v>
      </c>
      <c r="AM306" s="4" t="s">
        <v>1119</v>
      </c>
      <c r="AN306" s="4" t="s">
        <v>1112</v>
      </c>
      <c r="AO306" s="4" t="s">
        <v>1385</v>
      </c>
    </row>
    <row r="307" spans="37:41" ht="18.75">
      <c r="AK307" s="4">
        <v>0.48303699999999999</v>
      </c>
      <c r="AL307" s="4">
        <v>3.4932103999999999E-2</v>
      </c>
      <c r="AM307" s="4" t="s">
        <v>1119</v>
      </c>
      <c r="AN307" s="4" t="s">
        <v>1112</v>
      </c>
      <c r="AO307" s="4" t="s">
        <v>1385</v>
      </c>
    </row>
    <row r="308" spans="37:41" ht="18.75">
      <c r="AK308" s="4">
        <v>0.48303699999999999</v>
      </c>
      <c r="AL308" s="4">
        <v>4.0513104000000001E-2</v>
      </c>
      <c r="AM308" s="4" t="s">
        <v>1119</v>
      </c>
      <c r="AN308" s="4" t="s">
        <v>1112</v>
      </c>
      <c r="AO308" s="4" t="s">
        <v>1385</v>
      </c>
    </row>
    <row r="309" spans="37:41" ht="18.75">
      <c r="AK309" s="4">
        <v>1.7534149999999999</v>
      </c>
      <c r="AL309" s="4">
        <v>0.14596210400000001</v>
      </c>
      <c r="AM309" s="4" t="s">
        <v>1119</v>
      </c>
      <c r="AN309" s="4" t="s">
        <v>1112</v>
      </c>
      <c r="AO309" s="4" t="s">
        <v>1385</v>
      </c>
    </row>
    <row r="310" spans="37:41" ht="18.75">
      <c r="AK310" s="4">
        <v>1.7534149999999999</v>
      </c>
      <c r="AL310" s="4">
        <v>0.15066210399999999</v>
      </c>
      <c r="AM310" s="4" t="s">
        <v>1119</v>
      </c>
      <c r="AN310" s="4" t="s">
        <v>1112</v>
      </c>
      <c r="AO310" s="4" t="s">
        <v>1385</v>
      </c>
    </row>
    <row r="311" spans="37:41" ht="18.75">
      <c r="AK311" s="4">
        <v>4.485093</v>
      </c>
      <c r="AL311" s="4">
        <v>1.9726621040000001</v>
      </c>
      <c r="AM311" s="4" t="s">
        <v>1119</v>
      </c>
      <c r="AN311" s="4" t="s">
        <v>1112</v>
      </c>
      <c r="AO311" s="4" t="s">
        <v>1385</v>
      </c>
    </row>
    <row r="312" spans="37:41" ht="18.75">
      <c r="AK312" s="4">
        <v>4.485093</v>
      </c>
      <c r="AL312" s="4">
        <v>2.037282104</v>
      </c>
      <c r="AM312" s="4" t="s">
        <v>1119</v>
      </c>
      <c r="AN312" s="4" t="s">
        <v>1112</v>
      </c>
      <c r="AO312" s="4" t="s">
        <v>1385</v>
      </c>
    </row>
    <row r="313" spans="37:41" ht="18.75">
      <c r="AK313" s="4">
        <v>7.7058309999999999</v>
      </c>
      <c r="AL313" s="4">
        <v>6.4637771040000001</v>
      </c>
      <c r="AM313" s="4" t="s">
        <v>1119</v>
      </c>
      <c r="AN313" s="4" t="s">
        <v>1112</v>
      </c>
      <c r="AO313" s="4" t="s">
        <v>1385</v>
      </c>
    </row>
    <row r="314" spans="37:41" ht="18.75">
      <c r="AK314" s="4">
        <v>7.7058309999999999</v>
      </c>
      <c r="AL314" s="4">
        <v>6.9836771039999999</v>
      </c>
      <c r="AM314" s="4" t="s">
        <v>1119</v>
      </c>
      <c r="AN314" s="4" t="s">
        <v>1112</v>
      </c>
      <c r="AO314" s="4" t="s">
        <v>1385</v>
      </c>
    </row>
    <row r="315" spans="37:41" ht="18.75">
      <c r="AK315" s="4">
        <v>0</v>
      </c>
      <c r="AL315" s="4">
        <v>2.1444103999999999E-2</v>
      </c>
      <c r="AM315" s="4" t="s">
        <v>1119</v>
      </c>
      <c r="AN315" s="4" t="s">
        <v>1112</v>
      </c>
      <c r="AO315" s="4" t="s">
        <v>1385</v>
      </c>
    </row>
    <row r="316" spans="37:41" ht="18.75">
      <c r="AK316" s="4">
        <v>0.14200699999999999</v>
      </c>
      <c r="AL316" s="4">
        <v>2.9381103999999901E-2</v>
      </c>
      <c r="AM316" s="4" t="s">
        <v>1119</v>
      </c>
      <c r="AN316" s="4" t="s">
        <v>1112</v>
      </c>
      <c r="AO316" s="4" t="s">
        <v>1385</v>
      </c>
    </row>
    <row r="317" spans="37:41" ht="18.75">
      <c r="AK317" s="4">
        <v>0.50113399999999997</v>
      </c>
      <c r="AL317" s="4">
        <v>4.7238103999999899E-2</v>
      </c>
      <c r="AM317" s="4" t="s">
        <v>1119</v>
      </c>
      <c r="AN317" s="4" t="s">
        <v>1112</v>
      </c>
      <c r="AO317" s="4" t="s">
        <v>1385</v>
      </c>
    </row>
    <row r="318" spans="37:41" ht="18.75">
      <c r="AK318" s="4">
        <v>0.50113399999999997</v>
      </c>
      <c r="AL318" s="4">
        <v>4.2986103999999997E-2</v>
      </c>
      <c r="AM318" s="4" t="s">
        <v>1119</v>
      </c>
      <c r="AN318" s="4" t="s">
        <v>1112</v>
      </c>
      <c r="AO318" s="4" t="s">
        <v>1385</v>
      </c>
    </row>
    <row r="319" spans="37:41" ht="18.75">
      <c r="AK319" s="4">
        <v>1.9580500000000001</v>
      </c>
      <c r="AL319" s="4">
        <v>0.123485104</v>
      </c>
      <c r="AM319" s="4" t="s">
        <v>1119</v>
      </c>
      <c r="AN319" s="4" t="s">
        <v>1112</v>
      </c>
      <c r="AO319" s="4" t="s">
        <v>1385</v>
      </c>
    </row>
    <row r="320" spans="37:41" ht="18.75">
      <c r="AK320" s="4">
        <v>1.9580500000000001</v>
      </c>
      <c r="AL320" s="4">
        <v>0.17053710399999999</v>
      </c>
      <c r="AM320" s="4" t="s">
        <v>1119</v>
      </c>
      <c r="AN320" s="4" t="s">
        <v>1112</v>
      </c>
      <c r="AO320" s="4" t="s">
        <v>1385</v>
      </c>
    </row>
    <row r="321" spans="37:41" ht="18.75">
      <c r="AK321" s="4">
        <v>4.8322000000000003</v>
      </c>
      <c r="AL321" s="4">
        <v>0.62972110400000003</v>
      </c>
      <c r="AM321" s="4" t="s">
        <v>1119</v>
      </c>
      <c r="AN321" s="4" t="s">
        <v>1112</v>
      </c>
      <c r="AO321" s="4" t="s">
        <v>1385</v>
      </c>
    </row>
    <row r="322" spans="37:41" ht="18.75">
      <c r="AK322" s="4">
        <v>4.8322000000000003</v>
      </c>
      <c r="AL322" s="4">
        <v>0.44831510400000002</v>
      </c>
      <c r="AM322" s="4" t="s">
        <v>1119</v>
      </c>
      <c r="AN322" s="4" t="s">
        <v>1112</v>
      </c>
      <c r="AO322" s="4" t="s">
        <v>1385</v>
      </c>
    </row>
    <row r="323" spans="37:41" ht="18.75">
      <c r="AK323" s="4">
        <v>8.5850340000000003</v>
      </c>
      <c r="AL323" s="4">
        <v>7.3048911040000002</v>
      </c>
      <c r="AM323" s="4" t="s">
        <v>1119</v>
      </c>
      <c r="AN323" s="4" t="s">
        <v>1112</v>
      </c>
      <c r="AO323" s="4" t="s">
        <v>1385</v>
      </c>
    </row>
    <row r="324" spans="37:41" ht="18.75">
      <c r="AK324" s="4">
        <v>8.5850340000000003</v>
      </c>
      <c r="AL324" s="4">
        <v>7.6053451040000004</v>
      </c>
      <c r="AM324" s="4" t="s">
        <v>1119</v>
      </c>
      <c r="AN324" s="4" t="s">
        <v>1112</v>
      </c>
      <c r="AO324" s="4" t="s">
        <v>1385</v>
      </c>
    </row>
    <row r="325" spans="37:41" ht="18.75">
      <c r="AK325" s="4">
        <v>0.13425899999999999</v>
      </c>
      <c r="AL325" s="4">
        <v>1.2312051040000001</v>
      </c>
      <c r="AM325" s="4" t="s">
        <v>1119</v>
      </c>
      <c r="AN325" s="4" t="s">
        <v>1114</v>
      </c>
      <c r="AO325" s="4" t="s">
        <v>1385</v>
      </c>
    </row>
    <row r="326" spans="37:41" ht="18.75">
      <c r="AK326" s="4">
        <v>0.49652800000000002</v>
      </c>
      <c r="AL326" s="4">
        <v>5.5946311040000003</v>
      </c>
      <c r="AM326" s="4" t="s">
        <v>1119</v>
      </c>
      <c r="AN326" s="4" t="s">
        <v>1114</v>
      </c>
      <c r="AO326" s="4" t="s">
        <v>1385</v>
      </c>
    </row>
    <row r="327" spans="37:41" ht="18.75">
      <c r="AK327" s="4">
        <v>0.49652800000000002</v>
      </c>
      <c r="AL327" s="4">
        <v>5.7190521040000002</v>
      </c>
      <c r="AM327" s="4" t="s">
        <v>1119</v>
      </c>
      <c r="AN327" s="4" t="s">
        <v>1114</v>
      </c>
      <c r="AO327" s="4" t="s">
        <v>1385</v>
      </c>
    </row>
    <row r="328" spans="37:41" ht="18.75">
      <c r="AK328" s="4">
        <v>1.630787</v>
      </c>
      <c r="AL328" s="4">
        <v>13.473683103999999</v>
      </c>
      <c r="AM328" s="4" t="s">
        <v>1119</v>
      </c>
      <c r="AN328" s="4" t="s">
        <v>1114</v>
      </c>
      <c r="AO328" s="4" t="s">
        <v>1385</v>
      </c>
    </row>
    <row r="329" spans="37:41" ht="18.75">
      <c r="AK329" s="4">
        <v>1.6307879999999999</v>
      </c>
      <c r="AL329" s="4">
        <v>14.283863104</v>
      </c>
      <c r="AM329" s="4" t="s">
        <v>1119</v>
      </c>
      <c r="AN329" s="4" t="s">
        <v>1114</v>
      </c>
      <c r="AO329" s="4" t="s">
        <v>1385</v>
      </c>
    </row>
    <row r="330" spans="37:41" ht="18.75">
      <c r="AK330" s="4">
        <v>4.6892360000000002</v>
      </c>
      <c r="AL330" s="4">
        <v>20.583053103999902</v>
      </c>
      <c r="AM330" s="4" t="s">
        <v>1119</v>
      </c>
      <c r="AN330" s="4" t="s">
        <v>1114</v>
      </c>
      <c r="AO330" s="4" t="s">
        <v>1385</v>
      </c>
    </row>
    <row r="331" spans="37:41" ht="18.75">
      <c r="AK331" s="4">
        <v>4.6892360000000002</v>
      </c>
      <c r="AL331" s="4">
        <v>21.289073104</v>
      </c>
      <c r="AM331" s="4" t="s">
        <v>1119</v>
      </c>
      <c r="AN331" s="4" t="s">
        <v>1114</v>
      </c>
      <c r="AO331" s="4" t="s">
        <v>1385</v>
      </c>
    </row>
    <row r="332" spans="37:41" ht="18.75">
      <c r="AK332" s="4">
        <v>8.1556709999999999</v>
      </c>
      <c r="AL332" s="4">
        <v>24.813383104</v>
      </c>
      <c r="AM332" s="4" t="s">
        <v>1119</v>
      </c>
      <c r="AN332" s="4" t="s">
        <v>1114</v>
      </c>
      <c r="AO332" s="4" t="s">
        <v>1385</v>
      </c>
    </row>
    <row r="333" spans="37:41" ht="18.75">
      <c r="AK333" s="4">
        <v>8.1556709999999999</v>
      </c>
      <c r="AL333" s="4">
        <v>24.509563103999898</v>
      </c>
      <c r="AM333" s="4" t="s">
        <v>1119</v>
      </c>
      <c r="AN333" s="4" t="s">
        <v>1114</v>
      </c>
      <c r="AO333" s="4" t="s">
        <v>1385</v>
      </c>
    </row>
    <row r="334" spans="37:41" ht="18.75">
      <c r="AK334" s="4">
        <v>0.18490200000000001</v>
      </c>
      <c r="AL334" s="4">
        <v>1.120284104</v>
      </c>
      <c r="AM334" s="4" t="s">
        <v>1119</v>
      </c>
      <c r="AN334" s="4" t="s">
        <v>1114</v>
      </c>
      <c r="AO334" s="4" t="s">
        <v>1385</v>
      </c>
    </row>
    <row r="335" spans="37:41" ht="18.75">
      <c r="AK335" s="4">
        <v>0.18490200000000001</v>
      </c>
      <c r="AL335" s="4">
        <v>1.311207104</v>
      </c>
      <c r="AM335" s="4" t="s">
        <v>1119</v>
      </c>
      <c r="AN335" s="4" t="s">
        <v>1114</v>
      </c>
      <c r="AO335" s="4" t="s">
        <v>1385</v>
      </c>
    </row>
    <row r="336" spans="37:41" ht="18.75">
      <c r="AK336" s="4">
        <v>0.48303699999999999</v>
      </c>
      <c r="AL336" s="4">
        <v>5.3235441039999998</v>
      </c>
      <c r="AM336" s="4" t="s">
        <v>1119</v>
      </c>
      <c r="AN336" s="4" t="s">
        <v>1114</v>
      </c>
      <c r="AO336" s="4" t="s">
        <v>1385</v>
      </c>
    </row>
    <row r="337" spans="37:41" ht="18.75">
      <c r="AK337" s="4">
        <v>0.48303699999999999</v>
      </c>
      <c r="AL337" s="4">
        <v>5.6672071040000001</v>
      </c>
      <c r="AM337" s="4" t="s">
        <v>1119</v>
      </c>
      <c r="AN337" s="4" t="s">
        <v>1114</v>
      </c>
      <c r="AO337" s="4" t="s">
        <v>1385</v>
      </c>
    </row>
    <row r="338" spans="37:41" ht="18.75">
      <c r="AK338" s="4">
        <v>1.7534149999999999</v>
      </c>
      <c r="AL338" s="4">
        <v>13.063303103999999</v>
      </c>
      <c r="AM338" s="4" t="s">
        <v>1119</v>
      </c>
      <c r="AN338" s="4" t="s">
        <v>1114</v>
      </c>
      <c r="AO338" s="4" t="s">
        <v>1385</v>
      </c>
    </row>
    <row r="339" spans="37:41" ht="18.75">
      <c r="AK339" s="4">
        <v>1.7534149999999999</v>
      </c>
      <c r="AL339" s="4">
        <v>13.556763104</v>
      </c>
      <c r="AM339" s="4" t="s">
        <v>1119</v>
      </c>
      <c r="AN339" s="4" t="s">
        <v>1114</v>
      </c>
      <c r="AO339" s="4" t="s">
        <v>1385</v>
      </c>
    </row>
    <row r="340" spans="37:41" ht="18.75">
      <c r="AK340" s="4">
        <v>4.485093</v>
      </c>
      <c r="AL340" s="4">
        <v>21.155533104</v>
      </c>
      <c r="AM340" s="4" t="s">
        <v>1119</v>
      </c>
      <c r="AN340" s="4" t="s">
        <v>1114</v>
      </c>
      <c r="AO340" s="4" t="s">
        <v>1385</v>
      </c>
    </row>
    <row r="341" spans="37:41" ht="18.75">
      <c r="AK341" s="4">
        <v>4.485093</v>
      </c>
      <c r="AL341" s="4">
        <v>19.416653103999899</v>
      </c>
      <c r="AM341" s="4" t="s">
        <v>1119</v>
      </c>
      <c r="AN341" s="4" t="s">
        <v>1114</v>
      </c>
      <c r="AO341" s="4" t="s">
        <v>1385</v>
      </c>
    </row>
    <row r="342" spans="37:41" ht="18.75">
      <c r="AK342" s="4">
        <v>7.7058309999999999</v>
      </c>
      <c r="AL342" s="4">
        <v>24.962253103999998</v>
      </c>
      <c r="AM342" s="4" t="s">
        <v>1119</v>
      </c>
      <c r="AN342" s="4" t="s">
        <v>1114</v>
      </c>
      <c r="AO342" s="4" t="s">
        <v>1385</v>
      </c>
    </row>
    <row r="343" spans="37:41" ht="18.75">
      <c r="AK343" s="4">
        <v>7.7058309999999999</v>
      </c>
      <c r="AL343" s="4">
        <v>26.378033104</v>
      </c>
      <c r="AM343" s="4" t="s">
        <v>1119</v>
      </c>
      <c r="AN343" s="4" t="s">
        <v>1114</v>
      </c>
      <c r="AO343" s="4" t="s">
        <v>1385</v>
      </c>
    </row>
    <row r="344" spans="37:41" ht="18.75">
      <c r="AK344" s="4">
        <v>0</v>
      </c>
      <c r="AL344" s="4">
        <v>8.61710399999999E-3</v>
      </c>
      <c r="AM344" s="4" t="s">
        <v>1119</v>
      </c>
      <c r="AN344" s="4" t="s">
        <v>1114</v>
      </c>
      <c r="AO344" s="4" t="s">
        <v>1385</v>
      </c>
    </row>
    <row r="345" spans="37:41" ht="18.75">
      <c r="AK345" s="4">
        <v>0.14200699999999999</v>
      </c>
      <c r="AL345" s="4">
        <v>0.74161010399999905</v>
      </c>
      <c r="AM345" s="4" t="s">
        <v>1119</v>
      </c>
      <c r="AN345" s="4" t="s">
        <v>1114</v>
      </c>
      <c r="AO345" s="4" t="s">
        <v>1385</v>
      </c>
    </row>
    <row r="346" spans="37:41" ht="18.75">
      <c r="AK346" s="4">
        <v>0.50113399999999997</v>
      </c>
      <c r="AL346" s="4">
        <v>5.9116781039999999</v>
      </c>
      <c r="AM346" s="4" t="s">
        <v>1119</v>
      </c>
      <c r="AN346" s="4" t="s">
        <v>1114</v>
      </c>
      <c r="AO346" s="4" t="s">
        <v>1385</v>
      </c>
    </row>
    <row r="347" spans="37:41" ht="18.75">
      <c r="AK347" s="4">
        <v>0.50113399999999997</v>
      </c>
      <c r="AL347" s="4">
        <v>5.4524941040000003</v>
      </c>
      <c r="AM347" s="4" t="s">
        <v>1119</v>
      </c>
      <c r="AN347" s="4" t="s">
        <v>1114</v>
      </c>
      <c r="AO347" s="4" t="s">
        <v>1385</v>
      </c>
    </row>
    <row r="348" spans="37:41" ht="18.75">
      <c r="AK348" s="4">
        <v>1.9580500000000001</v>
      </c>
      <c r="AL348" s="4">
        <v>11.180953103999901</v>
      </c>
      <c r="AM348" s="4" t="s">
        <v>1119</v>
      </c>
      <c r="AN348" s="4" t="s">
        <v>1114</v>
      </c>
      <c r="AO348" s="4" t="s">
        <v>1385</v>
      </c>
    </row>
    <row r="349" spans="37:41" ht="18.75">
      <c r="AK349" s="4">
        <v>1.9580500000000001</v>
      </c>
      <c r="AL349" s="4">
        <v>11.8187031039999</v>
      </c>
      <c r="AM349" s="4" t="s">
        <v>1119</v>
      </c>
      <c r="AN349" s="4" t="s">
        <v>1114</v>
      </c>
      <c r="AO349" s="4" t="s">
        <v>1385</v>
      </c>
    </row>
    <row r="350" spans="37:41" ht="18.75">
      <c r="AK350" s="4">
        <v>4.8322000000000003</v>
      </c>
      <c r="AL350" s="4">
        <v>15.826643103999899</v>
      </c>
      <c r="AM350" s="4" t="s">
        <v>1119</v>
      </c>
      <c r="AN350" s="4" t="s">
        <v>1114</v>
      </c>
      <c r="AO350" s="4" t="s">
        <v>1385</v>
      </c>
    </row>
    <row r="351" spans="37:41" ht="18.75">
      <c r="AK351" s="4">
        <v>4.8322000000000003</v>
      </c>
      <c r="AL351" s="4">
        <v>11.892403104</v>
      </c>
      <c r="AM351" s="4" t="s">
        <v>1119</v>
      </c>
      <c r="AN351" s="4" t="s">
        <v>1114</v>
      </c>
      <c r="AO351" s="4" t="s">
        <v>1385</v>
      </c>
    </row>
    <row r="352" spans="37:41" ht="18.75">
      <c r="AK352" s="4">
        <v>8.5850340000000003</v>
      </c>
      <c r="AL352" s="4">
        <v>25.143533103999999</v>
      </c>
      <c r="AM352" s="4" t="s">
        <v>1119</v>
      </c>
      <c r="AN352" s="4" t="s">
        <v>1114</v>
      </c>
      <c r="AO352" s="4" t="s">
        <v>1385</v>
      </c>
    </row>
    <row r="353" spans="37:41" ht="18.75">
      <c r="AK353" s="4">
        <v>8.5850340000000003</v>
      </c>
      <c r="AL353" s="4">
        <v>24.990473103999999</v>
      </c>
      <c r="AM353" s="4" t="s">
        <v>1119</v>
      </c>
      <c r="AN353" s="4" t="s">
        <v>1114</v>
      </c>
      <c r="AO353" s="4" t="s">
        <v>1385</v>
      </c>
    </row>
    <row r="354" spans="37:41" ht="18.75">
      <c r="AK354" s="4">
        <v>0</v>
      </c>
      <c r="AL354" s="4">
        <v>4.1201082999999999E-2</v>
      </c>
      <c r="AM354" s="4" t="s">
        <v>1120</v>
      </c>
      <c r="AN354" s="4" t="s">
        <v>1112</v>
      </c>
      <c r="AO354" s="4" t="s">
        <v>1387</v>
      </c>
    </row>
    <row r="355" spans="37:41" ht="18.75">
      <c r="AK355" s="4">
        <v>0</v>
      </c>
      <c r="AL355" s="4">
        <v>3.4835083000000003E-2</v>
      </c>
      <c r="AM355" s="4" t="s">
        <v>1120</v>
      </c>
      <c r="AN355" s="4" t="s">
        <v>1112</v>
      </c>
      <c r="AO355" s="4" t="s">
        <v>1387</v>
      </c>
    </row>
    <row r="356" spans="37:41" ht="18.75">
      <c r="AK356" s="4">
        <v>0.13425899999999999</v>
      </c>
      <c r="AL356" s="4">
        <v>3.3678082999999998E-2</v>
      </c>
      <c r="AM356" s="4" t="s">
        <v>1120</v>
      </c>
      <c r="AN356" s="4" t="s">
        <v>1112</v>
      </c>
      <c r="AO356" s="4" t="s">
        <v>1387</v>
      </c>
    </row>
    <row r="357" spans="37:41" ht="18.75">
      <c r="AK357" s="4">
        <v>0.13425899999999999</v>
      </c>
      <c r="AL357" s="4">
        <v>3.1363083E-2</v>
      </c>
      <c r="AM357" s="4" t="s">
        <v>1120</v>
      </c>
      <c r="AN357" s="4" t="s">
        <v>1112</v>
      </c>
      <c r="AO357" s="4" t="s">
        <v>1387</v>
      </c>
    </row>
    <row r="358" spans="37:41" ht="18.75">
      <c r="AK358" s="4">
        <v>0.49652800000000002</v>
      </c>
      <c r="AL358" s="4">
        <v>2.3551083E-2</v>
      </c>
      <c r="AM358" s="4" t="s">
        <v>1120</v>
      </c>
      <c r="AN358" s="4" t="s">
        <v>1112</v>
      </c>
      <c r="AO358" s="4" t="s">
        <v>1387</v>
      </c>
    </row>
    <row r="359" spans="37:41" ht="18.75">
      <c r="AK359" s="4">
        <v>0.49652800000000002</v>
      </c>
      <c r="AL359" s="4">
        <v>3.1074082999999999E-2</v>
      </c>
      <c r="AM359" s="4" t="s">
        <v>1120</v>
      </c>
      <c r="AN359" s="4" t="s">
        <v>1112</v>
      </c>
      <c r="AO359" s="4" t="s">
        <v>1387</v>
      </c>
    </row>
    <row r="360" spans="37:41" ht="18.75">
      <c r="AK360" s="4">
        <v>1.630787</v>
      </c>
      <c r="AL360" s="4">
        <v>3.5703082999999997E-2</v>
      </c>
      <c r="AM360" s="4" t="s">
        <v>1120</v>
      </c>
      <c r="AN360" s="4" t="s">
        <v>1112</v>
      </c>
      <c r="AO360" s="4" t="s">
        <v>1387</v>
      </c>
    </row>
    <row r="361" spans="37:41" ht="18.75">
      <c r="AK361" s="4">
        <v>1.630787</v>
      </c>
      <c r="AL361" s="4">
        <v>3.9176083E-2</v>
      </c>
      <c r="AM361" s="4" t="s">
        <v>1120</v>
      </c>
      <c r="AN361" s="4" t="s">
        <v>1112</v>
      </c>
      <c r="AO361" s="4" t="s">
        <v>1387</v>
      </c>
    </row>
    <row r="362" spans="37:41" ht="18.75">
      <c r="AK362" s="4">
        <v>8.1556709999999999</v>
      </c>
      <c r="AL362" s="4">
        <v>0.47002108300000001</v>
      </c>
      <c r="AM362" s="4" t="s">
        <v>1120</v>
      </c>
      <c r="AN362" s="4" t="s">
        <v>1112</v>
      </c>
      <c r="AO362" s="4" t="s">
        <v>1387</v>
      </c>
    </row>
    <row r="363" spans="37:41" ht="18.75">
      <c r="AK363" s="4">
        <v>8.1556709999999999</v>
      </c>
      <c r="AL363" s="4">
        <v>0.45265908300000002</v>
      </c>
      <c r="AM363" s="4" t="s">
        <v>1120</v>
      </c>
      <c r="AN363" s="4" t="s">
        <v>1112</v>
      </c>
      <c r="AO363" s="4" t="s">
        <v>1387</v>
      </c>
    </row>
    <row r="364" spans="37:41" ht="18.75">
      <c r="AK364" s="4">
        <v>0</v>
      </c>
      <c r="AL364" s="4">
        <v>2.3850083000000001E-2</v>
      </c>
      <c r="AM364" s="4" t="s">
        <v>1120</v>
      </c>
      <c r="AN364" s="4" t="s">
        <v>1112</v>
      </c>
      <c r="AO364" s="4" t="s">
        <v>1387</v>
      </c>
    </row>
    <row r="365" spans="37:41" ht="18.75">
      <c r="AK365" s="4">
        <v>0</v>
      </c>
      <c r="AL365" s="4">
        <v>2.7123082999999999E-2</v>
      </c>
      <c r="AM365" s="4" t="s">
        <v>1120</v>
      </c>
      <c r="AN365" s="4" t="s">
        <v>1112</v>
      </c>
      <c r="AO365" s="4" t="s">
        <v>1387</v>
      </c>
    </row>
    <row r="366" spans="37:41" ht="18.75">
      <c r="AK366" s="4">
        <v>0.13730999999999999</v>
      </c>
      <c r="AL366" s="4">
        <v>2.7123082999999999E-2</v>
      </c>
      <c r="AM366" s="4" t="s">
        <v>1120</v>
      </c>
      <c r="AN366" s="4" t="s">
        <v>1112</v>
      </c>
      <c r="AO366" s="4" t="s">
        <v>1387</v>
      </c>
    </row>
    <row r="367" spans="37:41" ht="18.75">
      <c r="AK367" s="4">
        <v>0.13730999999999999</v>
      </c>
      <c r="AL367" s="4">
        <v>3.4264083000000001E-2</v>
      </c>
      <c r="AM367" s="4" t="s">
        <v>1120</v>
      </c>
      <c r="AN367" s="4" t="s">
        <v>1112</v>
      </c>
      <c r="AO367" s="4" t="s">
        <v>1387</v>
      </c>
    </row>
    <row r="368" spans="37:41" ht="18.75">
      <c r="AK368" s="4">
        <v>0.41237699999999999</v>
      </c>
      <c r="AL368" s="4">
        <v>3.0396083000000001E-2</v>
      </c>
      <c r="AM368" s="4" t="s">
        <v>1120</v>
      </c>
      <c r="AN368" s="4" t="s">
        <v>1112</v>
      </c>
      <c r="AO368" s="4" t="s">
        <v>1387</v>
      </c>
    </row>
    <row r="369" spans="37:41" ht="18.75">
      <c r="AK369" s="4">
        <v>0.41237699999999999</v>
      </c>
      <c r="AL369" s="4">
        <v>3.5156082999999998E-2</v>
      </c>
      <c r="AM369" s="4" t="s">
        <v>1120</v>
      </c>
      <c r="AN369" s="4" t="s">
        <v>1112</v>
      </c>
      <c r="AO369" s="4" t="s">
        <v>1387</v>
      </c>
    </row>
    <row r="370" spans="37:41" ht="18.75">
      <c r="AK370" s="4">
        <v>1.63374</v>
      </c>
      <c r="AL370" s="4">
        <v>3.5751083000000003E-2</v>
      </c>
      <c r="AM370" s="4" t="s">
        <v>1120</v>
      </c>
      <c r="AN370" s="4" t="s">
        <v>1112</v>
      </c>
      <c r="AO370" s="4" t="s">
        <v>1387</v>
      </c>
    </row>
    <row r="371" spans="37:41" ht="18.75">
      <c r="AK371" s="4">
        <v>1.63374</v>
      </c>
      <c r="AL371" s="4">
        <v>3.8132082999999997E-2</v>
      </c>
      <c r="AM371" s="4" t="s">
        <v>1120</v>
      </c>
      <c r="AN371" s="4" t="s">
        <v>1112</v>
      </c>
      <c r="AO371" s="4" t="s">
        <v>1387</v>
      </c>
    </row>
    <row r="372" spans="37:41" ht="18.75">
      <c r="AK372" s="4">
        <v>4.5673909999999998</v>
      </c>
      <c r="AL372" s="4">
        <v>0.122630083</v>
      </c>
      <c r="AM372" s="4" t="s">
        <v>1120</v>
      </c>
      <c r="AN372" s="4" t="s">
        <v>1112</v>
      </c>
      <c r="AO372" s="4" t="s">
        <v>1387</v>
      </c>
    </row>
    <row r="373" spans="37:41" ht="18.75">
      <c r="AK373" s="4">
        <v>4.5673909999999998</v>
      </c>
      <c r="AL373" s="4">
        <v>0.13036608299999999</v>
      </c>
      <c r="AM373" s="4" t="s">
        <v>1120</v>
      </c>
      <c r="AN373" s="4" t="s">
        <v>1112</v>
      </c>
      <c r="AO373" s="4" t="s">
        <v>1387</v>
      </c>
    </row>
    <row r="374" spans="37:41" ht="18.75">
      <c r="AK374" s="4">
        <v>7.6780720000000002</v>
      </c>
      <c r="AL374" s="4">
        <v>0.53084208300000002</v>
      </c>
      <c r="AM374" s="4" t="s">
        <v>1120</v>
      </c>
      <c r="AN374" s="4" t="s">
        <v>1112</v>
      </c>
      <c r="AO374" s="4" t="s">
        <v>1387</v>
      </c>
    </row>
    <row r="375" spans="37:41" ht="18.75">
      <c r="AK375" s="4">
        <v>7.6780720000000002</v>
      </c>
      <c r="AL375" s="4">
        <v>0.56654608299999998</v>
      </c>
      <c r="AM375" s="4" t="s">
        <v>1120</v>
      </c>
      <c r="AN375" s="4" t="s">
        <v>1112</v>
      </c>
      <c r="AO375" s="4" t="s">
        <v>1387</v>
      </c>
    </row>
    <row r="376" spans="37:41" ht="18.75">
      <c r="AK376" s="4">
        <v>0</v>
      </c>
      <c r="AL376" s="4">
        <v>1.6302082999999998E-2</v>
      </c>
      <c r="AM376" s="4" t="s">
        <v>1120</v>
      </c>
      <c r="AN376" s="4" t="s">
        <v>1112</v>
      </c>
      <c r="AO376" s="4" t="s">
        <v>1387</v>
      </c>
    </row>
    <row r="377" spans="37:41" ht="18.75">
      <c r="AK377" s="4">
        <v>0</v>
      </c>
      <c r="AL377" s="4">
        <v>1.8391082999999999E-2</v>
      </c>
      <c r="AM377" s="4" t="s">
        <v>1120</v>
      </c>
      <c r="AN377" s="4" t="s">
        <v>1112</v>
      </c>
      <c r="AO377" s="4" t="s">
        <v>1387</v>
      </c>
    </row>
    <row r="378" spans="37:41" ht="18.75">
      <c r="AK378" s="4">
        <v>0.18693100000000001</v>
      </c>
      <c r="AL378" s="4">
        <v>2.8237082999999899E-2</v>
      </c>
      <c r="AM378" s="4" t="s">
        <v>1120</v>
      </c>
      <c r="AN378" s="4" t="s">
        <v>1112</v>
      </c>
      <c r="AO378" s="4" t="s">
        <v>1387</v>
      </c>
    </row>
    <row r="379" spans="37:41" ht="18.75">
      <c r="AK379" s="4">
        <v>0.18693100000000001</v>
      </c>
      <c r="AL379" s="4">
        <v>3.1818082999999997E-2</v>
      </c>
      <c r="AM379" s="4" t="s">
        <v>1120</v>
      </c>
      <c r="AN379" s="4" t="s">
        <v>1112</v>
      </c>
      <c r="AO379" s="4" t="s">
        <v>1387</v>
      </c>
    </row>
    <row r="380" spans="37:41" ht="18.75">
      <c r="AK380" s="4">
        <v>0.64195100000000005</v>
      </c>
      <c r="AL380" s="4">
        <v>3.12210829999999E-2</v>
      </c>
      <c r="AM380" s="4" t="s">
        <v>1120</v>
      </c>
      <c r="AN380" s="4" t="s">
        <v>1112</v>
      </c>
      <c r="AO380" s="4" t="s">
        <v>1387</v>
      </c>
    </row>
    <row r="381" spans="37:41" ht="18.75">
      <c r="AK381" s="4">
        <v>0.64195100000000005</v>
      </c>
      <c r="AL381" s="4">
        <v>3.3011082999999997E-2</v>
      </c>
      <c r="AM381" s="4" t="s">
        <v>1120</v>
      </c>
      <c r="AN381" s="4" t="s">
        <v>1112</v>
      </c>
      <c r="AO381" s="4" t="s">
        <v>1387</v>
      </c>
    </row>
    <row r="382" spans="37:41" ht="18.75">
      <c r="AK382" s="4">
        <v>2.033865</v>
      </c>
      <c r="AL382" s="4">
        <v>4.5841082999999998E-2</v>
      </c>
      <c r="AM382" s="4" t="s">
        <v>1120</v>
      </c>
      <c r="AN382" s="4" t="s">
        <v>1112</v>
      </c>
      <c r="AO382" s="4" t="s">
        <v>1387</v>
      </c>
    </row>
    <row r="383" spans="37:41" ht="18.75">
      <c r="AK383" s="4">
        <v>2.033865</v>
      </c>
      <c r="AL383" s="4">
        <v>3.7189082999999998E-2</v>
      </c>
      <c r="AM383" s="4" t="s">
        <v>1120</v>
      </c>
      <c r="AN383" s="4" t="s">
        <v>1112</v>
      </c>
      <c r="AO383" s="4" t="s">
        <v>1387</v>
      </c>
    </row>
    <row r="384" spans="37:41" ht="18.75">
      <c r="AK384" s="4">
        <v>5.3323879999999999</v>
      </c>
      <c r="AL384" s="4">
        <v>0.13207108300000001</v>
      </c>
      <c r="AM384" s="4" t="s">
        <v>1120</v>
      </c>
      <c r="AN384" s="4" t="s">
        <v>1112</v>
      </c>
      <c r="AO384" s="4" t="s">
        <v>1387</v>
      </c>
    </row>
    <row r="385" spans="37:41" ht="18.75">
      <c r="AK385" s="4">
        <v>5.3323879999999999</v>
      </c>
      <c r="AL385" s="4">
        <v>0.135950083</v>
      </c>
      <c r="AM385" s="4" t="s">
        <v>1120</v>
      </c>
      <c r="AN385" s="4" t="s">
        <v>1112</v>
      </c>
      <c r="AO385" s="4" t="s">
        <v>1387</v>
      </c>
    </row>
    <row r="386" spans="37:41" ht="18.75">
      <c r="AK386" s="4">
        <v>8.5369240000000008</v>
      </c>
      <c r="AL386" s="4">
        <v>0.40866408300000001</v>
      </c>
      <c r="AM386" s="4" t="s">
        <v>1120</v>
      </c>
      <c r="AN386" s="4" t="s">
        <v>1112</v>
      </c>
      <c r="AO386" s="4" t="s">
        <v>1387</v>
      </c>
    </row>
    <row r="387" spans="37:41" ht="18.75">
      <c r="AK387" s="4">
        <v>8.5369240000000008</v>
      </c>
      <c r="AL387" s="4">
        <v>0.37882708300000001</v>
      </c>
      <c r="AM387" s="4" t="s">
        <v>1120</v>
      </c>
      <c r="AN387" s="4" t="s">
        <v>1112</v>
      </c>
      <c r="AO387" s="4" t="s">
        <v>1387</v>
      </c>
    </row>
    <row r="388" spans="37:41" ht="18.75">
      <c r="AK388" s="4">
        <v>0</v>
      </c>
      <c r="AL388" s="4">
        <v>1.2176083000000001E-2</v>
      </c>
      <c r="AM388" s="4" t="s">
        <v>1120</v>
      </c>
      <c r="AN388" s="4" t="s">
        <v>1114</v>
      </c>
      <c r="AO388" s="4" t="s">
        <v>1387</v>
      </c>
    </row>
    <row r="389" spans="37:41" ht="18.75">
      <c r="AK389" s="4">
        <v>0</v>
      </c>
      <c r="AL389" s="4">
        <v>1.4201083E-2</v>
      </c>
      <c r="AM389" s="4" t="s">
        <v>1120</v>
      </c>
      <c r="AN389" s="4" t="s">
        <v>1114</v>
      </c>
      <c r="AO389" s="4" t="s">
        <v>1387</v>
      </c>
    </row>
    <row r="390" spans="37:41" ht="18.75">
      <c r="AK390" s="4">
        <v>0.13425899999999999</v>
      </c>
      <c r="AL390" s="4">
        <v>6.8021082999999996E-2</v>
      </c>
      <c r="AM390" s="4" t="s">
        <v>1120</v>
      </c>
      <c r="AN390" s="4" t="s">
        <v>1114</v>
      </c>
      <c r="AO390" s="4" t="s">
        <v>1387</v>
      </c>
    </row>
    <row r="391" spans="37:41" ht="18.75">
      <c r="AK391" s="4">
        <v>0.13425899999999999</v>
      </c>
      <c r="AL391" s="4">
        <v>8.0173083000000006E-2</v>
      </c>
      <c r="AM391" s="4" t="s">
        <v>1120</v>
      </c>
      <c r="AN391" s="4" t="s">
        <v>1114</v>
      </c>
      <c r="AO391" s="4" t="s">
        <v>1387</v>
      </c>
    </row>
    <row r="392" spans="37:41" ht="18.75">
      <c r="AK392" s="4">
        <v>0.49652800000000002</v>
      </c>
      <c r="AL392" s="4">
        <v>0.55008108300000003</v>
      </c>
      <c r="AM392" s="4" t="s">
        <v>1120</v>
      </c>
      <c r="AN392" s="4" t="s">
        <v>1114</v>
      </c>
      <c r="AO392" s="4" t="s">
        <v>1387</v>
      </c>
    </row>
    <row r="393" spans="37:41" ht="18.75">
      <c r="AK393" s="4">
        <v>0.49652800000000002</v>
      </c>
      <c r="AL393" s="4">
        <v>0.59637708299999903</v>
      </c>
      <c r="AM393" s="4" t="s">
        <v>1120</v>
      </c>
      <c r="AN393" s="4" t="s">
        <v>1114</v>
      </c>
      <c r="AO393" s="4" t="s">
        <v>1387</v>
      </c>
    </row>
    <row r="394" spans="37:41" ht="18.75">
      <c r="AK394" s="4">
        <v>1.630787</v>
      </c>
      <c r="AL394" s="4">
        <v>4.9366550829999998</v>
      </c>
      <c r="AM394" s="4" t="s">
        <v>1120</v>
      </c>
      <c r="AN394" s="4" t="s">
        <v>1114</v>
      </c>
      <c r="AO394" s="4" t="s">
        <v>1387</v>
      </c>
    </row>
    <row r="395" spans="37:41" ht="18.75">
      <c r="AK395" s="4">
        <v>1.630787</v>
      </c>
      <c r="AL395" s="4">
        <v>4.8006590829999896</v>
      </c>
      <c r="AM395" s="4" t="s">
        <v>1120</v>
      </c>
      <c r="AN395" s="4" t="s">
        <v>1114</v>
      </c>
      <c r="AO395" s="4" t="s">
        <v>1387</v>
      </c>
    </row>
    <row r="396" spans="37:41" ht="18.75">
      <c r="AK396" s="4">
        <v>8.1556709999999999</v>
      </c>
      <c r="AL396" s="4">
        <v>17.969058083</v>
      </c>
      <c r="AM396" s="4" t="s">
        <v>1120</v>
      </c>
      <c r="AN396" s="4" t="s">
        <v>1114</v>
      </c>
      <c r="AO396" s="4" t="s">
        <v>1387</v>
      </c>
    </row>
    <row r="397" spans="37:41" ht="18.75">
      <c r="AK397" s="4">
        <v>8.1556709999999999</v>
      </c>
      <c r="AL397" s="4">
        <v>17.639198083</v>
      </c>
      <c r="AM397" s="4" t="s">
        <v>1120</v>
      </c>
      <c r="AN397" s="4" t="s">
        <v>1114</v>
      </c>
      <c r="AO397" s="4" t="s">
        <v>1387</v>
      </c>
    </row>
    <row r="398" spans="37:41" ht="18.75">
      <c r="AK398" s="4">
        <v>0</v>
      </c>
      <c r="AL398" s="4">
        <v>-3.744917E-3</v>
      </c>
      <c r="AM398" s="4" t="s">
        <v>1120</v>
      </c>
      <c r="AN398" s="4" t="s">
        <v>1114</v>
      </c>
      <c r="AO398" s="4" t="s">
        <v>1387</v>
      </c>
    </row>
    <row r="399" spans="37:41" ht="18.75">
      <c r="AK399" s="4">
        <v>0</v>
      </c>
      <c r="AL399" s="4">
        <v>1.9080830000000001E-3</v>
      </c>
      <c r="AM399" s="4" t="s">
        <v>1120</v>
      </c>
      <c r="AN399" s="4" t="s">
        <v>1114</v>
      </c>
      <c r="AO399" s="4" t="s">
        <v>1387</v>
      </c>
    </row>
    <row r="400" spans="37:41" ht="18.75">
      <c r="AK400" s="4">
        <v>0.13730999999999999</v>
      </c>
      <c r="AL400" s="4">
        <v>4.8621082999999898E-2</v>
      </c>
      <c r="AM400" s="4" t="s">
        <v>1120</v>
      </c>
      <c r="AN400" s="4" t="s">
        <v>1114</v>
      </c>
      <c r="AO400" s="4" t="s">
        <v>1387</v>
      </c>
    </row>
    <row r="401" spans="37:41" ht="18.75">
      <c r="AK401" s="4">
        <v>0.13730999999999999</v>
      </c>
      <c r="AL401" s="4">
        <v>4.4753082999999999E-2</v>
      </c>
      <c r="AM401" s="4" t="s">
        <v>1120</v>
      </c>
      <c r="AN401" s="4" t="s">
        <v>1114</v>
      </c>
      <c r="AO401" s="4" t="s">
        <v>1387</v>
      </c>
    </row>
    <row r="402" spans="37:41" ht="18.75">
      <c r="AK402" s="4">
        <v>0.41237699999999999</v>
      </c>
      <c r="AL402" s="4">
        <v>0.36697808300000001</v>
      </c>
      <c r="AM402" s="4" t="s">
        <v>1120</v>
      </c>
      <c r="AN402" s="4" t="s">
        <v>1114</v>
      </c>
      <c r="AO402" s="4" t="s">
        <v>1387</v>
      </c>
    </row>
    <row r="403" spans="37:41" ht="18.75">
      <c r="AK403" s="4">
        <v>0.41237699999999999</v>
      </c>
      <c r="AL403" s="4">
        <v>0.39673108299999998</v>
      </c>
      <c r="AM403" s="4" t="s">
        <v>1120</v>
      </c>
      <c r="AN403" s="4" t="s">
        <v>1114</v>
      </c>
      <c r="AO403" s="4" t="s">
        <v>1387</v>
      </c>
    </row>
    <row r="404" spans="37:41" ht="18.75">
      <c r="AK404" s="4">
        <v>1.63374</v>
      </c>
      <c r="AL404" s="4">
        <v>4.3390100829999998</v>
      </c>
      <c r="AM404" s="4" t="s">
        <v>1120</v>
      </c>
      <c r="AN404" s="4" t="s">
        <v>1114</v>
      </c>
      <c r="AO404" s="4" t="s">
        <v>1387</v>
      </c>
    </row>
    <row r="405" spans="37:41" ht="18.75">
      <c r="AK405" s="4">
        <v>1.63374</v>
      </c>
      <c r="AL405" s="4">
        <v>4.4074420829999896</v>
      </c>
      <c r="AM405" s="4" t="s">
        <v>1120</v>
      </c>
      <c r="AN405" s="4" t="s">
        <v>1114</v>
      </c>
      <c r="AO405" s="4" t="s">
        <v>1387</v>
      </c>
    </row>
    <row r="406" spans="37:41" ht="18.75">
      <c r="AK406" s="4">
        <v>4.5673909999999998</v>
      </c>
      <c r="AL406" s="4">
        <v>12.461588083000001</v>
      </c>
      <c r="AM406" s="4" t="s">
        <v>1120</v>
      </c>
      <c r="AN406" s="4" t="s">
        <v>1114</v>
      </c>
      <c r="AO406" s="4" t="s">
        <v>1387</v>
      </c>
    </row>
    <row r="407" spans="37:41" ht="18.75">
      <c r="AK407" s="4">
        <v>4.5673909999999998</v>
      </c>
      <c r="AL407" s="4">
        <v>12.500268083</v>
      </c>
      <c r="AM407" s="4" t="s">
        <v>1120</v>
      </c>
      <c r="AN407" s="4" t="s">
        <v>1114</v>
      </c>
      <c r="AO407" s="4" t="s">
        <v>1387</v>
      </c>
    </row>
    <row r="408" spans="37:41" ht="18.75">
      <c r="AK408" s="4">
        <v>7.6780720000000002</v>
      </c>
      <c r="AL408" s="4">
        <v>18.251538083</v>
      </c>
      <c r="AM408" s="4" t="s">
        <v>1120</v>
      </c>
      <c r="AN408" s="4" t="s">
        <v>1114</v>
      </c>
      <c r="AO408" s="4" t="s">
        <v>1387</v>
      </c>
    </row>
    <row r="409" spans="37:41" ht="18.75">
      <c r="AK409" s="4">
        <v>7.6780720000000002</v>
      </c>
      <c r="AL409" s="4">
        <v>18.819818083000001</v>
      </c>
      <c r="AM409" s="4" t="s">
        <v>1120</v>
      </c>
      <c r="AN409" s="4" t="s">
        <v>1114</v>
      </c>
      <c r="AO409" s="4" t="s">
        <v>1387</v>
      </c>
    </row>
    <row r="410" spans="37:41" ht="18.75">
      <c r="AK410" s="4">
        <v>0</v>
      </c>
      <c r="AL410" s="4">
        <v>1.2370829999999999E-3</v>
      </c>
      <c r="AM410" s="4" t="s">
        <v>1120</v>
      </c>
      <c r="AN410" s="4" t="s">
        <v>1114</v>
      </c>
      <c r="AO410" s="4" t="s">
        <v>1387</v>
      </c>
    </row>
    <row r="411" spans="37:41" ht="18.75">
      <c r="AK411" s="4">
        <v>0</v>
      </c>
      <c r="AL411" s="4">
        <v>-7.7139169999999903E-3</v>
      </c>
      <c r="AM411" s="4" t="s">
        <v>1120</v>
      </c>
      <c r="AN411" s="4" t="s">
        <v>1114</v>
      </c>
      <c r="AO411" s="4" t="s">
        <v>1387</v>
      </c>
    </row>
    <row r="412" spans="37:41" ht="18.75">
      <c r="AK412" s="4">
        <v>0.18693100000000001</v>
      </c>
      <c r="AL412" s="4">
        <v>4.5098082999999997E-2</v>
      </c>
      <c r="AM412" s="4" t="s">
        <v>1120</v>
      </c>
      <c r="AN412" s="4" t="s">
        <v>1114</v>
      </c>
      <c r="AO412" s="4" t="s">
        <v>1387</v>
      </c>
    </row>
    <row r="413" spans="37:41" ht="18.75">
      <c r="AK413" s="4">
        <v>0.18693100000000001</v>
      </c>
      <c r="AL413" s="4">
        <v>5.8525082999999999E-2</v>
      </c>
      <c r="AM413" s="4" t="s">
        <v>1120</v>
      </c>
      <c r="AN413" s="4" t="s">
        <v>1114</v>
      </c>
      <c r="AO413" s="4" t="s">
        <v>1387</v>
      </c>
    </row>
    <row r="414" spans="37:41" ht="18.75">
      <c r="AK414" s="4">
        <v>0.64195100000000005</v>
      </c>
      <c r="AL414" s="4">
        <v>0.348843083</v>
      </c>
      <c r="AM414" s="4" t="s">
        <v>1120</v>
      </c>
      <c r="AN414" s="4" t="s">
        <v>1114</v>
      </c>
      <c r="AO414" s="4" t="s">
        <v>1387</v>
      </c>
    </row>
    <row r="415" spans="37:41" ht="18.75">
      <c r="AK415" s="4">
        <v>0.64195100000000005</v>
      </c>
      <c r="AL415" s="4">
        <v>0.44730608300000002</v>
      </c>
      <c r="AM415" s="4" t="s">
        <v>1120</v>
      </c>
      <c r="AN415" s="4" t="s">
        <v>1114</v>
      </c>
      <c r="AO415" s="4" t="s">
        <v>1387</v>
      </c>
    </row>
    <row r="416" spans="37:41" ht="18.75">
      <c r="AK416" s="4">
        <v>2.033865</v>
      </c>
      <c r="AL416" s="4">
        <v>4.9139630829999996</v>
      </c>
      <c r="AM416" s="4" t="s">
        <v>1120</v>
      </c>
      <c r="AN416" s="4" t="s">
        <v>1114</v>
      </c>
      <c r="AO416" s="4" t="s">
        <v>1387</v>
      </c>
    </row>
    <row r="417" spans="37:41" ht="18.75">
      <c r="AK417" s="4">
        <v>2.033865</v>
      </c>
      <c r="AL417" s="4">
        <v>4.543979083</v>
      </c>
      <c r="AM417" s="4" t="s">
        <v>1120</v>
      </c>
      <c r="AN417" s="4" t="s">
        <v>1114</v>
      </c>
      <c r="AO417" s="4" t="s">
        <v>1387</v>
      </c>
    </row>
    <row r="418" spans="37:41" ht="18.75">
      <c r="AK418" s="4">
        <v>5.3323879999999999</v>
      </c>
      <c r="AL418" s="4">
        <v>13.760748082999999</v>
      </c>
      <c r="AM418" s="4" t="s">
        <v>1120</v>
      </c>
      <c r="AN418" s="4" t="s">
        <v>1114</v>
      </c>
      <c r="AO418" s="4" t="s">
        <v>1387</v>
      </c>
    </row>
    <row r="419" spans="37:41" ht="18.75">
      <c r="AK419" s="4">
        <v>5.3323879999999999</v>
      </c>
      <c r="AL419" s="4">
        <v>13.590678083</v>
      </c>
      <c r="AM419" s="4" t="s">
        <v>1120</v>
      </c>
      <c r="AN419" s="4" t="s">
        <v>1114</v>
      </c>
      <c r="AO419" s="4" t="s">
        <v>1387</v>
      </c>
    </row>
    <row r="420" spans="37:41" ht="18.75">
      <c r="AK420" s="4">
        <v>8.5369240000000008</v>
      </c>
      <c r="AL420" s="4">
        <v>17.758958083</v>
      </c>
      <c r="AM420" s="4" t="s">
        <v>1120</v>
      </c>
      <c r="AN420" s="4" t="s">
        <v>1114</v>
      </c>
      <c r="AO420" s="4" t="s">
        <v>1387</v>
      </c>
    </row>
    <row r="421" spans="37:41" ht="18.75">
      <c r="AK421" s="4">
        <v>8.5369240000000008</v>
      </c>
      <c r="AL421" s="4">
        <v>16.446108082999999</v>
      </c>
      <c r="AM421" s="4" t="s">
        <v>1120</v>
      </c>
      <c r="AN421" s="4" t="s">
        <v>1114</v>
      </c>
      <c r="AO421" s="4" t="s">
        <v>1387</v>
      </c>
    </row>
    <row r="422" spans="37:41" ht="18.75">
      <c r="AK422" s="4">
        <v>0.105405</v>
      </c>
      <c r="AL422" s="4">
        <v>2.4895713999999999E-2</v>
      </c>
      <c r="AM422" s="4" t="s">
        <v>1121</v>
      </c>
      <c r="AN422" s="4" t="s">
        <v>1112</v>
      </c>
      <c r="AO422" s="4" t="s">
        <v>1386</v>
      </c>
    </row>
    <row r="423" spans="37:41" ht="18.75">
      <c r="AK423" s="4">
        <v>0.105405</v>
      </c>
      <c r="AL423" s="4">
        <v>2.5706713999999999E-2</v>
      </c>
      <c r="AM423" s="4" t="s">
        <v>1121</v>
      </c>
      <c r="AN423" s="4" t="s">
        <v>1112</v>
      </c>
      <c r="AO423" s="4" t="s">
        <v>1386</v>
      </c>
    </row>
    <row r="424" spans="37:41" ht="18.75">
      <c r="AK424" s="4">
        <v>0.4</v>
      </c>
      <c r="AL424" s="4">
        <v>2.8949714000000001E-2</v>
      </c>
      <c r="AM424" s="4" t="s">
        <v>1121</v>
      </c>
      <c r="AN424" s="4" t="s">
        <v>1112</v>
      </c>
      <c r="AO424" s="4" t="s">
        <v>1386</v>
      </c>
    </row>
    <row r="425" spans="37:41" ht="18.75">
      <c r="AK425" s="4">
        <v>0.4</v>
      </c>
      <c r="AL425" s="4">
        <v>3.1381713999999998E-2</v>
      </c>
      <c r="AM425" s="4" t="s">
        <v>1121</v>
      </c>
      <c r="AN425" s="4" t="s">
        <v>1112</v>
      </c>
      <c r="AO425" s="4" t="s">
        <v>1386</v>
      </c>
    </row>
    <row r="426" spans="37:41" ht="18.75">
      <c r="AK426" s="4">
        <v>1.348649</v>
      </c>
      <c r="AL426" s="4">
        <v>3.7327713999999998E-2</v>
      </c>
      <c r="AM426" s="4" t="s">
        <v>1121</v>
      </c>
      <c r="AN426" s="4" t="s">
        <v>1112</v>
      </c>
      <c r="AO426" s="4" t="s">
        <v>1386</v>
      </c>
    </row>
    <row r="427" spans="37:41" ht="18.75">
      <c r="AK427" s="4">
        <v>1.348649</v>
      </c>
      <c r="AL427" s="4">
        <v>3.8408713999999997E-2</v>
      </c>
      <c r="AM427" s="4" t="s">
        <v>1121</v>
      </c>
      <c r="AN427" s="4" t="s">
        <v>1112</v>
      </c>
      <c r="AO427" s="4" t="s">
        <v>1386</v>
      </c>
    </row>
    <row r="428" spans="37:41" ht="18.75">
      <c r="AK428" s="4">
        <v>3.852703</v>
      </c>
      <c r="AL428" s="4">
        <v>0.13435471399999999</v>
      </c>
      <c r="AM428" s="4" t="s">
        <v>1121</v>
      </c>
      <c r="AN428" s="4" t="s">
        <v>1112</v>
      </c>
      <c r="AO428" s="4" t="s">
        <v>1386</v>
      </c>
    </row>
    <row r="429" spans="37:41" ht="18.75">
      <c r="AK429" s="4">
        <v>3.852703</v>
      </c>
      <c r="AL429" s="4">
        <v>0.13003071399999999</v>
      </c>
      <c r="AM429" s="4" t="s">
        <v>1121</v>
      </c>
      <c r="AN429" s="4" t="s">
        <v>1112</v>
      </c>
      <c r="AO429" s="4" t="s">
        <v>1386</v>
      </c>
    </row>
    <row r="430" spans="37:41" ht="18.75">
      <c r="AK430" s="4">
        <v>7.401351</v>
      </c>
      <c r="AL430" s="4">
        <v>0.82678771399999995</v>
      </c>
      <c r="AM430" s="4" t="s">
        <v>1121</v>
      </c>
      <c r="AN430" s="4" t="s">
        <v>1112</v>
      </c>
      <c r="AO430" s="4" t="s">
        <v>1386</v>
      </c>
    </row>
    <row r="431" spans="37:41" ht="18.75">
      <c r="AK431" s="4">
        <v>7.401351</v>
      </c>
      <c r="AL431" s="4">
        <v>0.84840871399999995</v>
      </c>
      <c r="AM431" s="4" t="s">
        <v>1121</v>
      </c>
      <c r="AN431" s="4" t="s">
        <v>1112</v>
      </c>
      <c r="AO431" s="4" t="s">
        <v>1386</v>
      </c>
    </row>
    <row r="432" spans="37:41" ht="18.75">
      <c r="AK432" s="4">
        <v>0.4</v>
      </c>
      <c r="AL432" s="4">
        <v>2.8361714E-2</v>
      </c>
      <c r="AM432" s="4" t="s">
        <v>1121</v>
      </c>
      <c r="AN432" s="4" t="s">
        <v>1112</v>
      </c>
      <c r="AO432" s="4" t="s">
        <v>1386</v>
      </c>
    </row>
    <row r="433" spans="37:41" ht="18.75">
      <c r="AK433" s="4">
        <v>0.4</v>
      </c>
      <c r="AL433" s="4">
        <v>2.4493714E-2</v>
      </c>
      <c r="AM433" s="4" t="s">
        <v>1121</v>
      </c>
      <c r="AN433" s="4" t="s">
        <v>1112</v>
      </c>
      <c r="AO433" s="4" t="s">
        <v>1386</v>
      </c>
    </row>
    <row r="434" spans="37:41" ht="18.75">
      <c r="AK434" s="4">
        <v>1.348649</v>
      </c>
      <c r="AL434" s="4">
        <v>4.0560713999999998E-2</v>
      </c>
      <c r="AM434" s="4" t="s">
        <v>1121</v>
      </c>
      <c r="AN434" s="4" t="s">
        <v>1112</v>
      </c>
      <c r="AO434" s="4" t="s">
        <v>1386</v>
      </c>
    </row>
    <row r="435" spans="37:41" ht="18.75">
      <c r="AK435" s="4">
        <v>1.348649</v>
      </c>
      <c r="AL435" s="4">
        <v>4.7403714E-2</v>
      </c>
      <c r="AM435" s="4" t="s">
        <v>1121</v>
      </c>
      <c r="AN435" s="4" t="s">
        <v>1112</v>
      </c>
      <c r="AO435" s="4" t="s">
        <v>1386</v>
      </c>
    </row>
    <row r="436" spans="37:41" ht="18.75">
      <c r="AK436" s="4">
        <v>3.852703</v>
      </c>
      <c r="AL436" s="4">
        <v>0.19735871399999999</v>
      </c>
      <c r="AM436" s="4" t="s">
        <v>1121</v>
      </c>
      <c r="AN436" s="4" t="s">
        <v>1112</v>
      </c>
      <c r="AO436" s="4" t="s">
        <v>1386</v>
      </c>
    </row>
    <row r="437" spans="37:41" ht="18.75">
      <c r="AK437" s="4">
        <v>3.852703</v>
      </c>
      <c r="AL437" s="4">
        <v>0.20628471400000001</v>
      </c>
      <c r="AM437" s="4" t="s">
        <v>1121</v>
      </c>
      <c r="AN437" s="4" t="s">
        <v>1112</v>
      </c>
      <c r="AO437" s="4" t="s">
        <v>1386</v>
      </c>
    </row>
    <row r="438" spans="37:41" ht="18.75">
      <c r="AK438" s="4">
        <v>7.401351</v>
      </c>
      <c r="AL438" s="4">
        <v>0.70018571399999996</v>
      </c>
      <c r="AM438" s="4" t="s">
        <v>1121</v>
      </c>
      <c r="AN438" s="4" t="s">
        <v>1112</v>
      </c>
      <c r="AO438" s="4" t="s">
        <v>1386</v>
      </c>
    </row>
    <row r="439" spans="37:41" ht="18.75">
      <c r="AK439" s="4">
        <v>7.401351</v>
      </c>
      <c r="AL439" s="4">
        <v>0.67638271400000005</v>
      </c>
      <c r="AM439" s="4" t="s">
        <v>1121</v>
      </c>
      <c r="AN439" s="4" t="s">
        <v>1112</v>
      </c>
      <c r="AO439" s="4" t="s">
        <v>1386</v>
      </c>
    </row>
    <row r="440" spans="37:41" ht="18.75">
      <c r="AK440" s="4">
        <v>0</v>
      </c>
      <c r="AL440" s="4">
        <v>2.0776714000000002E-2</v>
      </c>
      <c r="AM440" s="4" t="s">
        <v>1121</v>
      </c>
      <c r="AN440" s="4" t="s">
        <v>1112</v>
      </c>
      <c r="AO440" s="4" t="s">
        <v>1386</v>
      </c>
    </row>
    <row r="441" spans="37:41" ht="18.75">
      <c r="AK441" s="4">
        <v>0.18693100000000001</v>
      </c>
      <c r="AL441" s="4">
        <v>3.0324713999999999E-2</v>
      </c>
      <c r="AM441" s="4" t="s">
        <v>1121</v>
      </c>
      <c r="AN441" s="4" t="s">
        <v>1112</v>
      </c>
      <c r="AO441" s="4" t="s">
        <v>1386</v>
      </c>
    </row>
    <row r="442" spans="37:41" ht="18.75">
      <c r="AK442" s="4">
        <v>0.18693100000000001</v>
      </c>
      <c r="AL442" s="4">
        <v>3.1517714000000002E-2</v>
      </c>
      <c r="AM442" s="4" t="s">
        <v>1121</v>
      </c>
      <c r="AN442" s="4" t="s">
        <v>1112</v>
      </c>
      <c r="AO442" s="4" t="s">
        <v>1386</v>
      </c>
    </row>
    <row r="443" spans="37:41" ht="18.75">
      <c r="AK443" s="4">
        <v>0.64195100000000005</v>
      </c>
      <c r="AL443" s="4">
        <v>3.2711714000000003E-2</v>
      </c>
      <c r="AM443" s="4" t="s">
        <v>1121</v>
      </c>
      <c r="AN443" s="4" t="s">
        <v>1112</v>
      </c>
      <c r="AO443" s="4" t="s">
        <v>1386</v>
      </c>
    </row>
    <row r="444" spans="37:41" ht="18.75">
      <c r="AK444" s="4">
        <v>0.64195100000000005</v>
      </c>
      <c r="AL444" s="4">
        <v>3.2711714000000003E-2</v>
      </c>
      <c r="AM444" s="4" t="s">
        <v>1121</v>
      </c>
      <c r="AN444" s="4" t="s">
        <v>1112</v>
      </c>
      <c r="AO444" s="4" t="s">
        <v>1386</v>
      </c>
    </row>
    <row r="445" spans="37:41" ht="18.75">
      <c r="AK445" s="4">
        <v>2.033865</v>
      </c>
      <c r="AL445" s="4">
        <v>6.2548713999999894E-2</v>
      </c>
      <c r="AM445" s="4" t="s">
        <v>1121</v>
      </c>
      <c r="AN445" s="4" t="s">
        <v>1112</v>
      </c>
      <c r="AO445" s="4" t="s">
        <v>1386</v>
      </c>
    </row>
    <row r="446" spans="37:41" ht="18.75">
      <c r="AK446" s="4">
        <v>2.033865</v>
      </c>
      <c r="AL446" s="4">
        <v>5.8073713999999999E-2</v>
      </c>
      <c r="AM446" s="4" t="s">
        <v>1121</v>
      </c>
      <c r="AN446" s="4" t="s">
        <v>1112</v>
      </c>
      <c r="AO446" s="4" t="s">
        <v>1386</v>
      </c>
    </row>
    <row r="447" spans="37:41" ht="18.75">
      <c r="AK447" s="4">
        <v>5.3323879999999999</v>
      </c>
      <c r="AL447" s="4">
        <v>0.241274714</v>
      </c>
      <c r="AM447" s="4" t="s">
        <v>1121</v>
      </c>
      <c r="AN447" s="4" t="s">
        <v>1112</v>
      </c>
      <c r="AO447" s="4" t="s">
        <v>1386</v>
      </c>
    </row>
    <row r="448" spans="37:41" ht="18.75">
      <c r="AK448" s="4">
        <v>5.3323879999999999</v>
      </c>
      <c r="AL448" s="4">
        <v>0.25619371400000002</v>
      </c>
      <c r="AM448" s="4" t="s">
        <v>1121</v>
      </c>
      <c r="AN448" s="4" t="s">
        <v>1112</v>
      </c>
      <c r="AO448" s="4" t="s">
        <v>1386</v>
      </c>
    </row>
    <row r="449" spans="37:41" ht="18.75">
      <c r="AK449" s="4">
        <v>8.5369240000000008</v>
      </c>
      <c r="AL449" s="4">
        <v>0.74851071400000002</v>
      </c>
      <c r="AM449" s="4" t="s">
        <v>1121</v>
      </c>
      <c r="AN449" s="4" t="s">
        <v>1112</v>
      </c>
      <c r="AO449" s="4" t="s">
        <v>1386</v>
      </c>
    </row>
    <row r="450" spans="37:41" ht="18.75">
      <c r="AK450" s="4">
        <v>8.5369240000000008</v>
      </c>
      <c r="AL450" s="4">
        <v>0.784315714</v>
      </c>
      <c r="AM450" s="4" t="s">
        <v>1121</v>
      </c>
      <c r="AN450" s="4" t="s">
        <v>1112</v>
      </c>
      <c r="AO450" s="4" t="s">
        <v>1386</v>
      </c>
    </row>
    <row r="451" spans="37:41" ht="18.75">
      <c r="AK451" s="4">
        <v>0.01</v>
      </c>
      <c r="AL451" s="4">
        <v>0.03</v>
      </c>
      <c r="AM451" s="4" t="s">
        <v>1121</v>
      </c>
      <c r="AN451" s="4" t="s">
        <v>1112</v>
      </c>
      <c r="AO451" s="4" t="s">
        <v>1386</v>
      </c>
    </row>
    <row r="452" spans="37:41" ht="18.75">
      <c r="AK452" s="4">
        <v>0.01</v>
      </c>
      <c r="AL452" s="4">
        <v>0.03</v>
      </c>
      <c r="AM452" s="4" t="s">
        <v>1121</v>
      </c>
      <c r="AN452" s="4" t="s">
        <v>1112</v>
      </c>
      <c r="AO452" s="4" t="s">
        <v>1386</v>
      </c>
    </row>
    <row r="453" spans="37:41" ht="18.75">
      <c r="AK453" s="4">
        <v>0.01</v>
      </c>
      <c r="AL453" s="4">
        <v>0.03</v>
      </c>
      <c r="AM453" s="4" t="s">
        <v>1121</v>
      </c>
      <c r="AN453" s="4" t="s">
        <v>1112</v>
      </c>
      <c r="AO453" s="4" t="s">
        <v>1386</v>
      </c>
    </row>
    <row r="454" spans="37:41" ht="18.75">
      <c r="AK454" s="4">
        <v>0.01</v>
      </c>
      <c r="AL454" s="4">
        <v>0.03</v>
      </c>
      <c r="AM454" s="4" t="s">
        <v>1121</v>
      </c>
      <c r="AN454" s="4" t="s">
        <v>1112</v>
      </c>
      <c r="AO454" s="4" t="s">
        <v>1386</v>
      </c>
    </row>
    <row r="455" spans="37:41" ht="18.75">
      <c r="AK455" s="4">
        <v>0.105405</v>
      </c>
      <c r="AL455" s="4">
        <v>0.16194971399999999</v>
      </c>
      <c r="AM455" s="4" t="s">
        <v>1121</v>
      </c>
      <c r="AN455" s="4" t="s">
        <v>1114</v>
      </c>
      <c r="AO455" s="4" t="s">
        <v>1386</v>
      </c>
    </row>
    <row r="456" spans="37:41" ht="18.75">
      <c r="AK456" s="4">
        <v>0.105405</v>
      </c>
      <c r="AL456" s="4">
        <v>0.15924671400000001</v>
      </c>
      <c r="AM456" s="4" t="s">
        <v>1121</v>
      </c>
      <c r="AN456" s="4" t="s">
        <v>1114</v>
      </c>
      <c r="AO456" s="4" t="s">
        <v>1386</v>
      </c>
    </row>
    <row r="457" spans="37:41" ht="18.75">
      <c r="AK457" s="4">
        <v>0.4</v>
      </c>
      <c r="AL457" s="4">
        <v>1.494381714</v>
      </c>
      <c r="AM457" s="4" t="s">
        <v>1121</v>
      </c>
      <c r="AN457" s="4" t="s">
        <v>1114</v>
      </c>
      <c r="AO457" s="4" t="s">
        <v>1386</v>
      </c>
    </row>
    <row r="458" spans="37:41" ht="18.75">
      <c r="AK458" s="4">
        <v>0.4</v>
      </c>
      <c r="AL458" s="4">
        <v>1.397084714</v>
      </c>
      <c r="AM458" s="4" t="s">
        <v>1121</v>
      </c>
      <c r="AN458" s="4" t="s">
        <v>1114</v>
      </c>
      <c r="AO458" s="4" t="s">
        <v>1386</v>
      </c>
    </row>
    <row r="459" spans="37:41" ht="18.75">
      <c r="AK459" s="4">
        <v>1.348649</v>
      </c>
      <c r="AL459" s="4">
        <v>6.2916797139999998</v>
      </c>
      <c r="AM459" s="4" t="s">
        <v>1121</v>
      </c>
      <c r="AN459" s="4" t="s">
        <v>1114</v>
      </c>
      <c r="AO459" s="4" t="s">
        <v>1386</v>
      </c>
    </row>
    <row r="460" spans="37:41" ht="18.75">
      <c r="AK460" s="4">
        <v>1.348649</v>
      </c>
      <c r="AL460" s="4">
        <v>5.7835717139999998</v>
      </c>
      <c r="AM460" s="4" t="s">
        <v>1121</v>
      </c>
      <c r="AN460" s="4" t="s">
        <v>1114</v>
      </c>
      <c r="AO460" s="4" t="s">
        <v>1386</v>
      </c>
    </row>
    <row r="461" spans="37:41" ht="18.75">
      <c r="AK461" s="4">
        <v>3.852703</v>
      </c>
      <c r="AL461" s="4">
        <v>12.694380713999999</v>
      </c>
      <c r="AM461" s="4" t="s">
        <v>1121</v>
      </c>
      <c r="AN461" s="4" t="s">
        <v>1114</v>
      </c>
      <c r="AO461" s="4" t="s">
        <v>1386</v>
      </c>
    </row>
    <row r="462" spans="37:41" ht="18.75">
      <c r="AK462" s="4">
        <v>3.852703</v>
      </c>
      <c r="AL462" s="4">
        <v>12.194380713999999</v>
      </c>
      <c r="AM462" s="4" t="s">
        <v>1121</v>
      </c>
      <c r="AN462" s="4" t="s">
        <v>1114</v>
      </c>
      <c r="AO462" s="4" t="s">
        <v>1386</v>
      </c>
    </row>
    <row r="463" spans="37:41" ht="18.75">
      <c r="AK463" s="4">
        <v>7.401351</v>
      </c>
      <c r="AL463" s="4">
        <v>17.964650714000001</v>
      </c>
      <c r="AM463" s="4" t="s">
        <v>1121</v>
      </c>
      <c r="AN463" s="4" t="s">
        <v>1114</v>
      </c>
      <c r="AO463" s="4" t="s">
        <v>1386</v>
      </c>
    </row>
    <row r="464" spans="37:41" ht="18.75">
      <c r="AK464" s="4">
        <v>7.401351</v>
      </c>
      <c r="AL464" s="4">
        <v>18.924110714000001</v>
      </c>
      <c r="AM464" s="4" t="s">
        <v>1121</v>
      </c>
      <c r="AN464" s="4" t="s">
        <v>1114</v>
      </c>
      <c r="AO464" s="4" t="s">
        <v>1386</v>
      </c>
    </row>
    <row r="465" spans="37:41" ht="18.75">
      <c r="AK465" s="4">
        <v>0.4</v>
      </c>
      <c r="AL465" s="4">
        <v>1.6609867140000001</v>
      </c>
      <c r="AM465" s="4" t="s">
        <v>1121</v>
      </c>
      <c r="AN465" s="4" t="s">
        <v>1114</v>
      </c>
      <c r="AO465" s="4" t="s">
        <v>1386</v>
      </c>
    </row>
    <row r="466" spans="37:41" ht="18.75">
      <c r="AK466" s="4">
        <v>0.4</v>
      </c>
      <c r="AL466" s="4">
        <v>1.7502457140000001</v>
      </c>
      <c r="AM466" s="4" t="s">
        <v>1121</v>
      </c>
      <c r="AN466" s="4" t="s">
        <v>1114</v>
      </c>
      <c r="AO466" s="4" t="s">
        <v>1386</v>
      </c>
    </row>
    <row r="467" spans="37:41" ht="18.75">
      <c r="AK467" s="4">
        <v>1.348649</v>
      </c>
      <c r="AL467" s="4">
        <v>6.5999927139999999</v>
      </c>
      <c r="AM467" s="4" t="s">
        <v>1121</v>
      </c>
      <c r="AN467" s="4" t="s">
        <v>1114</v>
      </c>
      <c r="AO467" s="4" t="s">
        <v>1386</v>
      </c>
    </row>
    <row r="468" spans="37:41" ht="18.75">
      <c r="AK468" s="4">
        <v>1.348649</v>
      </c>
      <c r="AL468" s="4">
        <v>6.8499187139999904</v>
      </c>
      <c r="AM468" s="4" t="s">
        <v>1121</v>
      </c>
      <c r="AN468" s="4" t="s">
        <v>1114</v>
      </c>
      <c r="AO468" s="4" t="s">
        <v>1386</v>
      </c>
    </row>
    <row r="469" spans="37:41" ht="18.75">
      <c r="AK469" s="4">
        <v>3.852703</v>
      </c>
      <c r="AL469" s="4">
        <v>14.552980714</v>
      </c>
      <c r="AM469" s="4" t="s">
        <v>1121</v>
      </c>
      <c r="AN469" s="4" t="s">
        <v>1114</v>
      </c>
      <c r="AO469" s="4" t="s">
        <v>1386</v>
      </c>
    </row>
    <row r="470" spans="37:41" ht="18.75">
      <c r="AK470" s="4">
        <v>3.852703</v>
      </c>
      <c r="AL470" s="4">
        <v>13.434270714</v>
      </c>
      <c r="AM470" s="4" t="s">
        <v>1121</v>
      </c>
      <c r="AN470" s="4" t="s">
        <v>1114</v>
      </c>
      <c r="AO470" s="4" t="s">
        <v>1386</v>
      </c>
    </row>
    <row r="471" spans="37:41" ht="18.75">
      <c r="AK471" s="4">
        <v>7.401351</v>
      </c>
      <c r="AL471" s="4">
        <v>16.406600714</v>
      </c>
      <c r="AM471" s="4" t="s">
        <v>1121</v>
      </c>
      <c r="AN471" s="4" t="s">
        <v>1114</v>
      </c>
      <c r="AO471" s="4" t="s">
        <v>1386</v>
      </c>
    </row>
    <row r="472" spans="37:41" ht="18.75">
      <c r="AK472" s="4">
        <v>7.401351</v>
      </c>
      <c r="AL472" s="4">
        <v>15.814510713999899</v>
      </c>
      <c r="AM472" s="4" t="s">
        <v>1121</v>
      </c>
      <c r="AN472" s="4" t="s">
        <v>1114</v>
      </c>
      <c r="AO472" s="4" t="s">
        <v>1386</v>
      </c>
    </row>
    <row r="473" spans="37:41" ht="18.75">
      <c r="AK473" s="4">
        <v>0</v>
      </c>
      <c r="AL473" s="4">
        <v>1.235714E-3</v>
      </c>
      <c r="AM473" s="4" t="s">
        <v>1121</v>
      </c>
      <c r="AN473" s="4" t="s">
        <v>1114</v>
      </c>
      <c r="AO473" s="4" t="s">
        <v>1386</v>
      </c>
    </row>
    <row r="474" spans="37:41" ht="18.75">
      <c r="AK474" s="4">
        <v>0.18693100000000001</v>
      </c>
      <c r="AL474" s="4">
        <v>0.22322571399999999</v>
      </c>
      <c r="AM474" s="4" t="s">
        <v>1121</v>
      </c>
      <c r="AN474" s="4" t="s">
        <v>1114</v>
      </c>
      <c r="AO474" s="4" t="s">
        <v>1386</v>
      </c>
    </row>
    <row r="475" spans="37:41" ht="18.75">
      <c r="AK475" s="4">
        <v>0.18693100000000001</v>
      </c>
      <c r="AL475" s="4">
        <v>0.24709571399999999</v>
      </c>
      <c r="AM475" s="4" t="s">
        <v>1121</v>
      </c>
      <c r="AN475" s="4" t="s">
        <v>1114</v>
      </c>
      <c r="AO475" s="4" t="s">
        <v>1386</v>
      </c>
    </row>
    <row r="476" spans="37:41" ht="18.75">
      <c r="AK476" s="4">
        <v>0.64195100000000005</v>
      </c>
      <c r="AL476" s="4">
        <v>1.876217714</v>
      </c>
      <c r="AM476" s="4" t="s">
        <v>1121</v>
      </c>
      <c r="AN476" s="4" t="s">
        <v>1114</v>
      </c>
      <c r="AO476" s="4" t="s">
        <v>1386</v>
      </c>
    </row>
    <row r="477" spans="37:41" ht="18.75">
      <c r="AK477" s="4">
        <v>0.64195100000000005</v>
      </c>
      <c r="AL477" s="4">
        <v>1.858314714</v>
      </c>
      <c r="AM477" s="4" t="s">
        <v>1121</v>
      </c>
      <c r="AN477" s="4" t="s">
        <v>1114</v>
      </c>
      <c r="AO477" s="4" t="s">
        <v>1386</v>
      </c>
    </row>
    <row r="478" spans="37:41" ht="18.75">
      <c r="AK478" s="4">
        <v>2.033865</v>
      </c>
      <c r="AL478" s="4">
        <v>7.3424267139999904</v>
      </c>
      <c r="AM478" s="4" t="s">
        <v>1121</v>
      </c>
      <c r="AN478" s="4" t="s">
        <v>1114</v>
      </c>
      <c r="AO478" s="4" t="s">
        <v>1386</v>
      </c>
    </row>
    <row r="479" spans="37:41" ht="18.75">
      <c r="AK479" s="4">
        <v>2.033865</v>
      </c>
      <c r="AL479" s="4">
        <v>7.184288714</v>
      </c>
      <c r="AM479" s="4" t="s">
        <v>1121</v>
      </c>
      <c r="AN479" s="4" t="s">
        <v>1114</v>
      </c>
      <c r="AO479" s="4" t="s">
        <v>1386</v>
      </c>
    </row>
    <row r="480" spans="37:41" ht="18.75">
      <c r="AK480" s="4">
        <v>5.3323879999999999</v>
      </c>
      <c r="AL480" s="4">
        <v>12.916050713999899</v>
      </c>
      <c r="AM480" s="4" t="s">
        <v>1121</v>
      </c>
      <c r="AN480" s="4" t="s">
        <v>1114</v>
      </c>
      <c r="AO480" s="4" t="s">
        <v>1386</v>
      </c>
    </row>
    <row r="481" spans="37:41" ht="18.75">
      <c r="AK481" s="4">
        <v>5.3323879999999999</v>
      </c>
      <c r="AL481" s="4">
        <v>12.954840713999999</v>
      </c>
      <c r="AM481" s="4" t="s">
        <v>1121</v>
      </c>
      <c r="AN481" s="4" t="s">
        <v>1114</v>
      </c>
      <c r="AO481" s="4" t="s">
        <v>1386</v>
      </c>
    </row>
    <row r="482" spans="37:41" ht="18.75">
      <c r="AK482" s="4">
        <v>8.5369240000000008</v>
      </c>
      <c r="AL482" s="4">
        <v>15.771490714</v>
      </c>
      <c r="AM482" s="4" t="s">
        <v>1121</v>
      </c>
      <c r="AN482" s="4" t="s">
        <v>1114</v>
      </c>
      <c r="AO482" s="4" t="s">
        <v>1386</v>
      </c>
    </row>
    <row r="483" spans="37:41" ht="18.75">
      <c r="AK483" s="4">
        <v>8.5369240000000008</v>
      </c>
      <c r="AL483" s="4">
        <v>16.213080714</v>
      </c>
      <c r="AM483" s="4" t="s">
        <v>1121</v>
      </c>
      <c r="AN483" s="4" t="s">
        <v>1114</v>
      </c>
      <c r="AO483" s="4" t="s">
        <v>1386</v>
      </c>
    </row>
    <row r="484" spans="37:41" ht="18.75">
      <c r="AK484" s="4">
        <v>0.01</v>
      </c>
      <c r="AL484" s="4">
        <v>3.0000000000000001E-3</v>
      </c>
      <c r="AM484" s="4" t="s">
        <v>1121</v>
      </c>
      <c r="AN484" s="4" t="s">
        <v>1114</v>
      </c>
      <c r="AO484" s="4" t="s">
        <v>1386</v>
      </c>
    </row>
    <row r="485" spans="37:41" ht="18.75">
      <c r="AK485" s="4">
        <v>0.01</v>
      </c>
      <c r="AL485" s="4">
        <v>3.0000000000000001E-3</v>
      </c>
      <c r="AM485" s="4" t="s">
        <v>1121</v>
      </c>
      <c r="AN485" s="4" t="s">
        <v>1114</v>
      </c>
      <c r="AO485" s="4" t="s">
        <v>1386</v>
      </c>
    </row>
    <row r="486" spans="37:41" ht="18.75">
      <c r="AK486" s="4">
        <v>0.01</v>
      </c>
      <c r="AL486" s="4">
        <v>3.0000000000000001E-3</v>
      </c>
      <c r="AM486" s="4" t="s">
        <v>1121</v>
      </c>
      <c r="AN486" s="4" t="s">
        <v>1114</v>
      </c>
      <c r="AO486" s="4" t="s">
        <v>1386</v>
      </c>
    </row>
    <row r="487" spans="37:41" ht="18.75">
      <c r="AK487" s="4">
        <v>0.01</v>
      </c>
      <c r="AL487" s="4">
        <v>3.0000000000000001E-3</v>
      </c>
      <c r="AM487" s="4" t="s">
        <v>1121</v>
      </c>
      <c r="AN487" s="4" t="s">
        <v>1114</v>
      </c>
      <c r="AO487" s="4" t="s">
        <v>1386</v>
      </c>
    </row>
    <row r="488" spans="37:41" ht="18.75">
      <c r="AK488" s="4">
        <v>0</v>
      </c>
      <c r="AL488" s="4">
        <v>1.384525E-2</v>
      </c>
      <c r="AM488" s="4" t="s">
        <v>1122</v>
      </c>
      <c r="AN488" s="4" t="s">
        <v>1112</v>
      </c>
      <c r="AO488" s="4" t="s">
        <v>1389</v>
      </c>
    </row>
    <row r="489" spans="37:41" ht="18.75">
      <c r="AK489" s="4">
        <v>0</v>
      </c>
      <c r="AL489" s="4">
        <v>2.9791249999999901E-2</v>
      </c>
      <c r="AM489" s="4" t="s">
        <v>1122</v>
      </c>
      <c r="AN489" s="4" t="s">
        <v>1112</v>
      </c>
      <c r="AO489" s="4" t="s">
        <v>1389</v>
      </c>
    </row>
    <row r="490" spans="37:41" ht="18.75">
      <c r="AK490" s="4">
        <v>0.105405</v>
      </c>
      <c r="AL490" s="4">
        <v>3.6278249999999998E-2</v>
      </c>
      <c r="AM490" s="4" t="s">
        <v>1122</v>
      </c>
      <c r="AN490" s="4" t="s">
        <v>1112</v>
      </c>
      <c r="AO490" s="4" t="s">
        <v>1389</v>
      </c>
    </row>
    <row r="491" spans="37:41" ht="18.75">
      <c r="AK491" s="4">
        <v>0.105406</v>
      </c>
      <c r="AL491" s="4">
        <v>3.7899249999999898E-2</v>
      </c>
      <c r="AM491" s="4" t="s">
        <v>1122</v>
      </c>
      <c r="AN491" s="4" t="s">
        <v>1112</v>
      </c>
      <c r="AO491" s="4" t="s">
        <v>1389</v>
      </c>
    </row>
    <row r="492" spans="37:41" ht="18.75">
      <c r="AK492" s="4">
        <v>0.4</v>
      </c>
      <c r="AL492" s="4">
        <v>4.033225E-2</v>
      </c>
      <c r="AM492" s="4" t="s">
        <v>1122</v>
      </c>
      <c r="AN492" s="4" t="s">
        <v>1112</v>
      </c>
      <c r="AO492" s="4" t="s">
        <v>1389</v>
      </c>
    </row>
    <row r="493" spans="37:41" ht="18.75">
      <c r="AK493" s="4">
        <v>0.5</v>
      </c>
      <c r="AL493" s="4">
        <v>4.033225E-2</v>
      </c>
      <c r="AM493" s="4" t="s">
        <v>1122</v>
      </c>
      <c r="AN493" s="4" t="s">
        <v>1112</v>
      </c>
      <c r="AO493" s="4" t="s">
        <v>1389</v>
      </c>
    </row>
    <row r="494" spans="37:41" ht="18.75">
      <c r="AK494" s="4">
        <v>1.348649</v>
      </c>
      <c r="AL494" s="4">
        <v>3.7899249999999898E-2</v>
      </c>
      <c r="AM494" s="4" t="s">
        <v>1122</v>
      </c>
      <c r="AN494" s="4" t="s">
        <v>1112</v>
      </c>
      <c r="AO494" s="4" t="s">
        <v>1389</v>
      </c>
    </row>
    <row r="495" spans="37:41" ht="18.75">
      <c r="AK495" s="4">
        <v>1.3486499999999999</v>
      </c>
      <c r="AL495" s="4">
        <v>3.7359249999999997E-2</v>
      </c>
      <c r="AM495" s="4" t="s">
        <v>1122</v>
      </c>
      <c r="AN495" s="4" t="s">
        <v>1112</v>
      </c>
      <c r="AO495" s="4" t="s">
        <v>1389</v>
      </c>
    </row>
    <row r="496" spans="37:41" ht="18.75">
      <c r="AK496" s="4">
        <v>3.852703</v>
      </c>
      <c r="AL496" s="4">
        <v>6.1683249999999898E-2</v>
      </c>
      <c r="AM496" s="4" t="s">
        <v>1122</v>
      </c>
      <c r="AN496" s="4" t="s">
        <v>1112</v>
      </c>
      <c r="AO496" s="4" t="s">
        <v>1389</v>
      </c>
    </row>
    <row r="497" spans="37:41" ht="18.75">
      <c r="AK497" s="4">
        <v>3.8527040000000001</v>
      </c>
      <c r="AL497" s="4">
        <v>6.5467249999999894E-2</v>
      </c>
      <c r="AM497" s="4" t="s">
        <v>1122</v>
      </c>
      <c r="AN497" s="4" t="s">
        <v>1112</v>
      </c>
      <c r="AO497" s="4" t="s">
        <v>1389</v>
      </c>
    </row>
    <row r="498" spans="37:41" ht="18.75">
      <c r="AK498" s="4">
        <v>7.401351</v>
      </c>
      <c r="AL498" s="4">
        <v>0.18573724999999999</v>
      </c>
      <c r="AM498" s="4" t="s">
        <v>1122</v>
      </c>
      <c r="AN498" s="4" t="s">
        <v>1112</v>
      </c>
      <c r="AO498" s="4" t="s">
        <v>1389</v>
      </c>
    </row>
    <row r="499" spans="37:41" ht="18.75">
      <c r="AK499" s="4">
        <v>7.4013520000000002</v>
      </c>
      <c r="AL499" s="4">
        <v>0.16681825</v>
      </c>
      <c r="AM499" s="4" t="s">
        <v>1122</v>
      </c>
      <c r="AN499" s="4" t="s">
        <v>1112</v>
      </c>
      <c r="AO499" s="4" t="s">
        <v>1389</v>
      </c>
    </row>
    <row r="500" spans="37:41" ht="18.75">
      <c r="AK500" s="4">
        <v>0</v>
      </c>
      <c r="AL500" s="4">
        <v>3.999925E-2</v>
      </c>
      <c r="AM500" s="4" t="s">
        <v>1122</v>
      </c>
      <c r="AN500" s="4" t="s">
        <v>1112</v>
      </c>
      <c r="AO500" s="4" t="s">
        <v>1389</v>
      </c>
    </row>
    <row r="501" spans="37:41" ht="18.75">
      <c r="AK501" s="4">
        <v>0</v>
      </c>
      <c r="AL501" s="4">
        <v>4.0594249999999998E-2</v>
      </c>
      <c r="AM501" s="4" t="s">
        <v>1122</v>
      </c>
      <c r="AN501" s="4" t="s">
        <v>1112</v>
      </c>
      <c r="AO501" s="4" t="s">
        <v>1389</v>
      </c>
    </row>
    <row r="502" spans="37:41" ht="18.75">
      <c r="AK502" s="4">
        <v>0.105405</v>
      </c>
      <c r="AL502" s="4">
        <v>4.6842249999999898E-2</v>
      </c>
      <c r="AM502" s="4" t="s">
        <v>1122</v>
      </c>
      <c r="AN502" s="4" t="s">
        <v>1112</v>
      </c>
      <c r="AO502" s="4" t="s">
        <v>1389</v>
      </c>
    </row>
    <row r="503" spans="37:41" ht="18.75">
      <c r="AK503" s="4">
        <v>0.105406</v>
      </c>
      <c r="AL503" s="4">
        <v>4.8627249999999997E-2</v>
      </c>
      <c r="AM503" s="4" t="s">
        <v>1122</v>
      </c>
      <c r="AN503" s="4" t="s">
        <v>1112</v>
      </c>
      <c r="AO503" s="4" t="s">
        <v>1389</v>
      </c>
    </row>
    <row r="504" spans="37:41" ht="18.75">
      <c r="AK504" s="4">
        <v>0.4</v>
      </c>
      <c r="AL504" s="4">
        <v>4.4462249999999898E-2</v>
      </c>
      <c r="AM504" s="4" t="s">
        <v>1122</v>
      </c>
      <c r="AN504" s="4" t="s">
        <v>1112</v>
      </c>
      <c r="AO504" s="4" t="s">
        <v>1389</v>
      </c>
    </row>
    <row r="505" spans="37:41" ht="18.75">
      <c r="AK505" s="4">
        <v>0.5</v>
      </c>
      <c r="AL505" s="4">
        <v>3.7619249999999903E-2</v>
      </c>
      <c r="AM505" s="4" t="s">
        <v>1122</v>
      </c>
      <c r="AN505" s="4" t="s">
        <v>1112</v>
      </c>
      <c r="AO505" s="4" t="s">
        <v>1389</v>
      </c>
    </row>
    <row r="506" spans="37:41" ht="18.75">
      <c r="AK506" s="4">
        <v>1.348649</v>
      </c>
      <c r="AL506" s="4">
        <v>5.0413249999999903E-2</v>
      </c>
      <c r="AM506" s="4" t="s">
        <v>1122</v>
      </c>
      <c r="AN506" s="4" t="s">
        <v>1112</v>
      </c>
      <c r="AO506" s="4" t="s">
        <v>1389</v>
      </c>
    </row>
    <row r="507" spans="37:41" ht="18.75">
      <c r="AK507" s="4">
        <v>1.3486499999999999</v>
      </c>
      <c r="AL507" s="4">
        <v>4.743725E-2</v>
      </c>
      <c r="AM507" s="4" t="s">
        <v>1122</v>
      </c>
      <c r="AN507" s="4" t="s">
        <v>1112</v>
      </c>
      <c r="AO507" s="4" t="s">
        <v>1389</v>
      </c>
    </row>
    <row r="508" spans="37:41" ht="18.75">
      <c r="AK508" s="4">
        <v>3.852703</v>
      </c>
      <c r="AL508" s="4">
        <v>9.0282249999999994E-2</v>
      </c>
      <c r="AM508" s="4" t="s">
        <v>1122</v>
      </c>
      <c r="AN508" s="4" t="s">
        <v>1112</v>
      </c>
      <c r="AO508" s="4" t="s">
        <v>1389</v>
      </c>
    </row>
    <row r="509" spans="37:41" ht="18.75">
      <c r="AK509" s="4">
        <v>3.8527040000000001</v>
      </c>
      <c r="AL509" s="4">
        <v>8.9389249999999906E-2</v>
      </c>
      <c r="AM509" s="4" t="s">
        <v>1122</v>
      </c>
      <c r="AN509" s="4" t="s">
        <v>1112</v>
      </c>
      <c r="AO509" s="4" t="s">
        <v>1389</v>
      </c>
    </row>
    <row r="510" spans="37:41" ht="18.75">
      <c r="AK510" s="4">
        <v>7.401351</v>
      </c>
      <c r="AL510" s="4">
        <v>0.20364125</v>
      </c>
      <c r="AM510" s="4" t="s">
        <v>1122</v>
      </c>
      <c r="AN510" s="4" t="s">
        <v>1112</v>
      </c>
      <c r="AO510" s="4" t="s">
        <v>1389</v>
      </c>
    </row>
    <row r="511" spans="37:41" ht="18.75">
      <c r="AK511" s="4">
        <v>7.4013520000000002</v>
      </c>
      <c r="AL511" s="4">
        <v>0.18578924999999999</v>
      </c>
      <c r="AM511" s="4" t="s">
        <v>1122</v>
      </c>
      <c r="AN511" s="4" t="s">
        <v>1112</v>
      </c>
      <c r="AO511" s="4" t="s">
        <v>1389</v>
      </c>
    </row>
    <row r="512" spans="37:41" ht="18.75">
      <c r="AK512" s="4">
        <v>0</v>
      </c>
      <c r="AL512" s="4">
        <v>3.6435250000000002E-2</v>
      </c>
      <c r="AM512" s="4" t="s">
        <v>1122</v>
      </c>
      <c r="AN512" s="4" t="s">
        <v>1112</v>
      </c>
      <c r="AO512" s="4" t="s">
        <v>1389</v>
      </c>
    </row>
    <row r="513" spans="37:41" ht="18.75">
      <c r="AK513" s="4">
        <v>0</v>
      </c>
      <c r="AL513" s="4">
        <v>4.2402250000000002E-2</v>
      </c>
      <c r="AM513" s="4" t="s">
        <v>1122</v>
      </c>
      <c r="AN513" s="4" t="s">
        <v>1112</v>
      </c>
      <c r="AO513" s="4" t="s">
        <v>1389</v>
      </c>
    </row>
    <row r="514" spans="37:41" ht="18.75">
      <c r="AK514" s="4">
        <v>0.18693100000000001</v>
      </c>
      <c r="AL514" s="4">
        <v>6.6869249999999894E-2</v>
      </c>
      <c r="AM514" s="4" t="s">
        <v>1122</v>
      </c>
      <c r="AN514" s="4" t="s">
        <v>1112</v>
      </c>
      <c r="AO514" s="4" t="s">
        <v>1389</v>
      </c>
    </row>
    <row r="515" spans="37:41" ht="18.75">
      <c r="AK515" s="4">
        <v>0.18693100000000001</v>
      </c>
      <c r="AL515" s="4">
        <v>6.5675249999999893E-2</v>
      </c>
      <c r="AM515" s="4" t="s">
        <v>1122</v>
      </c>
      <c r="AN515" s="4" t="s">
        <v>1112</v>
      </c>
      <c r="AO515" s="4" t="s">
        <v>1389</v>
      </c>
    </row>
    <row r="516" spans="37:41" ht="18.75">
      <c r="AK516" s="4">
        <v>0.64195100000000005</v>
      </c>
      <c r="AL516" s="4">
        <v>6.3587249999999998E-2</v>
      </c>
      <c r="AM516" s="4" t="s">
        <v>1122</v>
      </c>
      <c r="AN516" s="4" t="s">
        <v>1112</v>
      </c>
      <c r="AO516" s="4" t="s">
        <v>1389</v>
      </c>
    </row>
    <row r="517" spans="37:41" ht="18.75">
      <c r="AK517" s="4">
        <v>0.64195100000000005</v>
      </c>
      <c r="AL517" s="4">
        <v>7.0449249999999894E-2</v>
      </c>
      <c r="AM517" s="4" t="s">
        <v>1122</v>
      </c>
      <c r="AN517" s="4" t="s">
        <v>1112</v>
      </c>
      <c r="AO517" s="4" t="s">
        <v>1389</v>
      </c>
    </row>
    <row r="518" spans="37:41" ht="18.75">
      <c r="AK518" s="4">
        <v>2.033865</v>
      </c>
      <c r="AL518" s="4">
        <v>7.7610249999999895E-2</v>
      </c>
      <c r="AM518" s="4" t="s">
        <v>1122</v>
      </c>
      <c r="AN518" s="4" t="s">
        <v>1112</v>
      </c>
      <c r="AO518" s="4" t="s">
        <v>1389</v>
      </c>
    </row>
    <row r="519" spans="37:41" ht="18.75">
      <c r="AK519" s="4">
        <v>2.033865</v>
      </c>
      <c r="AL519" s="4">
        <v>7.7610249999999895E-2</v>
      </c>
      <c r="AM519" s="4" t="s">
        <v>1122</v>
      </c>
      <c r="AN519" s="4" t="s">
        <v>1112</v>
      </c>
      <c r="AO519" s="4" t="s">
        <v>1389</v>
      </c>
    </row>
    <row r="520" spans="37:41" ht="18.75">
      <c r="AK520" s="4">
        <v>5.3323879999999999</v>
      </c>
      <c r="AL520" s="4">
        <v>0.114609249999999</v>
      </c>
      <c r="AM520" s="4" t="s">
        <v>1122</v>
      </c>
      <c r="AN520" s="4" t="s">
        <v>1112</v>
      </c>
      <c r="AO520" s="4" t="s">
        <v>1389</v>
      </c>
    </row>
    <row r="521" spans="37:41" ht="18.75">
      <c r="AK521" s="4">
        <v>5.3323879999999999</v>
      </c>
      <c r="AL521" s="4">
        <v>0.11520525</v>
      </c>
      <c r="AM521" s="4" t="s">
        <v>1122</v>
      </c>
      <c r="AN521" s="4" t="s">
        <v>1112</v>
      </c>
      <c r="AO521" s="4" t="s">
        <v>1389</v>
      </c>
    </row>
    <row r="522" spans="37:41" ht="18.75">
      <c r="AK522" s="4">
        <v>8.5369240000000008</v>
      </c>
      <c r="AL522" s="4">
        <v>0.25663524999999998</v>
      </c>
      <c r="AM522" s="4" t="s">
        <v>1122</v>
      </c>
      <c r="AN522" s="4" t="s">
        <v>1112</v>
      </c>
      <c r="AO522" s="4" t="s">
        <v>1389</v>
      </c>
    </row>
    <row r="523" spans="37:41" ht="18.75">
      <c r="AK523" s="4">
        <v>8.5369240000000008</v>
      </c>
      <c r="AL523" s="4">
        <v>0.24470025000000001</v>
      </c>
      <c r="AM523" s="4" t="s">
        <v>1122</v>
      </c>
      <c r="AN523" s="4" t="s">
        <v>1112</v>
      </c>
      <c r="AO523" s="4" t="s">
        <v>1389</v>
      </c>
    </row>
    <row r="524" spans="37:41" ht="18.75">
      <c r="AK524" s="4">
        <v>0</v>
      </c>
      <c r="AL524" s="4">
        <v>5.4942499999999896E-3</v>
      </c>
      <c r="AM524" s="4" t="s">
        <v>1122</v>
      </c>
      <c r="AN524" s="4" t="s">
        <v>1114</v>
      </c>
      <c r="AO524" s="4" t="s">
        <v>1389</v>
      </c>
    </row>
    <row r="525" spans="37:41" ht="18.75">
      <c r="AK525" s="4">
        <v>0</v>
      </c>
      <c r="AL525" s="4">
        <v>6.57524999999999E-3</v>
      </c>
      <c r="AM525" s="4" t="s">
        <v>1122</v>
      </c>
      <c r="AN525" s="4" t="s">
        <v>1114</v>
      </c>
      <c r="AO525" s="4" t="s">
        <v>1389</v>
      </c>
    </row>
    <row r="526" spans="37:41" ht="18.75">
      <c r="AK526" s="4">
        <v>0.105405</v>
      </c>
      <c r="AL526" s="4">
        <v>0.10738625</v>
      </c>
      <c r="AM526" s="4" t="s">
        <v>1122</v>
      </c>
      <c r="AN526" s="4" t="s">
        <v>1114</v>
      </c>
      <c r="AO526" s="4" t="s">
        <v>1389</v>
      </c>
    </row>
    <row r="527" spans="37:41" ht="18.75">
      <c r="AK527" s="4">
        <v>0.105406</v>
      </c>
      <c r="AL527" s="4">
        <v>9.6034250000000002E-2</v>
      </c>
      <c r="AM527" s="4" t="s">
        <v>1122</v>
      </c>
      <c r="AN527" s="4" t="s">
        <v>1114</v>
      </c>
      <c r="AO527" s="4" t="s">
        <v>1389</v>
      </c>
    </row>
    <row r="528" spans="37:41" ht="18.75">
      <c r="AK528" s="4">
        <v>0.4</v>
      </c>
      <c r="AL528" s="4">
        <v>0.51549424999999904</v>
      </c>
      <c r="AM528" s="4" t="s">
        <v>1122</v>
      </c>
      <c r="AN528" s="4" t="s">
        <v>1114</v>
      </c>
      <c r="AO528" s="4" t="s">
        <v>1389</v>
      </c>
    </row>
    <row r="529" spans="37:41" ht="18.75">
      <c r="AK529" s="4">
        <v>0.5</v>
      </c>
      <c r="AL529" s="4">
        <v>0.51819724999999905</v>
      </c>
      <c r="AM529" s="4" t="s">
        <v>1122</v>
      </c>
      <c r="AN529" s="4" t="s">
        <v>1114</v>
      </c>
      <c r="AO529" s="4" t="s">
        <v>1389</v>
      </c>
    </row>
    <row r="530" spans="37:41" ht="18.75">
      <c r="AK530" s="4">
        <v>1.348649</v>
      </c>
      <c r="AL530" s="4">
        <v>2.6181972500000001</v>
      </c>
      <c r="AM530" s="4" t="s">
        <v>1122</v>
      </c>
      <c r="AN530" s="4" t="s">
        <v>1114</v>
      </c>
      <c r="AO530" s="4" t="s">
        <v>1389</v>
      </c>
    </row>
    <row r="531" spans="37:41" ht="18.75">
      <c r="AK531" s="4">
        <v>1.3486499999999999</v>
      </c>
      <c r="AL531" s="4">
        <v>2.6587372500000002</v>
      </c>
      <c r="AM531" s="4" t="s">
        <v>1122</v>
      </c>
      <c r="AN531" s="4" t="s">
        <v>1114</v>
      </c>
      <c r="AO531" s="4" t="s">
        <v>1389</v>
      </c>
    </row>
    <row r="532" spans="37:41" ht="18.75">
      <c r="AK532" s="4">
        <v>3.852703</v>
      </c>
      <c r="AL532" s="4">
        <v>6.6776562500000001</v>
      </c>
      <c r="AM532" s="4" t="s">
        <v>1122</v>
      </c>
      <c r="AN532" s="4" t="s">
        <v>1114</v>
      </c>
      <c r="AO532" s="4" t="s">
        <v>1389</v>
      </c>
    </row>
    <row r="533" spans="37:41" ht="18.75">
      <c r="AK533" s="4">
        <v>3.8527040000000001</v>
      </c>
      <c r="AL533" s="4">
        <v>7.0425212500000001</v>
      </c>
      <c r="AM533" s="4" t="s">
        <v>1122</v>
      </c>
      <c r="AN533" s="4" t="s">
        <v>1114</v>
      </c>
      <c r="AO533" s="4" t="s">
        <v>1389</v>
      </c>
    </row>
    <row r="534" spans="37:41" ht="18.75">
      <c r="AK534" s="4">
        <v>7.401351</v>
      </c>
      <c r="AL534" s="4">
        <v>10.977653249999999</v>
      </c>
      <c r="AM534" s="4" t="s">
        <v>1122</v>
      </c>
      <c r="AN534" s="4" t="s">
        <v>1114</v>
      </c>
      <c r="AO534" s="4" t="s">
        <v>1389</v>
      </c>
    </row>
    <row r="535" spans="37:41" ht="18.75">
      <c r="AK535" s="4">
        <v>7.4013520000000002</v>
      </c>
      <c r="AL535" s="4">
        <v>11.71549325</v>
      </c>
      <c r="AM535" s="4" t="s">
        <v>1122</v>
      </c>
      <c r="AN535" s="4" t="s">
        <v>1114</v>
      </c>
      <c r="AO535" s="4" t="s">
        <v>1389</v>
      </c>
    </row>
    <row r="536" spans="37:41" ht="18.75">
      <c r="AK536" s="4">
        <v>0</v>
      </c>
      <c r="AL536" s="4">
        <v>-1.1993749999999999E-2</v>
      </c>
      <c r="AM536" s="4" t="s">
        <v>1122</v>
      </c>
      <c r="AN536" s="4" t="s">
        <v>1114</v>
      </c>
      <c r="AO536" s="4" t="s">
        <v>1389</v>
      </c>
    </row>
    <row r="537" spans="37:41" ht="18.75">
      <c r="AK537" s="4">
        <v>0</v>
      </c>
      <c r="AL537" s="4">
        <v>7.94124999999999E-3</v>
      </c>
      <c r="AM537" s="4" t="s">
        <v>1122</v>
      </c>
      <c r="AN537" s="4" t="s">
        <v>1114</v>
      </c>
      <c r="AO537" s="4" t="s">
        <v>1389</v>
      </c>
    </row>
    <row r="538" spans="37:41" ht="18.75">
      <c r="AK538" s="4">
        <v>0.105405</v>
      </c>
      <c r="AL538" s="4">
        <v>6.744725E-2</v>
      </c>
      <c r="AM538" s="4" t="s">
        <v>1122</v>
      </c>
      <c r="AN538" s="4" t="s">
        <v>1114</v>
      </c>
      <c r="AO538" s="4" t="s">
        <v>1389</v>
      </c>
    </row>
    <row r="539" spans="37:41" ht="18.75">
      <c r="AK539" s="4">
        <v>0.105406</v>
      </c>
      <c r="AL539" s="4">
        <v>8.2621249999999993E-2</v>
      </c>
      <c r="AM539" s="4" t="s">
        <v>1122</v>
      </c>
      <c r="AN539" s="4" t="s">
        <v>1114</v>
      </c>
      <c r="AO539" s="4" t="s">
        <v>1389</v>
      </c>
    </row>
    <row r="540" spans="37:41" ht="18.75">
      <c r="AK540" s="4">
        <v>0.4</v>
      </c>
      <c r="AL540" s="4">
        <v>0.40871524999999997</v>
      </c>
      <c r="AM540" s="4" t="s">
        <v>1122</v>
      </c>
      <c r="AN540" s="4" t="s">
        <v>1114</v>
      </c>
      <c r="AO540" s="4" t="s">
        <v>1389</v>
      </c>
    </row>
    <row r="541" spans="37:41" ht="18.75">
      <c r="AK541" s="4">
        <v>0.5</v>
      </c>
      <c r="AL541" s="4">
        <v>0.45631924999999901</v>
      </c>
      <c r="AM541" s="4" t="s">
        <v>1122</v>
      </c>
      <c r="AN541" s="4" t="s">
        <v>1114</v>
      </c>
      <c r="AO541" s="4" t="s">
        <v>1389</v>
      </c>
    </row>
    <row r="542" spans="37:41" ht="18.75">
      <c r="AK542" s="4">
        <v>1.348649</v>
      </c>
      <c r="AL542" s="4">
        <v>2.40514424999999</v>
      </c>
      <c r="AM542" s="4" t="s">
        <v>1122</v>
      </c>
      <c r="AN542" s="4" t="s">
        <v>1114</v>
      </c>
      <c r="AO542" s="4" t="s">
        <v>1389</v>
      </c>
    </row>
    <row r="543" spans="37:41" ht="18.75">
      <c r="AK543" s="4">
        <v>1.3486499999999999</v>
      </c>
      <c r="AL543" s="4">
        <v>2.40514424999999</v>
      </c>
      <c r="AM543" s="4" t="s">
        <v>1122</v>
      </c>
      <c r="AN543" s="4" t="s">
        <v>1114</v>
      </c>
      <c r="AO543" s="4" t="s">
        <v>1389</v>
      </c>
    </row>
    <row r="544" spans="37:41" ht="18.75">
      <c r="AK544" s="4">
        <v>3.852703</v>
      </c>
      <c r="AL544" s="4">
        <v>7.3887802499999999</v>
      </c>
      <c r="AM544" s="4" t="s">
        <v>1122</v>
      </c>
      <c r="AN544" s="4" t="s">
        <v>1114</v>
      </c>
      <c r="AO544" s="4" t="s">
        <v>1389</v>
      </c>
    </row>
    <row r="545" spans="37:41" ht="18.75">
      <c r="AK545" s="4">
        <v>3.8527040000000001</v>
      </c>
      <c r="AL545" s="4">
        <v>7.07042225</v>
      </c>
      <c r="AM545" s="4" t="s">
        <v>1122</v>
      </c>
      <c r="AN545" s="4" t="s">
        <v>1114</v>
      </c>
      <c r="AO545" s="4" t="s">
        <v>1389</v>
      </c>
    </row>
    <row r="546" spans="37:41" ht="18.75">
      <c r="AK546" s="4">
        <v>7.401351</v>
      </c>
      <c r="AL546" s="4">
        <v>12.024303250000001</v>
      </c>
      <c r="AM546" s="4" t="s">
        <v>1122</v>
      </c>
      <c r="AN546" s="4" t="s">
        <v>1114</v>
      </c>
      <c r="AO546" s="4" t="s">
        <v>1389</v>
      </c>
    </row>
    <row r="547" spans="37:41" ht="18.75">
      <c r="AK547" s="4">
        <v>7.4013520000000002</v>
      </c>
      <c r="AL547" s="4">
        <v>10.36408325</v>
      </c>
      <c r="AM547" s="4" t="s">
        <v>1122</v>
      </c>
      <c r="AN547" s="4" t="s">
        <v>1114</v>
      </c>
      <c r="AO547" s="4" t="s">
        <v>1389</v>
      </c>
    </row>
    <row r="548" spans="37:41" ht="18.75">
      <c r="AK548" s="4">
        <v>0</v>
      </c>
      <c r="AL548" s="4">
        <v>2.13702499999999E-2</v>
      </c>
      <c r="AM548" s="4" t="s">
        <v>1122</v>
      </c>
      <c r="AN548" s="4" t="s">
        <v>1114</v>
      </c>
      <c r="AO548" s="4" t="s">
        <v>1389</v>
      </c>
    </row>
    <row r="549" spans="37:41" ht="18.75">
      <c r="AK549" s="4">
        <v>0</v>
      </c>
      <c r="AL549" s="4">
        <v>1.928125E-2</v>
      </c>
      <c r="AM549" s="4" t="s">
        <v>1122</v>
      </c>
      <c r="AN549" s="4" t="s">
        <v>1114</v>
      </c>
      <c r="AO549" s="4" t="s">
        <v>1389</v>
      </c>
    </row>
    <row r="550" spans="37:41" ht="18.75">
      <c r="AK550" s="4">
        <v>0.18693100000000001</v>
      </c>
      <c r="AL550" s="4">
        <v>0.14310624999999999</v>
      </c>
      <c r="AM550" s="4" t="s">
        <v>1122</v>
      </c>
      <c r="AN550" s="4" t="s">
        <v>1114</v>
      </c>
      <c r="AO550" s="4" t="s">
        <v>1389</v>
      </c>
    </row>
    <row r="551" spans="37:41" ht="18.75">
      <c r="AK551" s="4">
        <v>0.18693100000000001</v>
      </c>
      <c r="AL551" s="4">
        <v>0.15205724999999901</v>
      </c>
      <c r="AM551" s="4" t="s">
        <v>1122</v>
      </c>
      <c r="AN551" s="4" t="s">
        <v>1114</v>
      </c>
      <c r="AO551" s="4" t="s">
        <v>1389</v>
      </c>
    </row>
    <row r="552" spans="37:41" ht="18.75">
      <c r="AK552" s="4">
        <v>0.64195100000000005</v>
      </c>
      <c r="AL552" s="4">
        <v>0.49817124999999901</v>
      </c>
      <c r="AM552" s="4" t="s">
        <v>1122</v>
      </c>
      <c r="AN552" s="4" t="s">
        <v>1114</v>
      </c>
      <c r="AO552" s="4" t="s">
        <v>1389</v>
      </c>
    </row>
    <row r="553" spans="37:41" ht="18.75">
      <c r="AK553" s="4">
        <v>0.64195100000000005</v>
      </c>
      <c r="AL553" s="4">
        <v>0.52502525</v>
      </c>
      <c r="AM553" s="4" t="s">
        <v>1122</v>
      </c>
      <c r="AN553" s="4" t="s">
        <v>1114</v>
      </c>
      <c r="AO553" s="4" t="s">
        <v>1389</v>
      </c>
    </row>
    <row r="554" spans="37:41" ht="18.75">
      <c r="AK554" s="4">
        <v>2.033865</v>
      </c>
      <c r="AL554" s="4">
        <v>3.0194302500000001</v>
      </c>
      <c r="AM554" s="4" t="s">
        <v>1122</v>
      </c>
      <c r="AN554" s="4" t="s">
        <v>1114</v>
      </c>
      <c r="AO554" s="4" t="s">
        <v>1389</v>
      </c>
    </row>
    <row r="555" spans="37:41" ht="18.75">
      <c r="AK555" s="4">
        <v>2.033865</v>
      </c>
      <c r="AL555" s="4">
        <v>3.1387802499999999</v>
      </c>
      <c r="AM555" s="4" t="s">
        <v>1122</v>
      </c>
      <c r="AN555" s="4" t="s">
        <v>1114</v>
      </c>
      <c r="AO555" s="4" t="s">
        <v>1389</v>
      </c>
    </row>
    <row r="556" spans="37:41" ht="18.75">
      <c r="AK556" s="4">
        <v>5.3323879999999999</v>
      </c>
      <c r="AL556" s="4">
        <v>6.8207132499999998</v>
      </c>
      <c r="AM556" s="4" t="s">
        <v>1122</v>
      </c>
      <c r="AN556" s="4" t="s">
        <v>1114</v>
      </c>
      <c r="AO556" s="4" t="s">
        <v>1389</v>
      </c>
    </row>
    <row r="557" spans="37:41" ht="18.75">
      <c r="AK557" s="4">
        <v>5.3323879999999999</v>
      </c>
      <c r="AL557" s="4">
        <v>6.5283072500000001</v>
      </c>
      <c r="AM557" s="4" t="s">
        <v>1122</v>
      </c>
      <c r="AN557" s="4" t="s">
        <v>1114</v>
      </c>
      <c r="AO557" s="4" t="s">
        <v>1389</v>
      </c>
    </row>
    <row r="558" spans="37:41" ht="18.75">
      <c r="AK558" s="4">
        <v>8.5369240000000008</v>
      </c>
      <c r="AL558" s="4">
        <v>9.7507442500000003</v>
      </c>
      <c r="AM558" s="4" t="s">
        <v>1122</v>
      </c>
      <c r="AN558" s="4" t="s">
        <v>1114</v>
      </c>
      <c r="AO558" s="4" t="s">
        <v>1389</v>
      </c>
    </row>
    <row r="559" spans="37:41" ht="18.75">
      <c r="AK559" s="4">
        <v>8.5369240000000008</v>
      </c>
      <c r="AL559" s="4">
        <v>8.8586072500000004</v>
      </c>
      <c r="AM559" s="4" t="s">
        <v>1122</v>
      </c>
      <c r="AN559" s="4" t="s">
        <v>1114</v>
      </c>
      <c r="AO559" s="4" t="s">
        <v>1389</v>
      </c>
    </row>
    <row r="560" spans="37:41" ht="18.75">
      <c r="AK560" s="4">
        <v>0.01</v>
      </c>
      <c r="AL560" s="4">
        <v>5.2707779999999899E-3</v>
      </c>
      <c r="AM560" s="4" t="s">
        <v>1123</v>
      </c>
      <c r="AN560" s="4" t="s">
        <v>1112</v>
      </c>
      <c r="AO560" s="4" t="s">
        <v>1388</v>
      </c>
    </row>
    <row r="561" spans="37:41" ht="18.75">
      <c r="AK561" s="4">
        <v>0.01</v>
      </c>
      <c r="AL561" s="4">
        <v>9.3257779999999894E-3</v>
      </c>
      <c r="AM561" s="4" t="s">
        <v>1123</v>
      </c>
      <c r="AN561" s="4" t="s">
        <v>1112</v>
      </c>
      <c r="AO561" s="4" t="s">
        <v>1388</v>
      </c>
    </row>
    <row r="562" spans="37:41" ht="18.75">
      <c r="AK562" s="4">
        <v>0.105405</v>
      </c>
      <c r="AL562" s="4">
        <v>2.7973778000000001E-2</v>
      </c>
      <c r="AM562" s="4" t="s">
        <v>1123</v>
      </c>
      <c r="AN562" s="4" t="s">
        <v>1112</v>
      </c>
      <c r="AO562" s="4" t="s">
        <v>1388</v>
      </c>
    </row>
    <row r="563" spans="37:41" ht="18.75">
      <c r="AK563" s="4">
        <v>0.105405</v>
      </c>
      <c r="AL563" s="4">
        <v>2.9595777999999899E-2</v>
      </c>
      <c r="AM563" s="4" t="s">
        <v>1123</v>
      </c>
      <c r="AN563" s="4" t="s">
        <v>1112</v>
      </c>
      <c r="AO563" s="4" t="s">
        <v>1388</v>
      </c>
    </row>
    <row r="564" spans="37:41" ht="18.75">
      <c r="AK564" s="4">
        <v>0.4</v>
      </c>
      <c r="AL564" s="4">
        <v>3.0946778000000001E-2</v>
      </c>
      <c r="AM564" s="4" t="s">
        <v>1123</v>
      </c>
      <c r="AN564" s="4" t="s">
        <v>1112</v>
      </c>
      <c r="AO564" s="4" t="s">
        <v>1388</v>
      </c>
    </row>
    <row r="565" spans="37:41" ht="18.75">
      <c r="AK565" s="4">
        <v>0.4</v>
      </c>
      <c r="AL565" s="4">
        <v>2.0946777999999999E-2</v>
      </c>
      <c r="AM565" s="4" t="s">
        <v>1123</v>
      </c>
      <c r="AN565" s="4" t="s">
        <v>1112</v>
      </c>
      <c r="AO565" s="4" t="s">
        <v>1388</v>
      </c>
    </row>
    <row r="566" spans="37:41" ht="18.75">
      <c r="AK566" s="4">
        <v>1.348649</v>
      </c>
      <c r="AL566" s="4">
        <v>2.4460777999999898E-2</v>
      </c>
      <c r="AM566" s="4" t="s">
        <v>1123</v>
      </c>
      <c r="AN566" s="4" t="s">
        <v>1112</v>
      </c>
      <c r="AO566" s="4" t="s">
        <v>1388</v>
      </c>
    </row>
    <row r="567" spans="37:41" ht="18.75">
      <c r="AK567" s="4">
        <v>1.348649</v>
      </c>
      <c r="AL567" s="4">
        <v>2.9595777999999899E-2</v>
      </c>
      <c r="AM567" s="4" t="s">
        <v>1123</v>
      </c>
      <c r="AN567" s="4" t="s">
        <v>1112</v>
      </c>
      <c r="AO567" s="4" t="s">
        <v>1388</v>
      </c>
    </row>
    <row r="568" spans="37:41" ht="18.75">
      <c r="AK568" s="4">
        <v>3.852703</v>
      </c>
      <c r="AL568" s="4">
        <v>4.52707779999999E-2</v>
      </c>
      <c r="AM568" s="4" t="s">
        <v>1123</v>
      </c>
      <c r="AN568" s="4" t="s">
        <v>1112</v>
      </c>
      <c r="AO568" s="4" t="s">
        <v>1388</v>
      </c>
    </row>
    <row r="569" spans="37:41" ht="18.75">
      <c r="AK569" s="4">
        <v>3.852703</v>
      </c>
      <c r="AL569" s="4">
        <v>3.9054777999999998E-2</v>
      </c>
      <c r="AM569" s="4" t="s">
        <v>1123</v>
      </c>
      <c r="AN569" s="4" t="s">
        <v>1112</v>
      </c>
      <c r="AO569" s="4" t="s">
        <v>1388</v>
      </c>
    </row>
    <row r="570" spans="37:41" ht="18.75">
      <c r="AK570" s="4">
        <v>7.401351</v>
      </c>
      <c r="AL570" s="4">
        <v>4.60817779999999E-2</v>
      </c>
      <c r="AM570" s="4" t="s">
        <v>1123</v>
      </c>
      <c r="AN570" s="4" t="s">
        <v>1112</v>
      </c>
      <c r="AO570" s="4" t="s">
        <v>1388</v>
      </c>
    </row>
    <row r="571" spans="37:41" ht="18.75">
      <c r="AK571" s="4">
        <v>7.401351</v>
      </c>
      <c r="AL571" s="4">
        <v>7.3919777999999894E-2</v>
      </c>
      <c r="AM571" s="4" t="s">
        <v>1123</v>
      </c>
      <c r="AN571" s="4" t="s">
        <v>1112</v>
      </c>
      <c r="AO571" s="4" t="s">
        <v>1388</v>
      </c>
    </row>
    <row r="572" spans="37:41" ht="18.75">
      <c r="AK572" s="4">
        <v>0.01</v>
      </c>
      <c r="AL572" s="4">
        <v>6.3703777999999905E-2</v>
      </c>
      <c r="AM572" s="4" t="s">
        <v>1123</v>
      </c>
      <c r="AN572" s="4" t="s">
        <v>1112</v>
      </c>
      <c r="AO572" s="4" t="s">
        <v>1388</v>
      </c>
    </row>
    <row r="573" spans="37:41" ht="18.75">
      <c r="AK573" s="4">
        <v>0.01</v>
      </c>
      <c r="AL573" s="4">
        <v>7.0166777999999902E-2</v>
      </c>
      <c r="AM573" s="4" t="s">
        <v>1123</v>
      </c>
      <c r="AN573" s="4" t="s">
        <v>1112</v>
      </c>
      <c r="AO573" s="4" t="s">
        <v>1388</v>
      </c>
    </row>
    <row r="574" spans="37:41" ht="18.75">
      <c r="AK574" s="4">
        <v>0.18490200000000001</v>
      </c>
      <c r="AL574" s="4">
        <v>7.4571778000000005E-2</v>
      </c>
      <c r="AM574" s="4" t="s">
        <v>1123</v>
      </c>
      <c r="AN574" s="4" t="s">
        <v>1112</v>
      </c>
      <c r="AO574" s="4" t="s">
        <v>1388</v>
      </c>
    </row>
    <row r="575" spans="37:41" ht="18.75">
      <c r="AK575" s="4">
        <v>0.18490200000000001</v>
      </c>
      <c r="AL575" s="4">
        <v>6.7816777999999994E-2</v>
      </c>
      <c r="AM575" s="4" t="s">
        <v>1123</v>
      </c>
      <c r="AN575" s="4" t="s">
        <v>1112</v>
      </c>
      <c r="AO575" s="4" t="s">
        <v>1388</v>
      </c>
    </row>
    <row r="576" spans="37:41" ht="18.75">
      <c r="AK576" s="4">
        <v>0.48303699999999999</v>
      </c>
      <c r="AL576" s="4">
        <v>7.1047778000000006E-2</v>
      </c>
      <c r="AM576" s="4" t="s">
        <v>1123</v>
      </c>
      <c r="AN576" s="4" t="s">
        <v>1112</v>
      </c>
      <c r="AO576" s="4" t="s">
        <v>1388</v>
      </c>
    </row>
    <row r="577" spans="37:41" ht="18.75">
      <c r="AK577" s="4">
        <v>0.48303699999999999</v>
      </c>
      <c r="AL577" s="4">
        <v>5.5479777999999903E-2</v>
      </c>
      <c r="AM577" s="4" t="s">
        <v>1123</v>
      </c>
      <c r="AN577" s="4" t="s">
        <v>1112</v>
      </c>
      <c r="AO577" s="4" t="s">
        <v>1388</v>
      </c>
    </row>
    <row r="578" spans="37:41" ht="18.75">
      <c r="AK578" s="4">
        <v>1.7534149999999999</v>
      </c>
      <c r="AL578" s="4">
        <v>7.1928777999999999E-2</v>
      </c>
      <c r="AM578" s="4" t="s">
        <v>1123</v>
      </c>
      <c r="AN578" s="4" t="s">
        <v>1112</v>
      </c>
      <c r="AO578" s="4" t="s">
        <v>1388</v>
      </c>
    </row>
    <row r="579" spans="37:41" ht="18.75">
      <c r="AK579" s="4">
        <v>1.7534149999999999</v>
      </c>
      <c r="AL579" s="4">
        <v>6.4291777999999994E-2</v>
      </c>
      <c r="AM579" s="4" t="s">
        <v>1123</v>
      </c>
      <c r="AN579" s="4" t="s">
        <v>1112</v>
      </c>
      <c r="AO579" s="4" t="s">
        <v>1388</v>
      </c>
    </row>
    <row r="580" spans="37:41" ht="18.75">
      <c r="AK580" s="4">
        <v>4.485093</v>
      </c>
      <c r="AL580" s="4">
        <v>6.9284777999999894E-2</v>
      </c>
      <c r="AM580" s="4" t="s">
        <v>1123</v>
      </c>
      <c r="AN580" s="4" t="s">
        <v>1112</v>
      </c>
      <c r="AO580" s="4" t="s">
        <v>1388</v>
      </c>
    </row>
    <row r="581" spans="37:41" ht="18.75">
      <c r="AK581" s="4">
        <v>4.485093</v>
      </c>
      <c r="AL581" s="4">
        <v>6.6053777999999896E-2</v>
      </c>
      <c r="AM581" s="4" t="s">
        <v>1123</v>
      </c>
      <c r="AN581" s="4" t="s">
        <v>1112</v>
      </c>
      <c r="AO581" s="4" t="s">
        <v>1388</v>
      </c>
    </row>
    <row r="582" spans="37:41" ht="18.75">
      <c r="AK582" s="4">
        <v>7.7058309999999999</v>
      </c>
      <c r="AL582" s="4">
        <v>9.3370777999999904E-2</v>
      </c>
      <c r="AM582" s="4" t="s">
        <v>1123</v>
      </c>
      <c r="AN582" s="4" t="s">
        <v>1112</v>
      </c>
      <c r="AO582" s="4" t="s">
        <v>1388</v>
      </c>
    </row>
    <row r="583" spans="37:41" ht="18.75">
      <c r="AK583" s="4">
        <v>7.7058309999999999</v>
      </c>
      <c r="AL583" s="4">
        <v>0.113931777999999</v>
      </c>
      <c r="AM583" s="4" t="s">
        <v>1123</v>
      </c>
      <c r="AN583" s="4" t="s">
        <v>1112</v>
      </c>
      <c r="AO583" s="4" t="s">
        <v>1388</v>
      </c>
    </row>
    <row r="584" spans="37:41" ht="18.75">
      <c r="AK584" s="4">
        <v>0.01</v>
      </c>
      <c r="AL584" s="4">
        <v>4.3929778000000003E-2</v>
      </c>
      <c r="AM584" s="4" t="s">
        <v>1123</v>
      </c>
      <c r="AN584" s="4" t="s">
        <v>1112</v>
      </c>
      <c r="AO584" s="4" t="s">
        <v>1388</v>
      </c>
    </row>
    <row r="585" spans="37:41" ht="18.75">
      <c r="AK585" s="4">
        <v>0.01</v>
      </c>
      <c r="AL585" s="4">
        <v>3.6559777999999897E-2</v>
      </c>
      <c r="AM585" s="4" t="s">
        <v>1123</v>
      </c>
      <c r="AN585" s="4" t="s">
        <v>1112</v>
      </c>
      <c r="AO585" s="4" t="s">
        <v>1388</v>
      </c>
    </row>
    <row r="586" spans="37:41" ht="18.75">
      <c r="AK586" s="4">
        <v>0.14200699999999999</v>
      </c>
      <c r="AL586" s="4">
        <v>-1.0208221999999999E-2</v>
      </c>
      <c r="AM586" s="4" t="s">
        <v>1123</v>
      </c>
      <c r="AN586" s="4" t="s">
        <v>1112</v>
      </c>
      <c r="AO586" s="4" t="s">
        <v>1388</v>
      </c>
    </row>
    <row r="587" spans="37:41" ht="18.75">
      <c r="AK587" s="4">
        <v>0.14200699999999999</v>
      </c>
      <c r="AL587" s="4">
        <v>8.7827779999999894E-3</v>
      </c>
      <c r="AM587" s="4" t="s">
        <v>1123</v>
      </c>
      <c r="AN587" s="4" t="s">
        <v>1112</v>
      </c>
      <c r="AO587" s="4" t="s">
        <v>1388</v>
      </c>
    </row>
    <row r="588" spans="37:41" ht="18.75">
      <c r="AK588" s="4">
        <v>8.5850340000000003</v>
      </c>
      <c r="AL588" s="4">
        <v>4.8464777999999903E-2</v>
      </c>
      <c r="AM588" s="4" t="s">
        <v>1123</v>
      </c>
      <c r="AN588" s="4" t="s">
        <v>1112</v>
      </c>
      <c r="AO588" s="4" t="s">
        <v>1388</v>
      </c>
    </row>
    <row r="589" spans="37:41" ht="18.75">
      <c r="AK589" s="4">
        <v>8.5850340000000003</v>
      </c>
      <c r="AL589" s="4">
        <v>3.5992778000000003E-2</v>
      </c>
      <c r="AM589" s="4" t="s">
        <v>1123</v>
      </c>
      <c r="AN589" s="4" t="s">
        <v>1112</v>
      </c>
      <c r="AO589" s="4" t="s">
        <v>1388</v>
      </c>
    </row>
    <row r="590" spans="37:41" ht="18.75">
      <c r="AK590" s="4">
        <v>0.01</v>
      </c>
      <c r="AL590" s="4">
        <v>-2.1729221999999999E-2</v>
      </c>
      <c r="AM590" s="4" t="s">
        <v>1123</v>
      </c>
      <c r="AN590" s="4" t="s">
        <v>1114</v>
      </c>
      <c r="AO590" s="4" t="s">
        <v>1388</v>
      </c>
    </row>
    <row r="591" spans="37:41" ht="18.75">
      <c r="AK591" s="4">
        <v>0.01</v>
      </c>
      <c r="AL591" s="4">
        <v>-3.0647221999999998E-2</v>
      </c>
      <c r="AM591" s="4" t="s">
        <v>1123</v>
      </c>
      <c r="AN591" s="4" t="s">
        <v>1114</v>
      </c>
      <c r="AO591" s="4" t="s">
        <v>1388</v>
      </c>
    </row>
    <row r="592" spans="37:41" ht="18.75">
      <c r="AK592" s="4">
        <v>0.105405</v>
      </c>
      <c r="AL592" s="4">
        <v>-6.8642219999999997E-3</v>
      </c>
      <c r="AM592" s="4" t="s">
        <v>1123</v>
      </c>
      <c r="AN592" s="4" t="s">
        <v>1114</v>
      </c>
      <c r="AO592" s="4" t="s">
        <v>1388</v>
      </c>
    </row>
    <row r="593" spans="37:41" ht="18.75">
      <c r="AK593" s="4">
        <v>0.105405</v>
      </c>
      <c r="AL593" s="4">
        <v>3.1357779999999901E-3</v>
      </c>
      <c r="AM593" s="4" t="s">
        <v>1123</v>
      </c>
      <c r="AN593" s="4" t="s">
        <v>1114</v>
      </c>
      <c r="AO593" s="4" t="s">
        <v>1388</v>
      </c>
    </row>
    <row r="594" spans="37:41" ht="18.75">
      <c r="AK594" s="4">
        <v>0.4</v>
      </c>
      <c r="AL594" s="4">
        <v>4.6919777999999898E-2</v>
      </c>
      <c r="AM594" s="4" t="s">
        <v>1123</v>
      </c>
      <c r="AN594" s="4" t="s">
        <v>1114</v>
      </c>
      <c r="AO594" s="4" t="s">
        <v>1388</v>
      </c>
    </row>
    <row r="595" spans="37:41" ht="18.75">
      <c r="AK595" s="4">
        <v>0.4</v>
      </c>
      <c r="AL595" s="4">
        <v>6.0433777999999903E-2</v>
      </c>
      <c r="AM595" s="4" t="s">
        <v>1123</v>
      </c>
      <c r="AN595" s="4" t="s">
        <v>1114</v>
      </c>
      <c r="AO595" s="4" t="s">
        <v>1388</v>
      </c>
    </row>
    <row r="596" spans="37:41" ht="18.75">
      <c r="AK596" s="4">
        <v>1.348649</v>
      </c>
      <c r="AL596" s="4">
        <v>0.41448777799999997</v>
      </c>
      <c r="AM596" s="4" t="s">
        <v>1123</v>
      </c>
      <c r="AN596" s="4" t="s">
        <v>1114</v>
      </c>
      <c r="AO596" s="4" t="s">
        <v>1388</v>
      </c>
    </row>
    <row r="597" spans="37:41" ht="18.75">
      <c r="AK597" s="4">
        <v>1.348649</v>
      </c>
      <c r="AL597" s="4">
        <v>0.50367677799999999</v>
      </c>
      <c r="AM597" s="4" t="s">
        <v>1123</v>
      </c>
      <c r="AN597" s="4" t="s">
        <v>1114</v>
      </c>
      <c r="AO597" s="4" t="s">
        <v>1388</v>
      </c>
    </row>
    <row r="598" spans="37:41" ht="18.75">
      <c r="AK598" s="4">
        <v>3.852703</v>
      </c>
      <c r="AL598" s="4">
        <v>1.9496227779999999</v>
      </c>
      <c r="AM598" s="4" t="s">
        <v>1123</v>
      </c>
      <c r="AN598" s="4" t="s">
        <v>1114</v>
      </c>
      <c r="AO598" s="4" t="s">
        <v>1388</v>
      </c>
    </row>
    <row r="599" spans="37:41" ht="18.75">
      <c r="AK599" s="4">
        <v>3.852703</v>
      </c>
      <c r="AL599" s="4">
        <v>2.1280007780000001</v>
      </c>
      <c r="AM599" s="4" t="s">
        <v>1123</v>
      </c>
      <c r="AN599" s="4" t="s">
        <v>1114</v>
      </c>
      <c r="AO599" s="4" t="s">
        <v>1388</v>
      </c>
    </row>
    <row r="600" spans="37:41" ht="18.75">
      <c r="AK600" s="4">
        <v>7.401351</v>
      </c>
      <c r="AL600" s="4">
        <v>5.6090817780000002</v>
      </c>
      <c r="AM600" s="4" t="s">
        <v>1123</v>
      </c>
      <c r="AN600" s="4" t="s">
        <v>1114</v>
      </c>
      <c r="AO600" s="4" t="s">
        <v>1388</v>
      </c>
    </row>
    <row r="601" spans="37:41" ht="18.75">
      <c r="AK601" s="4">
        <v>7.401351</v>
      </c>
      <c r="AL601" s="4">
        <v>5.8631357780000002</v>
      </c>
      <c r="AM601" s="4" t="s">
        <v>1123</v>
      </c>
      <c r="AN601" s="4" t="s">
        <v>1114</v>
      </c>
      <c r="AO601" s="4" t="s">
        <v>1388</v>
      </c>
    </row>
    <row r="602" spans="37:41" ht="18.75">
      <c r="AK602" s="4">
        <v>0.01</v>
      </c>
      <c r="AL602" s="4">
        <v>1.1096778E-2</v>
      </c>
      <c r="AM602" s="4" t="s">
        <v>1123</v>
      </c>
      <c r="AN602" s="4" t="s">
        <v>1114</v>
      </c>
      <c r="AO602" s="4" t="s">
        <v>1388</v>
      </c>
    </row>
    <row r="603" spans="37:41" ht="18.75">
      <c r="AK603" s="4">
        <v>0.01</v>
      </c>
      <c r="AL603" s="4">
        <v>9.0537779999999898E-3</v>
      </c>
      <c r="AM603" s="4" t="s">
        <v>1123</v>
      </c>
      <c r="AN603" s="4" t="s">
        <v>1114</v>
      </c>
      <c r="AO603" s="4" t="s">
        <v>1388</v>
      </c>
    </row>
    <row r="604" spans="37:41" ht="18.75">
      <c r="AK604" s="4">
        <v>0.18490200000000001</v>
      </c>
      <c r="AL604" s="4">
        <v>6.6370777999999894E-2</v>
      </c>
      <c r="AM604" s="4" t="s">
        <v>1123</v>
      </c>
      <c r="AN604" s="4" t="s">
        <v>1114</v>
      </c>
      <c r="AO604" s="4" t="s">
        <v>1388</v>
      </c>
    </row>
    <row r="605" spans="37:41" ht="18.75">
      <c r="AK605" s="4">
        <v>0.18490200000000001</v>
      </c>
      <c r="AL605" s="4">
        <v>3.81727779999999E-2</v>
      </c>
      <c r="AM605" s="4" t="s">
        <v>1123</v>
      </c>
      <c r="AN605" s="4" t="s">
        <v>1114</v>
      </c>
      <c r="AO605" s="4" t="s">
        <v>1388</v>
      </c>
    </row>
    <row r="606" spans="37:41" ht="18.75">
      <c r="AK606" s="4">
        <v>0.48303699999999999</v>
      </c>
      <c r="AL606" s="4">
        <v>0.18092477800000001</v>
      </c>
      <c r="AM606" s="4" t="s">
        <v>1123</v>
      </c>
      <c r="AN606" s="4" t="s">
        <v>1114</v>
      </c>
      <c r="AO606" s="4" t="s">
        <v>1388</v>
      </c>
    </row>
    <row r="607" spans="37:41" ht="18.75">
      <c r="AK607" s="4">
        <v>0.48303699999999999</v>
      </c>
      <c r="AL607" s="4">
        <v>0.12511677799999901</v>
      </c>
      <c r="AM607" s="4" t="s">
        <v>1123</v>
      </c>
      <c r="AN607" s="4" t="s">
        <v>1114</v>
      </c>
      <c r="AO607" s="4" t="s">
        <v>1388</v>
      </c>
    </row>
    <row r="608" spans="37:41" ht="18.75">
      <c r="AK608" s="4">
        <v>1.7534149999999999</v>
      </c>
      <c r="AL608" s="4">
        <v>0.83300377800000003</v>
      </c>
      <c r="AM608" s="4" t="s">
        <v>1123</v>
      </c>
      <c r="AN608" s="4" t="s">
        <v>1114</v>
      </c>
      <c r="AO608" s="4" t="s">
        <v>1388</v>
      </c>
    </row>
    <row r="609" spans="37:41" ht="18.75">
      <c r="AK609" s="4">
        <v>1.7534149999999999</v>
      </c>
      <c r="AL609" s="4">
        <v>0.89762377800000004</v>
      </c>
      <c r="AM609" s="4" t="s">
        <v>1123</v>
      </c>
      <c r="AN609" s="4" t="s">
        <v>1114</v>
      </c>
      <c r="AO609" s="4" t="s">
        <v>1388</v>
      </c>
    </row>
    <row r="610" spans="37:41" ht="18.75">
      <c r="AK610" s="4">
        <v>4.485093</v>
      </c>
      <c r="AL610" s="4">
        <v>2.9977847780000002</v>
      </c>
      <c r="AM610" s="4" t="s">
        <v>1123</v>
      </c>
      <c r="AN610" s="4" t="s">
        <v>1114</v>
      </c>
      <c r="AO610" s="4" t="s">
        <v>1388</v>
      </c>
    </row>
    <row r="611" spans="37:41" ht="18.75">
      <c r="AK611" s="4">
        <v>4.485093</v>
      </c>
      <c r="AL611" s="4">
        <v>2.9772237779999999</v>
      </c>
      <c r="AM611" s="4" t="s">
        <v>1123</v>
      </c>
      <c r="AN611" s="4" t="s">
        <v>1114</v>
      </c>
      <c r="AO611" s="4" t="s">
        <v>1388</v>
      </c>
    </row>
    <row r="612" spans="37:41" ht="18.75">
      <c r="AK612" s="4">
        <v>7.7058309999999999</v>
      </c>
      <c r="AL612" s="4">
        <v>6.2757997779999997</v>
      </c>
      <c r="AM612" s="4" t="s">
        <v>1123</v>
      </c>
      <c r="AN612" s="4" t="s">
        <v>1114</v>
      </c>
      <c r="AO612" s="4" t="s">
        <v>1388</v>
      </c>
    </row>
    <row r="613" spans="37:41" ht="18.75">
      <c r="AK613" s="4">
        <v>7.7058309999999999</v>
      </c>
      <c r="AL613" s="4">
        <v>6.2376147780000002</v>
      </c>
      <c r="AM613" s="4" t="s">
        <v>1123</v>
      </c>
      <c r="AN613" s="4" t="s">
        <v>1114</v>
      </c>
      <c r="AO613" s="4" t="s">
        <v>1388</v>
      </c>
    </row>
    <row r="614" spans="37:41" ht="18.75">
      <c r="AK614" s="4">
        <v>0.01</v>
      </c>
      <c r="AL614" s="4">
        <v>-5.7462219999999996E-3</v>
      </c>
      <c r="AM614" s="4" t="s">
        <v>1123</v>
      </c>
      <c r="AN614" s="4" t="s">
        <v>1114</v>
      </c>
      <c r="AO614" s="4" t="s">
        <v>1388</v>
      </c>
    </row>
    <row r="615" spans="37:41" ht="18.75">
      <c r="AK615" s="4">
        <v>0.01</v>
      </c>
      <c r="AL615" s="4">
        <v>-1.6233221999999999E-2</v>
      </c>
      <c r="AM615" s="4" t="s">
        <v>1123</v>
      </c>
      <c r="AN615" s="4" t="s">
        <v>1114</v>
      </c>
      <c r="AO615" s="4" t="s">
        <v>1388</v>
      </c>
    </row>
    <row r="616" spans="37:41" ht="18.75">
      <c r="AK616" s="4">
        <v>0.14200699999999999</v>
      </c>
      <c r="AL616" s="4">
        <v>-1.6800222E-2</v>
      </c>
      <c r="AM616" s="4" t="s">
        <v>1123</v>
      </c>
      <c r="AN616" s="4" t="s">
        <v>1114</v>
      </c>
      <c r="AO616" s="4" t="s">
        <v>1388</v>
      </c>
    </row>
    <row r="617" spans="37:41" ht="18.75">
      <c r="AK617" s="4">
        <v>0.14200699999999999</v>
      </c>
      <c r="AL617" s="4">
        <v>-2.0768221999999999E-2</v>
      </c>
      <c r="AM617" s="4" t="s">
        <v>1123</v>
      </c>
      <c r="AN617" s="4" t="s">
        <v>1114</v>
      </c>
      <c r="AO617" s="4" t="s">
        <v>1388</v>
      </c>
    </row>
    <row r="618" spans="37:41" ht="18.75">
      <c r="AK618" s="4">
        <v>8.5850340000000003</v>
      </c>
      <c r="AL618" s="4">
        <v>6.1495827780000001</v>
      </c>
      <c r="AM618" s="4" t="s">
        <v>1123</v>
      </c>
      <c r="AN618" s="4" t="s">
        <v>1114</v>
      </c>
      <c r="AO618" s="4" t="s">
        <v>1388</v>
      </c>
    </row>
    <row r="619" spans="37:41" ht="18.75">
      <c r="AK619" s="4">
        <v>8.5850340000000003</v>
      </c>
      <c r="AL619" s="4">
        <v>5.7187437780000003</v>
      </c>
      <c r="AM619" s="4" t="s">
        <v>1123</v>
      </c>
      <c r="AN619" s="4" t="s">
        <v>1114</v>
      </c>
      <c r="AO619" s="4" t="s">
        <v>1388</v>
      </c>
    </row>
    <row r="620" spans="37:41" ht="18.75">
      <c r="AK620" s="4">
        <v>0</v>
      </c>
      <c r="AL620" s="4">
        <v>2.1905349000000001E-2</v>
      </c>
      <c r="AM620" s="4" t="s">
        <v>1124</v>
      </c>
      <c r="AN620" s="4" t="s">
        <v>1112</v>
      </c>
      <c r="AO620" s="4" t="s">
        <v>1525</v>
      </c>
    </row>
    <row r="621" spans="37:41" ht="18.75">
      <c r="AK621" s="4">
        <v>0</v>
      </c>
      <c r="AL621" s="4">
        <v>3.0473717000000001E-2</v>
      </c>
      <c r="AM621" s="4" t="s">
        <v>1124</v>
      </c>
      <c r="AN621" s="4" t="s">
        <v>1112</v>
      </c>
      <c r="AO621" s="4" t="s">
        <v>1525</v>
      </c>
    </row>
    <row r="622" spans="37:41" ht="18.75">
      <c r="AK622" s="4">
        <v>0.111031774</v>
      </c>
      <c r="AL622" s="4">
        <v>5.8320915000000001E-2</v>
      </c>
      <c r="AM622" s="4" t="s">
        <v>1124</v>
      </c>
      <c r="AN622" s="4" t="s">
        <v>1112</v>
      </c>
      <c r="AO622" s="4" t="s">
        <v>1525</v>
      </c>
    </row>
    <row r="623" spans="37:41" ht="18.75">
      <c r="AK623" s="4">
        <v>0.111031774</v>
      </c>
      <c r="AL623" s="4">
        <v>5.6535837999999998E-2</v>
      </c>
      <c r="AM623" s="4" t="s">
        <v>1124</v>
      </c>
      <c r="AN623" s="4" t="s">
        <v>1112</v>
      </c>
      <c r="AO623" s="4" t="s">
        <v>1525</v>
      </c>
    </row>
    <row r="624" spans="37:41" ht="18.75">
      <c r="AK624" s="4">
        <v>0.459121742</v>
      </c>
      <c r="AL624" s="4">
        <v>9.8663648999999895E-2</v>
      </c>
      <c r="AM624" s="4" t="s">
        <v>1124</v>
      </c>
      <c r="AN624" s="4" t="s">
        <v>1112</v>
      </c>
      <c r="AO624" s="4" t="s">
        <v>1525</v>
      </c>
    </row>
    <row r="625" spans="37:41" ht="18.75">
      <c r="AK625" s="4">
        <v>0.459121742</v>
      </c>
      <c r="AL625" s="4">
        <v>0.11115918699999899</v>
      </c>
      <c r="AM625" s="4" t="s">
        <v>1124</v>
      </c>
      <c r="AN625" s="4" t="s">
        <v>1112</v>
      </c>
      <c r="AO625" s="4" t="s">
        <v>1525</v>
      </c>
    </row>
    <row r="626" spans="37:41" ht="18.75">
      <c r="AK626" s="4">
        <v>2.2638343449999998</v>
      </c>
      <c r="AL626" s="4">
        <v>0.70023451699999995</v>
      </c>
      <c r="AM626" s="4" t="s">
        <v>1124</v>
      </c>
      <c r="AN626" s="4" t="s">
        <v>1112</v>
      </c>
      <c r="AO626" s="4" t="s">
        <v>1525</v>
      </c>
    </row>
    <row r="627" spans="37:41" ht="18.75">
      <c r="AK627" s="4">
        <v>2.2638343449999998</v>
      </c>
      <c r="AL627" s="4">
        <v>0.66453298199999999</v>
      </c>
      <c r="AM627" s="4" t="s">
        <v>1124</v>
      </c>
      <c r="AN627" s="4" t="s">
        <v>1112</v>
      </c>
      <c r="AO627" s="4" t="s">
        <v>1525</v>
      </c>
    </row>
    <row r="628" spans="37:41" ht="18.75">
      <c r="AK628" s="4">
        <v>4.850410568</v>
      </c>
      <c r="AL628" s="4">
        <v>3.6991634709999999</v>
      </c>
      <c r="AM628" s="4" t="s">
        <v>1124</v>
      </c>
      <c r="AN628" s="4" t="s">
        <v>1112</v>
      </c>
      <c r="AO628" s="4" t="s">
        <v>1525</v>
      </c>
    </row>
    <row r="629" spans="37:41" ht="18.75">
      <c r="AK629" s="4">
        <v>4.850410568</v>
      </c>
      <c r="AL629" s="4">
        <v>3.6598917819999999</v>
      </c>
      <c r="AM629" s="4" t="s">
        <v>1124</v>
      </c>
      <c r="AN629" s="4" t="s">
        <v>1112</v>
      </c>
      <c r="AO629" s="4" t="s">
        <v>1525</v>
      </c>
    </row>
    <row r="630" spans="37:41" ht="18.75">
      <c r="AK630" s="4">
        <v>8.9650124959999999</v>
      </c>
      <c r="AL630" s="4">
        <v>11.792701489999899</v>
      </c>
      <c r="AM630" s="4" t="s">
        <v>1124</v>
      </c>
      <c r="AN630" s="4" t="s">
        <v>1112</v>
      </c>
      <c r="AO630" s="4" t="s">
        <v>1525</v>
      </c>
    </row>
    <row r="631" spans="37:41" ht="18.75">
      <c r="AK631" s="4">
        <v>8.9650124959999999</v>
      </c>
      <c r="AL631" s="4">
        <v>11.828403029999899</v>
      </c>
      <c r="AM631" s="4" t="s">
        <v>1124</v>
      </c>
      <c r="AN631" s="4" t="s">
        <v>1112</v>
      </c>
      <c r="AO631" s="4" t="s">
        <v>1525</v>
      </c>
    </row>
    <row r="632" spans="37:41" ht="18.75">
      <c r="AK632" s="4">
        <v>6.1349689999999997E-3</v>
      </c>
      <c r="AL632" s="4">
        <v>5.5935580000000202E-3</v>
      </c>
      <c r="AM632" s="4" t="s">
        <v>1124</v>
      </c>
      <c r="AN632" s="4" t="s">
        <v>1112</v>
      </c>
      <c r="AO632" s="4" t="s">
        <v>1525</v>
      </c>
    </row>
    <row r="633" spans="37:41" ht="18.75">
      <c r="AK633" s="4">
        <v>6.1349689999999997E-3</v>
      </c>
      <c r="AL633" s="4">
        <v>8.0475460000000096E-3</v>
      </c>
      <c r="AM633" s="4" t="s">
        <v>1124</v>
      </c>
      <c r="AN633" s="4" t="s">
        <v>1112</v>
      </c>
      <c r="AO633" s="4" t="s">
        <v>1525</v>
      </c>
    </row>
    <row r="634" spans="37:41" ht="18.75">
      <c r="AK634" s="4">
        <v>0.15607362</v>
      </c>
      <c r="AL634" s="4">
        <v>2.0317484999999899E-2</v>
      </c>
      <c r="AM634" s="4" t="s">
        <v>1124</v>
      </c>
      <c r="AN634" s="4" t="s">
        <v>1112</v>
      </c>
      <c r="AO634" s="4" t="s">
        <v>1525</v>
      </c>
    </row>
    <row r="635" spans="37:41" ht="18.75">
      <c r="AK635" s="4">
        <v>0.15607362</v>
      </c>
      <c r="AL635" s="4">
        <v>2.2280675E-2</v>
      </c>
      <c r="AM635" s="4" t="s">
        <v>1124</v>
      </c>
      <c r="AN635" s="4" t="s">
        <v>1112</v>
      </c>
      <c r="AO635" s="4" t="s">
        <v>1525</v>
      </c>
    </row>
    <row r="636" spans="37:41" ht="18.75">
      <c r="AK636" s="4">
        <v>0.48834355800000001</v>
      </c>
      <c r="AL636" s="4">
        <v>8.0194785000000005E-2</v>
      </c>
      <c r="AM636" s="4" t="s">
        <v>1124</v>
      </c>
      <c r="AN636" s="4" t="s">
        <v>1112</v>
      </c>
      <c r="AO636" s="4" t="s">
        <v>1525</v>
      </c>
    </row>
    <row r="637" spans="37:41" ht="18.75">
      <c r="AK637" s="4">
        <v>0.48834355800000001</v>
      </c>
      <c r="AL637" s="4">
        <v>8.2648772999999995E-2</v>
      </c>
      <c r="AM637" s="4" t="s">
        <v>1124</v>
      </c>
      <c r="AN637" s="4" t="s">
        <v>1112</v>
      </c>
      <c r="AO637" s="4" t="s">
        <v>1525</v>
      </c>
    </row>
    <row r="638" spans="37:41" ht="18.75">
      <c r="AK638" s="4">
        <v>1.4306748469999999</v>
      </c>
      <c r="AL638" s="4">
        <v>0.41393711700000002</v>
      </c>
      <c r="AM638" s="4" t="s">
        <v>1124</v>
      </c>
      <c r="AN638" s="4" t="s">
        <v>1112</v>
      </c>
      <c r="AO638" s="4" t="s">
        <v>1525</v>
      </c>
    </row>
    <row r="639" spans="37:41" ht="18.75">
      <c r="AK639" s="4">
        <v>1.4306748469999999</v>
      </c>
      <c r="AL639" s="4">
        <v>0.54890644200000005</v>
      </c>
      <c r="AM639" s="4" t="s">
        <v>1124</v>
      </c>
      <c r="AN639" s="4" t="s">
        <v>1112</v>
      </c>
      <c r="AO639" s="4" t="s">
        <v>1525</v>
      </c>
    </row>
    <row r="640" spans="37:41" ht="18.75">
      <c r="AK640" s="4">
        <v>3.9435582820000001</v>
      </c>
      <c r="AL640" s="4">
        <v>3.132955521</v>
      </c>
      <c r="AM640" s="4" t="s">
        <v>1124</v>
      </c>
      <c r="AN640" s="4" t="s">
        <v>1112</v>
      </c>
      <c r="AO640" s="4" t="s">
        <v>1525</v>
      </c>
    </row>
    <row r="641" spans="37:41" ht="18.75">
      <c r="AK641" s="4">
        <v>3.9435582820000001</v>
      </c>
      <c r="AL641" s="4">
        <v>3.2556549079999999</v>
      </c>
      <c r="AM641" s="4" t="s">
        <v>1124</v>
      </c>
      <c r="AN641" s="4" t="s">
        <v>1112</v>
      </c>
      <c r="AO641" s="4" t="s">
        <v>1525</v>
      </c>
    </row>
    <row r="642" spans="37:41" ht="18.75">
      <c r="AK642" s="4">
        <v>6.7558282209999998</v>
      </c>
      <c r="AL642" s="4">
        <v>8.50473466299999</v>
      </c>
      <c r="AM642" s="4" t="s">
        <v>1124</v>
      </c>
      <c r="AN642" s="4" t="s">
        <v>1112</v>
      </c>
      <c r="AO642" s="4" t="s">
        <v>1525</v>
      </c>
    </row>
    <row r="643" spans="37:41" ht="18.75">
      <c r="AK643" s="4">
        <v>6.7558282209999998</v>
      </c>
      <c r="AL643" s="4">
        <v>8.3231395699999897</v>
      </c>
      <c r="AM643" s="4" t="s">
        <v>1124</v>
      </c>
      <c r="AN643" s="4" t="s">
        <v>1112</v>
      </c>
      <c r="AO643" s="4" t="s">
        <v>1525</v>
      </c>
    </row>
    <row r="644" spans="37:41" ht="18.75">
      <c r="AK644" s="4">
        <v>0</v>
      </c>
      <c r="AL644" s="4">
        <v>4.6580272999999998E-2</v>
      </c>
      <c r="AM644" s="4" t="s">
        <v>1124</v>
      </c>
      <c r="AN644" s="4" t="s">
        <v>1112</v>
      </c>
      <c r="AO644" s="4" t="s">
        <v>1525</v>
      </c>
    </row>
    <row r="645" spans="37:41" ht="18.75">
      <c r="AK645" s="4">
        <v>0</v>
      </c>
      <c r="AL645" s="4">
        <v>4.9399556999999997E-2</v>
      </c>
      <c r="AM645" s="4" t="s">
        <v>1124</v>
      </c>
      <c r="AN645" s="4" t="s">
        <v>1112</v>
      </c>
      <c r="AO645" s="4" t="s">
        <v>1525</v>
      </c>
    </row>
    <row r="646" spans="37:41" ht="18.75">
      <c r="AK646" s="4">
        <v>0.18593177299999999</v>
      </c>
      <c r="AL646" s="4">
        <v>7.2235756999999998E-2</v>
      </c>
      <c r="AM646" s="4" t="s">
        <v>1124</v>
      </c>
      <c r="AN646" s="4" t="s">
        <v>1112</v>
      </c>
      <c r="AO646" s="4" t="s">
        <v>1525</v>
      </c>
    </row>
    <row r="647" spans="37:41" ht="18.75">
      <c r="AK647" s="4">
        <v>0.18593177299999999</v>
      </c>
      <c r="AL647" s="4">
        <v>6.9134543999999895E-2</v>
      </c>
      <c r="AM647" s="4" t="s">
        <v>1124</v>
      </c>
      <c r="AN647" s="4" t="s">
        <v>1112</v>
      </c>
      <c r="AO647" s="4" t="s">
        <v>1525</v>
      </c>
    </row>
    <row r="648" spans="37:41" ht="18.75">
      <c r="AK648" s="4">
        <v>0.67860163500000004</v>
      </c>
      <c r="AL648" s="4">
        <v>0.12721179299999999</v>
      </c>
      <c r="AM648" s="4" t="s">
        <v>1124</v>
      </c>
      <c r="AN648" s="4" t="s">
        <v>1112</v>
      </c>
      <c r="AO648" s="4" t="s">
        <v>1525</v>
      </c>
    </row>
    <row r="649" spans="37:41" ht="18.75">
      <c r="AK649" s="4">
        <v>0.67860163500000004</v>
      </c>
      <c r="AL649" s="4">
        <v>0.12721179299999999</v>
      </c>
      <c r="AM649" s="4" t="s">
        <v>1124</v>
      </c>
      <c r="AN649" s="4" t="s">
        <v>1112</v>
      </c>
      <c r="AO649" s="4" t="s">
        <v>1525</v>
      </c>
    </row>
    <row r="650" spans="37:41" ht="18.75">
      <c r="AK650" s="4">
        <v>1.80208627</v>
      </c>
      <c r="AL650" s="4">
        <v>0.57547793300000005</v>
      </c>
      <c r="AM650" s="4" t="s">
        <v>1124</v>
      </c>
      <c r="AN650" s="4" t="s">
        <v>1112</v>
      </c>
      <c r="AO650" s="4" t="s">
        <v>1525</v>
      </c>
    </row>
    <row r="651" spans="37:41" ht="18.75">
      <c r="AK651" s="4">
        <v>1.80208627</v>
      </c>
      <c r="AL651" s="4">
        <v>0.60367077199999997</v>
      </c>
      <c r="AM651" s="4" t="s">
        <v>1124</v>
      </c>
      <c r="AN651" s="4" t="s">
        <v>1112</v>
      </c>
      <c r="AO651" s="4" t="s">
        <v>1525</v>
      </c>
    </row>
    <row r="652" spans="37:41" ht="18.75">
      <c r="AK652" s="4">
        <v>4.2971525230000003</v>
      </c>
      <c r="AL652" s="4">
        <v>3.733075903</v>
      </c>
      <c r="AM652" s="4" t="s">
        <v>1124</v>
      </c>
      <c r="AN652" s="4" t="s">
        <v>1112</v>
      </c>
      <c r="AO652" s="4" t="s">
        <v>1525</v>
      </c>
    </row>
    <row r="653" spans="37:41" ht="18.75">
      <c r="AK653" s="4">
        <v>4.2971525230000003</v>
      </c>
      <c r="AL653" s="4">
        <v>3.854305111</v>
      </c>
      <c r="AM653" s="4" t="s">
        <v>1124</v>
      </c>
      <c r="AN653" s="4" t="s">
        <v>1112</v>
      </c>
      <c r="AO653" s="4" t="s">
        <v>1525</v>
      </c>
    </row>
    <row r="654" spans="37:41" ht="18.75">
      <c r="AK654" s="4">
        <v>7.5054976040000003</v>
      </c>
      <c r="AL654" s="4">
        <v>8.9402932699999909</v>
      </c>
      <c r="AM654" s="4" t="s">
        <v>1124</v>
      </c>
      <c r="AN654" s="4" t="s">
        <v>1112</v>
      </c>
      <c r="AO654" s="4" t="s">
        <v>1525</v>
      </c>
    </row>
    <row r="655" spans="37:41" ht="18.75">
      <c r="AK655" s="4">
        <v>7.5054976040000003</v>
      </c>
      <c r="AL655" s="4">
        <v>9.6930420719999901</v>
      </c>
      <c r="AM655" s="4" t="s">
        <v>1124</v>
      </c>
      <c r="AN655" s="4" t="s">
        <v>1112</v>
      </c>
      <c r="AO655" s="4" t="s">
        <v>1525</v>
      </c>
    </row>
    <row r="656" spans="37:41" ht="18.75">
      <c r="AK656" s="4">
        <v>0</v>
      </c>
      <c r="AL656" s="4">
        <v>4.4887497999999998E-2</v>
      </c>
      <c r="AM656" s="4" t="s">
        <v>1124</v>
      </c>
      <c r="AN656" s="4" t="s">
        <v>1114</v>
      </c>
      <c r="AO656" s="4" t="s">
        <v>1525</v>
      </c>
    </row>
    <row r="657" spans="37:41" ht="18.75">
      <c r="AK657" s="4">
        <v>0</v>
      </c>
      <c r="AL657" s="4">
        <v>4.7029590000000003E-2</v>
      </c>
      <c r="AM657" s="4" t="s">
        <v>1124</v>
      </c>
      <c r="AN657" s="4" t="s">
        <v>1114</v>
      </c>
      <c r="AO657" s="4" t="s">
        <v>1525</v>
      </c>
    </row>
    <row r="658" spans="37:41" ht="18.75">
      <c r="AK658" s="4">
        <v>0.111031774</v>
      </c>
      <c r="AL658" s="4">
        <v>3.050956759</v>
      </c>
      <c r="AM658" s="4" t="s">
        <v>1124</v>
      </c>
      <c r="AN658" s="4" t="s">
        <v>1114</v>
      </c>
      <c r="AO658" s="4" t="s">
        <v>1525</v>
      </c>
    </row>
    <row r="659" spans="37:41" ht="18.75">
      <c r="AK659" s="4">
        <v>0.111031774</v>
      </c>
      <c r="AL659" s="4">
        <v>3.5293573299999998</v>
      </c>
      <c r="AM659" s="4" t="s">
        <v>1124</v>
      </c>
      <c r="AN659" s="4" t="s">
        <v>1114</v>
      </c>
      <c r="AO659" s="4" t="s">
        <v>1525</v>
      </c>
    </row>
    <row r="660" spans="37:41" ht="18.75">
      <c r="AK660" s="4">
        <v>0.459121742</v>
      </c>
      <c r="AL660" s="4">
        <v>11.583623659999899</v>
      </c>
      <c r="AM660" s="4" t="s">
        <v>1124</v>
      </c>
      <c r="AN660" s="4" t="s">
        <v>1114</v>
      </c>
      <c r="AO660" s="4" t="s">
        <v>1525</v>
      </c>
    </row>
    <row r="661" spans="37:41" ht="18.75">
      <c r="AK661" s="4">
        <v>0.459121742</v>
      </c>
      <c r="AL661" s="4">
        <v>12.062024229999899</v>
      </c>
      <c r="AM661" s="4" t="s">
        <v>1124</v>
      </c>
      <c r="AN661" s="4" t="s">
        <v>1114</v>
      </c>
      <c r="AO661" s="4" t="s">
        <v>1525</v>
      </c>
    </row>
    <row r="662" spans="37:41" ht="18.75">
      <c r="AK662" s="4">
        <v>2.2638343449999998</v>
      </c>
      <c r="AL662" s="4">
        <v>24.214826809999899</v>
      </c>
      <c r="AM662" s="4" t="s">
        <v>1124</v>
      </c>
      <c r="AN662" s="4" t="s">
        <v>1114</v>
      </c>
      <c r="AO662" s="4" t="s">
        <v>1525</v>
      </c>
    </row>
    <row r="663" spans="37:41" ht="18.75">
      <c r="AK663" s="4">
        <v>2.2638343449999998</v>
      </c>
      <c r="AL663" s="4">
        <v>24.364773249999999</v>
      </c>
      <c r="AM663" s="4" t="s">
        <v>1124</v>
      </c>
      <c r="AN663" s="4" t="s">
        <v>1114</v>
      </c>
      <c r="AO663" s="4" t="s">
        <v>1525</v>
      </c>
    </row>
    <row r="664" spans="37:41" ht="18.75">
      <c r="AK664" s="4">
        <v>4.850410568</v>
      </c>
      <c r="AL664" s="4">
        <v>27.053098849999898</v>
      </c>
      <c r="AM664" s="4" t="s">
        <v>1124</v>
      </c>
      <c r="AN664" s="4" t="s">
        <v>1114</v>
      </c>
      <c r="AO664" s="4" t="s">
        <v>1525</v>
      </c>
    </row>
    <row r="665" spans="37:41" ht="18.75">
      <c r="AK665" s="4">
        <v>4.850410568</v>
      </c>
      <c r="AL665" s="4">
        <v>28.506151329999899</v>
      </c>
      <c r="AM665" s="4" t="s">
        <v>1124</v>
      </c>
      <c r="AN665" s="4" t="s">
        <v>1114</v>
      </c>
      <c r="AO665" s="4" t="s">
        <v>1525</v>
      </c>
    </row>
    <row r="666" spans="37:41" ht="18.75">
      <c r="AK666" s="4">
        <v>8.9650124959999999</v>
      </c>
      <c r="AL666" s="4">
        <v>31.744280570000001</v>
      </c>
      <c r="AM666" s="4" t="s">
        <v>1124</v>
      </c>
      <c r="AN666" s="4" t="s">
        <v>1114</v>
      </c>
      <c r="AO666" s="4" t="s">
        <v>1525</v>
      </c>
    </row>
    <row r="667" spans="37:41" ht="18.75">
      <c r="AK667" s="4">
        <v>8.9650124959999999</v>
      </c>
      <c r="AL667" s="4">
        <v>29.577197389999998</v>
      </c>
      <c r="AM667" s="4" t="s">
        <v>1124</v>
      </c>
      <c r="AN667" s="4" t="s">
        <v>1114</v>
      </c>
      <c r="AO667" s="4" t="s">
        <v>1525</v>
      </c>
    </row>
    <row r="668" spans="37:41" ht="18.75">
      <c r="AK668" s="4">
        <v>6.1349689999999997E-3</v>
      </c>
      <c r="AL668" s="4">
        <v>-9.1365029999999903E-3</v>
      </c>
      <c r="AM668" s="4" t="s">
        <v>1124</v>
      </c>
      <c r="AN668" s="4" t="s">
        <v>1114</v>
      </c>
      <c r="AO668" s="4" t="s">
        <v>1525</v>
      </c>
    </row>
    <row r="669" spans="37:41" ht="18.75">
      <c r="AK669" s="4">
        <v>6.1349689999999997E-3</v>
      </c>
      <c r="AL669" s="4">
        <v>1.8838957E-2</v>
      </c>
      <c r="AM669" s="4" t="s">
        <v>1124</v>
      </c>
      <c r="AN669" s="4" t="s">
        <v>1114</v>
      </c>
      <c r="AO669" s="4" t="s">
        <v>1525</v>
      </c>
    </row>
    <row r="670" spans="37:41" ht="18.75">
      <c r="AK670" s="4">
        <v>0.15607362</v>
      </c>
      <c r="AL670" s="4">
        <v>3.2409248470000001</v>
      </c>
      <c r="AM670" s="4" t="s">
        <v>1124</v>
      </c>
      <c r="AN670" s="4" t="s">
        <v>1114</v>
      </c>
      <c r="AO670" s="4" t="s">
        <v>1525</v>
      </c>
    </row>
    <row r="671" spans="37:41" ht="18.75">
      <c r="AK671" s="4">
        <v>0.15607362</v>
      </c>
      <c r="AL671" s="4">
        <v>3.7955260740000001</v>
      </c>
      <c r="AM671" s="4" t="s">
        <v>1124</v>
      </c>
      <c r="AN671" s="4" t="s">
        <v>1114</v>
      </c>
      <c r="AO671" s="4" t="s">
        <v>1525</v>
      </c>
    </row>
    <row r="672" spans="37:41" ht="18.75">
      <c r="AK672" s="4">
        <v>0.48834355800000001</v>
      </c>
      <c r="AL672" s="4">
        <v>10.0949125799999</v>
      </c>
      <c r="AM672" s="4" t="s">
        <v>1124</v>
      </c>
      <c r="AN672" s="4" t="s">
        <v>1114</v>
      </c>
      <c r="AO672" s="4" t="s">
        <v>1525</v>
      </c>
    </row>
    <row r="673" spans="37:41" ht="18.75">
      <c r="AK673" s="4">
        <v>0.48834355800000001</v>
      </c>
      <c r="AL673" s="4">
        <v>8.0654647239999999</v>
      </c>
      <c r="AM673" s="4" t="s">
        <v>1124</v>
      </c>
      <c r="AN673" s="4" t="s">
        <v>1114</v>
      </c>
      <c r="AO673" s="4" t="s">
        <v>1525</v>
      </c>
    </row>
    <row r="674" spans="37:41" ht="18.75">
      <c r="AK674" s="4">
        <v>1.4306748469999999</v>
      </c>
      <c r="AL674" s="4">
        <v>17.03724386</v>
      </c>
      <c r="AM674" s="4" t="s">
        <v>1124</v>
      </c>
      <c r="AN674" s="4" t="s">
        <v>1114</v>
      </c>
      <c r="AO674" s="4" t="s">
        <v>1525</v>
      </c>
    </row>
    <row r="675" spans="37:41" ht="18.75">
      <c r="AK675" s="4">
        <v>1.4306748469999999</v>
      </c>
      <c r="AL675" s="4">
        <v>18.516998470000001</v>
      </c>
      <c r="AM675" s="4" t="s">
        <v>1124</v>
      </c>
      <c r="AN675" s="4" t="s">
        <v>1114</v>
      </c>
      <c r="AO675" s="4" t="s">
        <v>1525</v>
      </c>
    </row>
    <row r="676" spans="37:41" ht="18.75">
      <c r="AK676" s="4">
        <v>3.9435582820000001</v>
      </c>
      <c r="AL676" s="4">
        <v>22.68632362</v>
      </c>
      <c r="AM676" s="4" t="s">
        <v>1124</v>
      </c>
      <c r="AN676" s="4" t="s">
        <v>1114</v>
      </c>
      <c r="AO676" s="4" t="s">
        <v>1525</v>
      </c>
    </row>
    <row r="677" spans="37:41" ht="18.75">
      <c r="AK677" s="4">
        <v>3.9435582820000001</v>
      </c>
      <c r="AL677" s="4">
        <v>21.731722389999899</v>
      </c>
      <c r="AM677" s="4" t="s">
        <v>1124</v>
      </c>
      <c r="AN677" s="4" t="s">
        <v>1114</v>
      </c>
      <c r="AO677" s="4" t="s">
        <v>1525</v>
      </c>
    </row>
    <row r="678" spans="37:41" ht="18.75">
      <c r="AK678" s="4">
        <v>6.7558282209999998</v>
      </c>
      <c r="AL678" s="4">
        <v>20.308409510000001</v>
      </c>
      <c r="AM678" s="4" t="s">
        <v>1124</v>
      </c>
      <c r="AN678" s="4" t="s">
        <v>1114</v>
      </c>
      <c r="AO678" s="4" t="s">
        <v>1525</v>
      </c>
    </row>
    <row r="679" spans="37:41" ht="18.75">
      <c r="AK679" s="4">
        <v>6.7558282209999998</v>
      </c>
      <c r="AL679" s="4">
        <v>19.15503528</v>
      </c>
      <c r="AM679" s="4" t="s">
        <v>1124</v>
      </c>
      <c r="AN679" s="4" t="s">
        <v>1114</v>
      </c>
      <c r="AO679" s="4" t="s">
        <v>1525</v>
      </c>
    </row>
    <row r="680" spans="37:41" ht="18.75">
      <c r="AK680" s="4">
        <v>0</v>
      </c>
      <c r="AL680" s="4">
        <v>4.6645397999999998E-2</v>
      </c>
      <c r="AM680" s="4" t="s">
        <v>1124</v>
      </c>
      <c r="AN680" s="4" t="s">
        <v>1114</v>
      </c>
      <c r="AO680" s="4" t="s">
        <v>1525</v>
      </c>
    </row>
    <row r="681" spans="37:41" ht="18.75">
      <c r="AK681" s="4">
        <v>0</v>
      </c>
      <c r="AL681" s="4">
        <v>3.8469475000000003E-2</v>
      </c>
      <c r="AM681" s="4" t="s">
        <v>1124</v>
      </c>
      <c r="AN681" s="4" t="s">
        <v>1114</v>
      </c>
      <c r="AO681" s="4" t="s">
        <v>1525</v>
      </c>
    </row>
    <row r="682" spans="37:41" ht="18.75">
      <c r="AK682" s="4">
        <v>0.18593177299999999</v>
      </c>
      <c r="AL682" s="4">
        <v>3.3874968220000001</v>
      </c>
      <c r="AM682" s="4" t="s">
        <v>1124</v>
      </c>
      <c r="AN682" s="4" t="s">
        <v>1114</v>
      </c>
      <c r="AO682" s="4" t="s">
        <v>1525</v>
      </c>
    </row>
    <row r="683" spans="37:41" ht="18.75">
      <c r="AK683" s="4">
        <v>0.18593177299999999</v>
      </c>
      <c r="AL683" s="4">
        <v>3.5904852630000001</v>
      </c>
      <c r="AM683" s="4" t="s">
        <v>1124</v>
      </c>
      <c r="AN683" s="4" t="s">
        <v>1114</v>
      </c>
      <c r="AO683" s="4" t="s">
        <v>1525</v>
      </c>
    </row>
    <row r="684" spans="37:41" ht="18.75">
      <c r="AK684" s="4">
        <v>0.67860163500000004</v>
      </c>
      <c r="AL684" s="4">
        <v>9.6942349109999899</v>
      </c>
      <c r="AM684" s="4" t="s">
        <v>1124</v>
      </c>
      <c r="AN684" s="4" t="s">
        <v>1114</v>
      </c>
      <c r="AO684" s="4" t="s">
        <v>1525</v>
      </c>
    </row>
    <row r="685" spans="37:41" ht="18.75">
      <c r="AK685" s="4">
        <v>0.67860163500000004</v>
      </c>
      <c r="AL685" s="4">
        <v>8.9696789479999897</v>
      </c>
      <c r="AM685" s="4" t="s">
        <v>1124</v>
      </c>
      <c r="AN685" s="4" t="s">
        <v>1114</v>
      </c>
      <c r="AO685" s="4" t="s">
        <v>1525</v>
      </c>
    </row>
    <row r="686" spans="37:41" ht="18.75">
      <c r="AK686" s="4">
        <v>1.80208627</v>
      </c>
      <c r="AL686" s="4">
        <v>16.714251829999998</v>
      </c>
      <c r="AM686" s="4" t="s">
        <v>1124</v>
      </c>
      <c r="AN686" s="4" t="s">
        <v>1114</v>
      </c>
      <c r="AO686" s="4" t="s">
        <v>1525</v>
      </c>
    </row>
    <row r="687" spans="37:41" ht="18.75">
      <c r="AK687" s="4">
        <v>1.80208627</v>
      </c>
      <c r="AL687" s="4">
        <v>18.109797359999899</v>
      </c>
      <c r="AM687" s="4" t="s">
        <v>1124</v>
      </c>
      <c r="AN687" s="4" t="s">
        <v>1114</v>
      </c>
      <c r="AO687" s="4" t="s">
        <v>1525</v>
      </c>
    </row>
    <row r="688" spans="37:41" ht="18.75">
      <c r="AK688" s="4">
        <v>4.2971525230000003</v>
      </c>
      <c r="AL688" s="4">
        <v>22.73906152</v>
      </c>
      <c r="AM688" s="4" t="s">
        <v>1124</v>
      </c>
      <c r="AN688" s="4" t="s">
        <v>1114</v>
      </c>
      <c r="AO688" s="4" t="s">
        <v>1525</v>
      </c>
    </row>
    <row r="689" spans="37:41" ht="18.75">
      <c r="AK689" s="4">
        <v>4.2971525230000003</v>
      </c>
      <c r="AL689" s="4">
        <v>23.09147201</v>
      </c>
      <c r="AM689" s="4" t="s">
        <v>1124</v>
      </c>
      <c r="AN689" s="4" t="s">
        <v>1114</v>
      </c>
      <c r="AO689" s="4" t="s">
        <v>1525</v>
      </c>
    </row>
    <row r="690" spans="37:41" ht="18.75">
      <c r="AK690" s="4">
        <v>7.5054976040000003</v>
      </c>
      <c r="AL690" s="4">
        <v>24.106414219999898</v>
      </c>
      <c r="AM690" s="4" t="s">
        <v>1124</v>
      </c>
      <c r="AN690" s="4" t="s">
        <v>1114</v>
      </c>
      <c r="AO690" s="4" t="s">
        <v>1525</v>
      </c>
    </row>
    <row r="691" spans="37:41" ht="18.75">
      <c r="AK691" s="4">
        <v>7.5054976040000003</v>
      </c>
      <c r="AL691" s="4">
        <v>23.16195411</v>
      </c>
      <c r="AM691" s="4" t="s">
        <v>1124</v>
      </c>
      <c r="AN691" s="4" t="s">
        <v>1114</v>
      </c>
      <c r="AO691" s="4" t="s">
        <v>1525</v>
      </c>
    </row>
    <row r="692" spans="37:41" ht="18.75">
      <c r="AK692" s="4">
        <v>0</v>
      </c>
      <c r="AL692" s="4">
        <v>1.4978778E-2</v>
      </c>
      <c r="AM692" s="4" t="s">
        <v>1125</v>
      </c>
      <c r="AN692" s="4" t="s">
        <v>1112</v>
      </c>
      <c r="AO692" s="4" t="s">
        <v>1525</v>
      </c>
    </row>
    <row r="693" spans="37:41" ht="18.75">
      <c r="AK693" s="4">
        <v>0</v>
      </c>
      <c r="AL693" s="4">
        <v>2.1762070000000001E-2</v>
      </c>
      <c r="AM693" s="4" t="s">
        <v>1125</v>
      </c>
      <c r="AN693" s="4" t="s">
        <v>1112</v>
      </c>
      <c r="AO693" s="4" t="s">
        <v>1525</v>
      </c>
    </row>
    <row r="694" spans="37:41" ht="18.75">
      <c r="AK694" s="4">
        <v>0.111031774</v>
      </c>
      <c r="AL694" s="4">
        <v>3.6399699000000001E-2</v>
      </c>
      <c r="AM694" s="4" t="s">
        <v>1125</v>
      </c>
      <c r="AN694" s="4" t="s">
        <v>1112</v>
      </c>
      <c r="AO694" s="4" t="s">
        <v>1525</v>
      </c>
    </row>
    <row r="695" spans="37:41" ht="18.75">
      <c r="AK695" s="4">
        <v>0.111031774</v>
      </c>
      <c r="AL695" s="4">
        <v>0.114586061</v>
      </c>
      <c r="AM695" s="4" t="s">
        <v>1125</v>
      </c>
      <c r="AN695" s="4" t="s">
        <v>1112</v>
      </c>
      <c r="AO695" s="4" t="s">
        <v>1525</v>
      </c>
    </row>
    <row r="696" spans="37:41" ht="18.75">
      <c r="AK696" s="4">
        <v>0.459121742</v>
      </c>
      <c r="AL696" s="4">
        <v>6.7817050000000004E-2</v>
      </c>
      <c r="AM696" s="4" t="s">
        <v>1125</v>
      </c>
      <c r="AN696" s="4" t="s">
        <v>1112</v>
      </c>
      <c r="AO696" s="4" t="s">
        <v>1525</v>
      </c>
    </row>
    <row r="697" spans="37:41" ht="18.75">
      <c r="AK697" s="4">
        <v>0.459121742</v>
      </c>
      <c r="AL697" s="4">
        <v>4.7110159999999998E-2</v>
      </c>
      <c r="AM697" s="4" t="s">
        <v>1125</v>
      </c>
      <c r="AN697" s="4" t="s">
        <v>1112</v>
      </c>
      <c r="AO697" s="4" t="s">
        <v>1525</v>
      </c>
    </row>
    <row r="698" spans="37:41" ht="18.75">
      <c r="AK698" s="4">
        <v>2.2638343449999998</v>
      </c>
      <c r="AL698" s="4">
        <v>0.22526082</v>
      </c>
      <c r="AM698" s="4" t="s">
        <v>1125</v>
      </c>
      <c r="AN698" s="4" t="s">
        <v>1112</v>
      </c>
      <c r="AO698" s="4" t="s">
        <v>1525</v>
      </c>
    </row>
    <row r="699" spans="37:41" ht="18.75">
      <c r="AK699" s="4">
        <v>2.2638343449999998</v>
      </c>
      <c r="AL699" s="4">
        <v>0.26453250900000003</v>
      </c>
      <c r="AM699" s="4" t="s">
        <v>1125</v>
      </c>
      <c r="AN699" s="4" t="s">
        <v>1112</v>
      </c>
      <c r="AO699" s="4" t="s">
        <v>1525</v>
      </c>
    </row>
    <row r="700" spans="37:41" ht="18.75">
      <c r="AK700" s="4">
        <v>4.850410568</v>
      </c>
      <c r="AL700" s="4">
        <v>2.1424332590000001</v>
      </c>
      <c r="AM700" s="4" t="s">
        <v>1125</v>
      </c>
      <c r="AN700" s="4" t="s">
        <v>1112</v>
      </c>
      <c r="AO700" s="4" t="s">
        <v>1525</v>
      </c>
    </row>
    <row r="701" spans="37:41" ht="18.75">
      <c r="AK701" s="4">
        <v>4.850410568</v>
      </c>
      <c r="AL701" s="4">
        <v>1.8675314380000001</v>
      </c>
      <c r="AM701" s="4" t="s">
        <v>1125</v>
      </c>
      <c r="AN701" s="4" t="s">
        <v>1112</v>
      </c>
      <c r="AO701" s="4" t="s">
        <v>1525</v>
      </c>
    </row>
    <row r="702" spans="37:41" ht="18.75">
      <c r="AK702" s="4">
        <v>8.9650124959999999</v>
      </c>
      <c r="AL702" s="4">
        <v>8.6829545009999993</v>
      </c>
      <c r="AM702" s="4" t="s">
        <v>1125</v>
      </c>
      <c r="AN702" s="4" t="s">
        <v>1112</v>
      </c>
      <c r="AO702" s="4" t="s">
        <v>1525</v>
      </c>
    </row>
    <row r="703" spans="37:41" ht="18.75">
      <c r="AK703" s="4">
        <v>8.9650124959999999</v>
      </c>
      <c r="AL703" s="4">
        <v>8.7365068039999993</v>
      </c>
      <c r="AM703" s="4" t="s">
        <v>1125</v>
      </c>
      <c r="AN703" s="4" t="s">
        <v>1112</v>
      </c>
      <c r="AO703" s="4" t="s">
        <v>1525</v>
      </c>
    </row>
    <row r="704" spans="37:41" ht="18.75">
      <c r="AK704" s="4">
        <v>0</v>
      </c>
      <c r="AL704" s="4">
        <v>1.7254037E-2</v>
      </c>
      <c r="AM704" s="4" t="s">
        <v>1125</v>
      </c>
      <c r="AN704" s="4" t="s">
        <v>1114</v>
      </c>
      <c r="AO704" s="4" t="s">
        <v>1525</v>
      </c>
    </row>
    <row r="705" spans="37:41" ht="18.75">
      <c r="AK705" s="4">
        <v>0</v>
      </c>
      <c r="AL705" s="4">
        <v>1.3683883000000001E-2</v>
      </c>
      <c r="AM705" s="4" t="s">
        <v>1125</v>
      </c>
      <c r="AN705" s="4" t="s">
        <v>1114</v>
      </c>
      <c r="AO705" s="4" t="s">
        <v>1525</v>
      </c>
    </row>
    <row r="706" spans="37:41" ht="18.75">
      <c r="AK706" s="4">
        <v>0.111031774</v>
      </c>
      <c r="AL706" s="4">
        <v>0.71950323400000005</v>
      </c>
      <c r="AM706" s="4" t="s">
        <v>1125</v>
      </c>
      <c r="AN706" s="4" t="s">
        <v>1114</v>
      </c>
      <c r="AO706" s="4" t="s">
        <v>1525</v>
      </c>
    </row>
    <row r="707" spans="37:41" ht="18.75">
      <c r="AK707" s="4">
        <v>0.111031774</v>
      </c>
      <c r="AL707" s="4">
        <v>1.019396129</v>
      </c>
      <c r="AM707" s="4" t="s">
        <v>1125</v>
      </c>
      <c r="AN707" s="4" t="s">
        <v>1114</v>
      </c>
      <c r="AO707" s="4" t="s">
        <v>1525</v>
      </c>
    </row>
    <row r="708" spans="37:41" ht="18.75">
      <c r="AK708" s="4">
        <v>0.459121742</v>
      </c>
      <c r="AL708" s="4">
        <v>5.042959142</v>
      </c>
      <c r="AM708" s="4" t="s">
        <v>1125</v>
      </c>
      <c r="AN708" s="4" t="s">
        <v>1114</v>
      </c>
      <c r="AO708" s="4" t="s">
        <v>1525</v>
      </c>
    </row>
    <row r="709" spans="37:41" ht="18.75">
      <c r="AK709" s="4">
        <v>0.459121742</v>
      </c>
      <c r="AL709" s="4">
        <v>4.5502779569999996</v>
      </c>
      <c r="AM709" s="4" t="s">
        <v>1125</v>
      </c>
      <c r="AN709" s="4" t="s">
        <v>1114</v>
      </c>
      <c r="AO709" s="4" t="s">
        <v>1525</v>
      </c>
    </row>
    <row r="710" spans="37:41" ht="18.75">
      <c r="AK710" s="4">
        <v>2.2638343449999998</v>
      </c>
      <c r="AL710" s="4">
        <v>16.203259030999899</v>
      </c>
      <c r="AM710" s="4" t="s">
        <v>1125</v>
      </c>
      <c r="AN710" s="4" t="s">
        <v>1114</v>
      </c>
      <c r="AO710" s="4" t="s">
        <v>1525</v>
      </c>
    </row>
    <row r="711" spans="37:41" ht="18.75">
      <c r="AK711" s="4">
        <v>2.2638343449999998</v>
      </c>
      <c r="AL711" s="4">
        <v>17.563487520999999</v>
      </c>
      <c r="AM711" s="4" t="s">
        <v>1125</v>
      </c>
      <c r="AN711" s="4" t="s">
        <v>1114</v>
      </c>
      <c r="AO711" s="4" t="s">
        <v>1525</v>
      </c>
    </row>
    <row r="712" spans="37:41" ht="18.75">
      <c r="AK712" s="4">
        <v>4.850410568</v>
      </c>
      <c r="AL712" s="4">
        <v>26.313933791</v>
      </c>
      <c r="AM712" s="4" t="s">
        <v>1125</v>
      </c>
      <c r="AN712" s="4" t="s">
        <v>1114</v>
      </c>
      <c r="AO712" s="4" t="s">
        <v>1525</v>
      </c>
    </row>
    <row r="713" spans="37:41" ht="18.75">
      <c r="AK713" s="4">
        <v>4.850410568</v>
      </c>
      <c r="AL713" s="4">
        <v>22.697368280999999</v>
      </c>
      <c r="AM713" s="4" t="s">
        <v>1125</v>
      </c>
      <c r="AN713" s="4" t="s">
        <v>1114</v>
      </c>
      <c r="AO713" s="4" t="s">
        <v>1525</v>
      </c>
    </row>
    <row r="714" spans="37:41" ht="18.75">
      <c r="AK714" s="4">
        <v>8.9650124959999999</v>
      </c>
      <c r="AL714" s="4">
        <v>31.258596410999999</v>
      </c>
      <c r="AM714" s="4" t="s">
        <v>1125</v>
      </c>
      <c r="AN714" s="4" t="s">
        <v>1114</v>
      </c>
      <c r="AO714" s="4" t="s">
        <v>1525</v>
      </c>
    </row>
    <row r="715" spans="37:41" ht="18.75">
      <c r="AK715" s="4">
        <v>8.9650124959999999</v>
      </c>
      <c r="AL715" s="4">
        <v>30.219681740999999</v>
      </c>
      <c r="AM715" s="4" t="s">
        <v>1125</v>
      </c>
      <c r="AN715" s="4" t="s">
        <v>1114</v>
      </c>
      <c r="AO715" s="4" t="s">
        <v>1525</v>
      </c>
    </row>
    <row r="716" spans="37:41" ht="18.75">
      <c r="AK716" s="4">
        <v>0</v>
      </c>
      <c r="AL716" s="4">
        <v>7.4593928000000004E-2</v>
      </c>
      <c r="AM716" s="4" t="s">
        <v>1126</v>
      </c>
      <c r="AN716" s="4" t="s">
        <v>1112</v>
      </c>
      <c r="AO716" s="4" t="s">
        <v>1526</v>
      </c>
    </row>
    <row r="717" spans="37:41" ht="18.75">
      <c r="AK717" s="4">
        <v>0</v>
      </c>
      <c r="AL717" s="4">
        <v>6.7453621000000005E-2</v>
      </c>
      <c r="AM717" s="4" t="s">
        <v>1126</v>
      </c>
      <c r="AN717" s="4" t="s">
        <v>1112</v>
      </c>
      <c r="AO717" s="4" t="s">
        <v>1526</v>
      </c>
    </row>
    <row r="718" spans="37:41" ht="18.75">
      <c r="AK718" s="4">
        <v>0.111031774</v>
      </c>
      <c r="AL718" s="4">
        <v>0.10672531</v>
      </c>
      <c r="AM718" s="4" t="s">
        <v>1126</v>
      </c>
      <c r="AN718" s="4" t="s">
        <v>1112</v>
      </c>
      <c r="AO718" s="4" t="s">
        <v>1526</v>
      </c>
    </row>
    <row r="719" spans="37:41" ht="18.75">
      <c r="AK719" s="4">
        <v>0.111031774</v>
      </c>
      <c r="AL719" s="4">
        <v>9.9585003000000005E-2</v>
      </c>
      <c r="AM719" s="4" t="s">
        <v>1126</v>
      </c>
      <c r="AN719" s="4" t="s">
        <v>1112</v>
      </c>
      <c r="AO719" s="4" t="s">
        <v>1526</v>
      </c>
    </row>
    <row r="720" spans="37:41" ht="18.75">
      <c r="AK720" s="4">
        <v>0.459121742</v>
      </c>
      <c r="AL720" s="4">
        <v>0.13171638399999999</v>
      </c>
      <c r="AM720" s="4" t="s">
        <v>1126</v>
      </c>
      <c r="AN720" s="4" t="s">
        <v>1112</v>
      </c>
      <c r="AO720" s="4" t="s">
        <v>1526</v>
      </c>
    </row>
    <row r="721" spans="37:41" ht="18.75">
      <c r="AK721" s="4">
        <v>0.459121742</v>
      </c>
      <c r="AL721" s="4">
        <v>0.13528653800000001</v>
      </c>
      <c r="AM721" s="4" t="s">
        <v>1126</v>
      </c>
      <c r="AN721" s="4" t="s">
        <v>1112</v>
      </c>
      <c r="AO721" s="4" t="s">
        <v>1526</v>
      </c>
    </row>
    <row r="722" spans="37:41" ht="18.75">
      <c r="AK722" s="4">
        <v>2.2638343449999998</v>
      </c>
      <c r="AL722" s="4">
        <v>0.42803912599999999</v>
      </c>
      <c r="AM722" s="4" t="s">
        <v>1126</v>
      </c>
      <c r="AN722" s="4" t="s">
        <v>1112</v>
      </c>
      <c r="AO722" s="4" t="s">
        <v>1526</v>
      </c>
    </row>
    <row r="723" spans="37:41" ht="18.75">
      <c r="AK723" s="4">
        <v>2.2638343449999998</v>
      </c>
      <c r="AL723" s="4">
        <v>0.399477898</v>
      </c>
      <c r="AM723" s="4" t="s">
        <v>1126</v>
      </c>
      <c r="AN723" s="4" t="s">
        <v>1112</v>
      </c>
      <c r="AO723" s="4" t="s">
        <v>1526</v>
      </c>
    </row>
    <row r="724" spans="37:41" ht="18.75">
      <c r="AK724" s="4">
        <v>4.850410568</v>
      </c>
      <c r="AL724" s="4">
        <v>1.977485752</v>
      </c>
      <c r="AM724" s="4" t="s">
        <v>1126</v>
      </c>
      <c r="AN724" s="4" t="s">
        <v>1112</v>
      </c>
      <c r="AO724" s="4" t="s">
        <v>1526</v>
      </c>
    </row>
    <row r="725" spans="37:41" ht="18.75">
      <c r="AK725" s="4">
        <v>4.850410568</v>
      </c>
      <c r="AL725" s="4">
        <v>2.038178362</v>
      </c>
      <c r="AM725" s="4" t="s">
        <v>1126</v>
      </c>
      <c r="AN725" s="4" t="s">
        <v>1112</v>
      </c>
      <c r="AO725" s="4" t="s">
        <v>1526</v>
      </c>
    </row>
    <row r="726" spans="37:41" ht="18.75">
      <c r="AK726" s="4">
        <v>8.9650124959999999</v>
      </c>
      <c r="AL726" s="4">
        <v>8.1217199549999997</v>
      </c>
      <c r="AM726" s="4" t="s">
        <v>1126</v>
      </c>
      <c r="AN726" s="4" t="s">
        <v>1112</v>
      </c>
      <c r="AO726" s="4" t="s">
        <v>1526</v>
      </c>
    </row>
    <row r="727" spans="37:41" ht="18.75">
      <c r="AK727" s="4">
        <v>8.9650124959999999</v>
      </c>
      <c r="AL727" s="4">
        <v>7.7432836819999897</v>
      </c>
      <c r="AM727" s="4" t="s">
        <v>1126</v>
      </c>
      <c r="AN727" s="4" t="s">
        <v>1112</v>
      </c>
      <c r="AO727" s="4" t="s">
        <v>1526</v>
      </c>
    </row>
    <row r="728" spans="37:41" ht="18.75">
      <c r="AK728" s="4">
        <v>0</v>
      </c>
      <c r="AL728" s="4">
        <v>6.9014848999999906E-2</v>
      </c>
      <c r="AM728" s="4" t="s">
        <v>1126</v>
      </c>
      <c r="AN728" s="4" t="s">
        <v>1114</v>
      </c>
      <c r="AO728" s="4" t="s">
        <v>1526</v>
      </c>
    </row>
    <row r="729" spans="37:41" ht="18.75">
      <c r="AK729" s="4">
        <v>0</v>
      </c>
      <c r="AL729" s="4">
        <v>6.5444695999999997E-2</v>
      </c>
      <c r="AM729" s="4" t="s">
        <v>1126</v>
      </c>
      <c r="AN729" s="4" t="s">
        <v>1114</v>
      </c>
      <c r="AO729" s="4" t="s">
        <v>1526</v>
      </c>
    </row>
    <row r="730" spans="37:41" ht="18.75">
      <c r="AK730" s="4">
        <v>0.111031774</v>
      </c>
      <c r="AL730" s="4">
        <v>0.93299199999999904</v>
      </c>
      <c r="AM730" s="4" t="s">
        <v>1126</v>
      </c>
      <c r="AN730" s="4" t="s">
        <v>1114</v>
      </c>
      <c r="AO730" s="4" t="s">
        <v>1526</v>
      </c>
    </row>
    <row r="731" spans="37:41" ht="18.75">
      <c r="AK731" s="4">
        <v>0.111031774</v>
      </c>
      <c r="AL731" s="4">
        <v>0.90800092600000004</v>
      </c>
      <c r="AM731" s="4" t="s">
        <v>1126</v>
      </c>
      <c r="AN731" s="4" t="s">
        <v>1114</v>
      </c>
      <c r="AO731" s="4" t="s">
        <v>1526</v>
      </c>
    </row>
    <row r="732" spans="37:41" ht="18.75">
      <c r="AK732" s="4">
        <v>0.459121742</v>
      </c>
      <c r="AL732" s="4">
        <v>5.2064657599999897</v>
      </c>
      <c r="AM732" s="4" t="s">
        <v>1126</v>
      </c>
      <c r="AN732" s="4" t="s">
        <v>1114</v>
      </c>
      <c r="AO732" s="4" t="s">
        <v>1526</v>
      </c>
    </row>
    <row r="733" spans="37:41" ht="18.75">
      <c r="AK733" s="4">
        <v>0.459121742</v>
      </c>
      <c r="AL733" s="4">
        <v>5.4528063519999996</v>
      </c>
      <c r="AM733" s="4" t="s">
        <v>1126</v>
      </c>
      <c r="AN733" s="4" t="s">
        <v>1114</v>
      </c>
      <c r="AO733" s="4" t="s">
        <v>1526</v>
      </c>
    </row>
    <row r="734" spans="37:41" ht="18.75">
      <c r="AK734" s="4">
        <v>2.2638343449999998</v>
      </c>
      <c r="AL734" s="4">
        <v>16.170407213000001</v>
      </c>
      <c r="AM734" s="4" t="s">
        <v>1126</v>
      </c>
      <c r="AN734" s="4" t="s">
        <v>1114</v>
      </c>
      <c r="AO734" s="4" t="s">
        <v>1526</v>
      </c>
    </row>
    <row r="735" spans="37:41" ht="18.75">
      <c r="AK735" s="4">
        <v>2.2638343449999998</v>
      </c>
      <c r="AL735" s="4">
        <v>15.866944162999999</v>
      </c>
      <c r="AM735" s="4" t="s">
        <v>1126</v>
      </c>
      <c r="AN735" s="4" t="s">
        <v>1114</v>
      </c>
      <c r="AO735" s="4" t="s">
        <v>1526</v>
      </c>
    </row>
    <row r="736" spans="37:41" ht="18.75">
      <c r="AK736" s="4">
        <v>4.850410568</v>
      </c>
      <c r="AL736" s="4">
        <v>24.153270472999999</v>
      </c>
      <c r="AM736" s="4" t="s">
        <v>1126</v>
      </c>
      <c r="AN736" s="4" t="s">
        <v>1114</v>
      </c>
      <c r="AO736" s="4" t="s">
        <v>1526</v>
      </c>
    </row>
    <row r="737" spans="1:41" ht="18.75">
      <c r="AK737" s="4">
        <v>4.850410568</v>
      </c>
      <c r="AL737" s="4">
        <v>23.053663192999998</v>
      </c>
      <c r="AM737" s="4" t="s">
        <v>1126</v>
      </c>
      <c r="AN737" s="4" t="s">
        <v>1114</v>
      </c>
      <c r="AO737" s="4" t="s">
        <v>1526</v>
      </c>
    </row>
    <row r="738" spans="1:41" ht="18.75">
      <c r="AK738" s="4">
        <v>8.9650124959999999</v>
      </c>
      <c r="AL738" s="4">
        <v>28.194684252999998</v>
      </c>
      <c r="AM738" s="4" t="s">
        <v>1126</v>
      </c>
      <c r="AN738" s="4" t="s">
        <v>1114</v>
      </c>
      <c r="AO738" s="4" t="s">
        <v>1526</v>
      </c>
    </row>
    <row r="739" spans="1:41" ht="18.75">
      <c r="AK739" s="4">
        <v>8.9650124959999999</v>
      </c>
      <c r="AL739" s="4">
        <v>29.804823493000001</v>
      </c>
      <c r="AM739" s="4" t="s">
        <v>1126</v>
      </c>
      <c r="AN739" s="4" t="s">
        <v>1114</v>
      </c>
      <c r="AO739" s="4" t="s">
        <v>1526</v>
      </c>
    </row>
    <row r="746" spans="1:41">
      <c r="R746" s="235"/>
      <c r="S746" s="235"/>
      <c r="T746" s="235"/>
      <c r="U746" s="235"/>
      <c r="V746" s="235"/>
      <c r="W746" s="235"/>
      <c r="X746" s="235"/>
      <c r="Y746" s="235"/>
      <c r="Z746" s="235"/>
      <c r="AA746" s="235"/>
      <c r="AB746" s="235"/>
      <c r="AC746" s="235"/>
    </row>
    <row r="749" spans="1:41">
      <c r="A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41">
      <c r="AF750" s="2"/>
      <c r="AG750" s="2"/>
      <c r="AH750" s="2"/>
      <c r="AI750" s="2"/>
      <c r="AJ750" s="2"/>
      <c r="AK750" s="2"/>
    </row>
    <row r="751" spans="1:41">
      <c r="AF751" s="2"/>
      <c r="AG751" s="2"/>
      <c r="AH751" s="2"/>
      <c r="AI751" s="2"/>
      <c r="AJ751" s="2"/>
      <c r="AK751" s="2"/>
    </row>
    <row r="752" spans="1:41">
      <c r="AF752" s="2"/>
      <c r="AG752" s="2"/>
      <c r="AH752" s="2"/>
      <c r="AI752" s="2"/>
      <c r="AJ752" s="2"/>
      <c r="AK752" s="2"/>
    </row>
  </sheetData>
  <mergeCells count="10">
    <mergeCell ref="AK1:AO1"/>
    <mergeCell ref="B40:G40"/>
    <mergeCell ref="H40:M40"/>
    <mergeCell ref="B34:G34"/>
    <mergeCell ref="H34:M34"/>
    <mergeCell ref="A51:AG51"/>
    <mergeCell ref="R746:AC746"/>
    <mergeCell ref="B20:C20"/>
    <mergeCell ref="D20:E20"/>
    <mergeCell ref="F20:G2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E2BF-3552-423D-99F1-3C24AE22C5CA}">
  <dimension ref="A1:AS1143"/>
  <sheetViews>
    <sheetView topLeftCell="G261" zoomScale="90" zoomScaleNormal="90" workbookViewId="0">
      <selection activeCell="AE55" sqref="AE55"/>
    </sheetView>
  </sheetViews>
  <sheetFormatPr defaultColWidth="8.625" defaultRowHeight="14.25"/>
  <cols>
    <col min="1" max="1" width="8.625" style="4" customWidth="1"/>
    <col min="2" max="2" width="12.25" style="4" customWidth="1"/>
    <col min="3" max="3" width="15.5" style="4" customWidth="1"/>
    <col min="4" max="4" width="21.5" style="4" customWidth="1"/>
    <col min="5" max="5" width="16.125" style="4" customWidth="1"/>
    <col min="6" max="6" width="13.25" style="4" customWidth="1"/>
    <col min="7" max="7" width="12.125" style="4" customWidth="1"/>
    <col min="8" max="8" width="23.125" style="4" customWidth="1"/>
    <col min="9" max="9" width="21.5" style="4" customWidth="1"/>
    <col min="10" max="10" width="8.625" style="4"/>
    <col min="11" max="11" width="28.5" style="4" customWidth="1"/>
    <col min="12" max="12" width="13" style="4" customWidth="1"/>
    <col min="13" max="13" width="14.75" style="4" customWidth="1"/>
    <col min="14" max="14" width="10.375" style="4" customWidth="1"/>
    <col min="15" max="16" width="8.625" style="4"/>
    <col min="17" max="17" width="13.75" style="4" customWidth="1"/>
    <col min="18" max="18" width="15.125" style="4" customWidth="1"/>
    <col min="19" max="19" width="10.25" style="4" customWidth="1"/>
    <col min="20" max="25" width="8.625" style="4"/>
    <col min="26" max="26" width="16.125" style="4" customWidth="1"/>
    <col min="27" max="16384" width="8.625" style="4"/>
  </cols>
  <sheetData>
    <row r="1" spans="1:45" ht="18">
      <c r="A1" s="245" t="s">
        <v>1276</v>
      </c>
      <c r="B1" s="245"/>
      <c r="C1" s="245"/>
      <c r="D1" s="245"/>
      <c r="F1" s="245" t="s">
        <v>1289</v>
      </c>
      <c r="G1" s="245"/>
      <c r="H1" s="245"/>
      <c r="I1" s="245"/>
      <c r="J1" s="245"/>
      <c r="K1" s="245"/>
      <c r="L1" s="245"/>
      <c r="M1" s="245"/>
      <c r="N1" s="245"/>
      <c r="O1" s="245"/>
      <c r="Q1" s="246" t="s">
        <v>2244</v>
      </c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</row>
    <row r="2" spans="1:45" ht="15">
      <c r="A2" s="68" t="s">
        <v>252</v>
      </c>
      <c r="B2" s="68" t="s">
        <v>1398</v>
      </c>
      <c r="C2" s="68" t="s">
        <v>1275</v>
      </c>
      <c r="D2" s="68" t="s">
        <v>1403</v>
      </c>
      <c r="F2" s="4" t="s">
        <v>1277</v>
      </c>
      <c r="G2" s="4" t="s">
        <v>2247</v>
      </c>
      <c r="H2" s="4" t="s">
        <v>2248</v>
      </c>
      <c r="I2" s="4" t="s">
        <v>2249</v>
      </c>
      <c r="J2" s="4" t="s">
        <v>252</v>
      </c>
      <c r="K2" s="4" t="s">
        <v>435</v>
      </c>
      <c r="L2" s="4" t="s">
        <v>2250</v>
      </c>
      <c r="M2" s="4" t="s">
        <v>2251</v>
      </c>
      <c r="N2" s="4" t="s">
        <v>2252</v>
      </c>
      <c r="O2" s="4" t="s">
        <v>2253</v>
      </c>
      <c r="R2" s="4" t="s">
        <v>2240</v>
      </c>
      <c r="AA2" s="4" t="s">
        <v>2241</v>
      </c>
    </row>
    <row r="3" spans="1:45">
      <c r="A3" s="4" t="s">
        <v>1319</v>
      </c>
      <c r="B3" s="4" t="s">
        <v>1399</v>
      </c>
      <c r="C3" s="4">
        <v>1.6282225239999999</v>
      </c>
      <c r="D3" s="4">
        <v>1.7667142229999999</v>
      </c>
      <c r="F3" s="4" t="s">
        <v>2254</v>
      </c>
      <c r="G3" s="4">
        <v>1</v>
      </c>
      <c r="H3" s="4" t="s">
        <v>1279</v>
      </c>
      <c r="I3" s="4">
        <v>1</v>
      </c>
      <c r="J3" s="4" t="s">
        <v>196</v>
      </c>
      <c r="K3" s="4" t="s">
        <v>2255</v>
      </c>
      <c r="L3" s="4">
        <v>3.9556005233802898</v>
      </c>
      <c r="M3" s="4">
        <v>22.776448733118901</v>
      </c>
      <c r="N3" s="4">
        <v>396.38253687220202</v>
      </c>
      <c r="O3" s="4">
        <v>5.5828914457228596</v>
      </c>
      <c r="R3" s="4" t="s">
        <v>2242</v>
      </c>
      <c r="AA3" s="4" t="s">
        <v>2242</v>
      </c>
    </row>
    <row r="4" spans="1:45">
      <c r="A4" s="4" t="s">
        <v>1319</v>
      </c>
      <c r="B4" s="4" t="s">
        <v>1399</v>
      </c>
      <c r="C4" s="4">
        <v>1.7503392129999999</v>
      </c>
      <c r="D4" s="4">
        <v>1.7667141260000001</v>
      </c>
      <c r="F4" s="4" t="s">
        <v>2254</v>
      </c>
      <c r="G4" s="4">
        <v>2</v>
      </c>
      <c r="H4" s="4" t="s">
        <v>1280</v>
      </c>
      <c r="I4" s="4">
        <v>1</v>
      </c>
      <c r="J4" s="4" t="s">
        <v>196</v>
      </c>
      <c r="K4" s="4" t="s">
        <v>2255</v>
      </c>
      <c r="L4" s="4">
        <v>2.06531631397191</v>
      </c>
      <c r="M4" s="4">
        <v>27.356703142177899</v>
      </c>
      <c r="N4" s="4">
        <v>4.24866565693209</v>
      </c>
      <c r="O4" s="4">
        <v>10</v>
      </c>
      <c r="Q4" s="4" t="s">
        <v>2243</v>
      </c>
      <c r="R4" s="4">
        <v>0</v>
      </c>
      <c r="T4" s="4">
        <v>1</v>
      </c>
      <c r="V4" s="4">
        <v>10</v>
      </c>
      <c r="Z4" s="4" t="s">
        <v>2243</v>
      </c>
      <c r="AA4" s="4">
        <v>0</v>
      </c>
      <c r="AC4" s="4">
        <v>1</v>
      </c>
      <c r="AE4" s="4">
        <v>10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5" ht="15">
      <c r="A5" s="4" t="s">
        <v>1319</v>
      </c>
      <c r="B5" s="4" t="s">
        <v>1399</v>
      </c>
      <c r="C5" s="4">
        <v>1.934871099</v>
      </c>
      <c r="D5" s="4">
        <v>1.7667044599999999</v>
      </c>
      <c r="F5" s="4" t="s">
        <v>2254</v>
      </c>
      <c r="G5" s="4">
        <v>1</v>
      </c>
      <c r="H5" s="4" t="s">
        <v>1279</v>
      </c>
      <c r="I5" s="4">
        <v>2</v>
      </c>
      <c r="J5" s="4" t="s">
        <v>196</v>
      </c>
      <c r="K5" s="4" t="s">
        <v>2256</v>
      </c>
      <c r="L5" s="4">
        <v>4.2752886359580202</v>
      </c>
      <c r="M5" s="4">
        <v>22.638369148193402</v>
      </c>
      <c r="N5" s="4">
        <v>832.61359646311496</v>
      </c>
      <c r="O5" s="4">
        <v>2.6169084542271102</v>
      </c>
      <c r="Q5" s="4">
        <v>0</v>
      </c>
      <c r="R5" s="4">
        <v>-1.3681000000000001</v>
      </c>
      <c r="S5" s="4">
        <v>-1.3765339999999999</v>
      </c>
      <c r="T5" s="4">
        <v>-1.4820390000000001</v>
      </c>
      <c r="U5" s="4">
        <v>-1.4058839999999999</v>
      </c>
      <c r="V5" s="4">
        <v>-1.6267199999999999</v>
      </c>
      <c r="W5" s="4">
        <v>-1.761879</v>
      </c>
      <c r="Z5" s="4">
        <v>0</v>
      </c>
      <c r="AA5" s="4">
        <v>-0.99824599999999997</v>
      </c>
      <c r="AB5" s="4">
        <v>-0.99824599999999997</v>
      </c>
      <c r="AC5" s="4">
        <v>-1.7711889999999999</v>
      </c>
      <c r="AD5" s="4">
        <v>-1.7711889999999999</v>
      </c>
      <c r="AE5" s="4">
        <v>-1.852525</v>
      </c>
      <c r="AF5" s="4">
        <v>-1.852525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</row>
    <row r="6" spans="1:45">
      <c r="A6" s="4" t="s">
        <v>1319</v>
      </c>
      <c r="B6" s="4" t="s">
        <v>1399</v>
      </c>
      <c r="C6" s="4">
        <v>1.869742198</v>
      </c>
      <c r="D6" s="4">
        <v>1.7664753529999999</v>
      </c>
      <c r="F6" s="4" t="s">
        <v>2254</v>
      </c>
      <c r="G6" s="4">
        <v>2</v>
      </c>
      <c r="H6" s="4" t="s">
        <v>1280</v>
      </c>
      <c r="I6" s="4">
        <v>2</v>
      </c>
      <c r="J6" s="4" t="s">
        <v>196</v>
      </c>
      <c r="K6" s="4" t="s">
        <v>2256</v>
      </c>
      <c r="L6" s="4">
        <v>2.4167840116327799</v>
      </c>
      <c r="M6" s="4">
        <v>31.395601891074499</v>
      </c>
      <c r="N6" s="4">
        <v>8.3160137400024396</v>
      </c>
      <c r="O6" s="4">
        <v>10</v>
      </c>
      <c r="Q6" s="4">
        <v>0.01</v>
      </c>
      <c r="R6" s="4">
        <v>0.42425099999999999</v>
      </c>
      <c r="S6" s="4">
        <v>0.44614300000000001</v>
      </c>
      <c r="T6" s="4">
        <v>-0.25565500000000002</v>
      </c>
      <c r="U6" s="4">
        <v>-0.33824399999999999</v>
      </c>
      <c r="V6" s="4">
        <v>-0.70935099999999995</v>
      </c>
      <c r="W6" s="4">
        <v>-0.67416600000000004</v>
      </c>
      <c r="Z6" s="4">
        <v>0.01</v>
      </c>
      <c r="AA6" s="4">
        <v>1.0326409999999999</v>
      </c>
      <c r="AB6" s="4">
        <v>1.0326409999999999</v>
      </c>
      <c r="AC6" s="4">
        <v>-7.7619999999999995E-2</v>
      </c>
      <c r="AD6" s="4">
        <v>-7.7619999999999995E-2</v>
      </c>
      <c r="AE6" s="4">
        <v>-0.30827500000000002</v>
      </c>
      <c r="AF6" s="4">
        <v>-0.30827500000000002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5">
      <c r="A7" s="4" t="s">
        <v>1319</v>
      </c>
      <c r="B7" s="4" t="s">
        <v>1399</v>
      </c>
      <c r="C7" s="4">
        <v>1.96743555</v>
      </c>
      <c r="D7" s="4">
        <v>1.7657873610000001</v>
      </c>
      <c r="F7" s="4" t="s">
        <v>2254</v>
      </c>
      <c r="G7" s="4">
        <v>1</v>
      </c>
      <c r="H7" s="4" t="s">
        <v>1279</v>
      </c>
      <c r="I7" s="4">
        <v>3</v>
      </c>
      <c r="J7" s="4" t="s">
        <v>2257</v>
      </c>
      <c r="K7" s="4" t="s">
        <v>724</v>
      </c>
      <c r="L7" s="4">
        <v>4.3209692316115698</v>
      </c>
      <c r="M7" s="4">
        <v>30.222251804552901</v>
      </c>
      <c r="N7" s="4">
        <v>692.85509015456898</v>
      </c>
      <c r="O7" s="4">
        <v>0.46473236618309099</v>
      </c>
      <c r="Q7" s="4">
        <v>0.05</v>
      </c>
      <c r="R7" s="4">
        <v>0.94786099999999995</v>
      </c>
      <c r="S7" s="4">
        <v>0.95453399999999999</v>
      </c>
      <c r="T7" s="4">
        <v>0.358433</v>
      </c>
      <c r="U7" s="4">
        <v>0.33591100000000002</v>
      </c>
      <c r="V7" s="4">
        <v>5.6932000000000003E-2</v>
      </c>
      <c r="W7" s="4">
        <v>-4.3893000000000001E-2</v>
      </c>
      <c r="Z7" s="4">
        <v>0.05</v>
      </c>
      <c r="AA7" s="4">
        <v>1.386533</v>
      </c>
      <c r="AB7" s="4">
        <v>1.386533</v>
      </c>
      <c r="AC7" s="4">
        <v>0.273592</v>
      </c>
      <c r="AD7" s="4">
        <v>0.273592</v>
      </c>
      <c r="AE7" s="4">
        <v>4.0890000000000003E-2</v>
      </c>
      <c r="AF7" s="4">
        <v>4.0890000000000003E-2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5">
      <c r="A8" s="4" t="s">
        <v>1319</v>
      </c>
      <c r="B8" s="4" t="s">
        <v>1399</v>
      </c>
      <c r="C8" s="4">
        <v>1.9864314789999999</v>
      </c>
      <c r="D8" s="4">
        <v>1.749870915</v>
      </c>
      <c r="F8" s="4" t="s">
        <v>2254</v>
      </c>
      <c r="G8" s="4">
        <v>2</v>
      </c>
      <c r="H8" s="4" t="s">
        <v>1280</v>
      </c>
      <c r="I8" s="4">
        <v>3</v>
      </c>
      <c r="J8" s="4" t="s">
        <v>2257</v>
      </c>
      <c r="K8" s="4" t="s">
        <v>724</v>
      </c>
      <c r="L8" s="4">
        <v>3.6487915217742701</v>
      </c>
      <c r="M8" s="4">
        <v>32.006393457754797</v>
      </c>
      <c r="N8" s="4">
        <v>139.172933685901</v>
      </c>
      <c r="O8" s="4">
        <v>10</v>
      </c>
      <c r="Q8" s="4">
        <v>0.1</v>
      </c>
      <c r="R8" s="4">
        <v>1.226459</v>
      </c>
      <c r="S8" s="4">
        <v>1.2516989999999999</v>
      </c>
      <c r="T8" s="4">
        <v>0.51290100000000005</v>
      </c>
      <c r="U8" s="4">
        <v>0.47863</v>
      </c>
      <c r="V8" s="4">
        <v>0.17205699999999999</v>
      </c>
      <c r="W8" s="4">
        <v>0.23887700000000001</v>
      </c>
      <c r="Z8" s="4">
        <v>0.1</v>
      </c>
      <c r="AA8" s="4">
        <v>1.4194040000000001</v>
      </c>
      <c r="AB8" s="4">
        <v>1.4194040000000001</v>
      </c>
      <c r="AC8" s="4">
        <v>0.30630800000000002</v>
      </c>
      <c r="AD8" s="4">
        <v>0.30630800000000002</v>
      </c>
      <c r="AE8" s="4">
        <v>7.3484999999999995E-2</v>
      </c>
      <c r="AF8" s="4">
        <v>7.3484999999999995E-2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5">
      <c r="A9" s="4" t="s">
        <v>1319</v>
      </c>
      <c r="B9" s="4" t="s">
        <v>1399</v>
      </c>
      <c r="C9" s="4">
        <v>2.002713704</v>
      </c>
      <c r="D9" s="4">
        <v>1.723727257</v>
      </c>
      <c r="F9" s="4" t="s">
        <v>2254</v>
      </c>
      <c r="G9" s="4">
        <v>1</v>
      </c>
      <c r="H9" s="4" t="s">
        <v>1279</v>
      </c>
      <c r="I9" s="4">
        <v>4</v>
      </c>
      <c r="J9" s="4" t="s">
        <v>2258</v>
      </c>
      <c r="K9" s="4" t="s">
        <v>2259</v>
      </c>
      <c r="L9" s="4">
        <v>3.0012080795854601</v>
      </c>
      <c r="M9" s="4">
        <v>10.9450263084863</v>
      </c>
      <c r="N9" s="4">
        <v>91.620207235254199</v>
      </c>
      <c r="O9" s="4">
        <v>10</v>
      </c>
      <c r="Q9" s="4">
        <v>0.5</v>
      </c>
      <c r="R9" s="4">
        <v>1.226459</v>
      </c>
      <c r="S9" s="4">
        <v>1.2516989999999999</v>
      </c>
      <c r="T9" s="4">
        <v>0.81519200000000003</v>
      </c>
      <c r="U9" s="4">
        <v>0.80986599999999997</v>
      </c>
      <c r="V9" s="4">
        <v>0.50588699999999998</v>
      </c>
      <c r="W9" s="4">
        <v>0.52374900000000002</v>
      </c>
      <c r="Z9" s="4">
        <v>0.5</v>
      </c>
      <c r="AA9" s="4">
        <v>1.4422269999999999</v>
      </c>
      <c r="AB9" s="4">
        <v>1.4422269999999999</v>
      </c>
      <c r="AC9" s="4">
        <v>0.32902900000000002</v>
      </c>
      <c r="AD9" s="4">
        <v>0.32902900000000002</v>
      </c>
      <c r="AE9" s="4">
        <v>9.6129000000000006E-2</v>
      </c>
      <c r="AF9" s="4">
        <v>9.6129000000000006E-2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5">
      <c r="A10" s="4" t="s">
        <v>1319</v>
      </c>
      <c r="B10" s="4" t="s">
        <v>1399</v>
      </c>
      <c r="C10" s="4">
        <v>1.991858887</v>
      </c>
      <c r="D10" s="4">
        <v>1.6255049029999999</v>
      </c>
      <c r="F10" s="4" t="s">
        <v>2254</v>
      </c>
      <c r="G10" s="4">
        <v>2</v>
      </c>
      <c r="H10" s="4" t="s">
        <v>1280</v>
      </c>
      <c r="I10" s="4">
        <v>4</v>
      </c>
      <c r="J10" s="4" t="s">
        <v>2258</v>
      </c>
      <c r="K10" s="4" t="s">
        <v>2259</v>
      </c>
      <c r="L10" s="4">
        <v>1.19747196227228</v>
      </c>
      <c r="M10" s="4">
        <v>10.9450263084863</v>
      </c>
      <c r="N10" s="4">
        <v>1.43964413551981</v>
      </c>
      <c r="O10" s="4">
        <v>10</v>
      </c>
      <c r="Q10" s="4">
        <v>1</v>
      </c>
      <c r="R10" s="4">
        <v>1.28233</v>
      </c>
      <c r="S10" s="4">
        <v>1.2716780000000001</v>
      </c>
      <c r="T10" s="4">
        <v>0.87416199999999999</v>
      </c>
      <c r="U10" s="4">
        <v>0.86089300000000002</v>
      </c>
      <c r="V10" s="4">
        <v>0.60523899999999997</v>
      </c>
      <c r="W10" s="4">
        <v>0.56850100000000003</v>
      </c>
      <c r="Z10" s="4">
        <v>1</v>
      </c>
      <c r="AA10" s="4">
        <v>1.4448570000000001</v>
      </c>
      <c r="AB10" s="4">
        <v>1.4448570000000001</v>
      </c>
      <c r="AC10" s="4">
        <v>0.33164700000000003</v>
      </c>
      <c r="AD10" s="4">
        <v>0.33164700000000003</v>
      </c>
      <c r="AE10" s="4">
        <v>9.8738000000000006E-2</v>
      </c>
      <c r="AF10" s="4">
        <v>9.8738000000000006E-2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5">
      <c r="A11" s="4" t="s">
        <v>1319</v>
      </c>
      <c r="B11" s="4" t="s">
        <v>1399</v>
      </c>
      <c r="C11" s="4">
        <v>1.7394843959999999</v>
      </c>
      <c r="D11" s="4">
        <v>1.7667142229999999</v>
      </c>
      <c r="F11" s="4" t="s">
        <v>2254</v>
      </c>
      <c r="G11" s="4">
        <v>1</v>
      </c>
      <c r="H11" s="4" t="s">
        <v>1279</v>
      </c>
      <c r="I11" s="4">
        <v>5</v>
      </c>
      <c r="J11" s="4" t="s">
        <v>2260</v>
      </c>
      <c r="K11" s="4" t="s">
        <v>2261</v>
      </c>
      <c r="L11" s="4">
        <v>3.7713833486941901</v>
      </c>
      <c r="M11" s="4">
        <v>21.439207869705101</v>
      </c>
      <c r="N11" s="4">
        <v>275.53362983913598</v>
      </c>
      <c r="O11" s="4">
        <v>9.9705852926463194</v>
      </c>
      <c r="Q11" s="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5">
      <c r="A12" s="4" t="s">
        <v>1319</v>
      </c>
      <c r="B12" s="4" t="s">
        <v>1399</v>
      </c>
      <c r="C12" s="4">
        <v>1.894165536</v>
      </c>
      <c r="D12" s="4">
        <v>1.7667141260000001</v>
      </c>
      <c r="F12" s="4" t="s">
        <v>2254</v>
      </c>
      <c r="G12" s="4">
        <v>2</v>
      </c>
      <c r="H12" s="4" t="s">
        <v>1280</v>
      </c>
      <c r="I12" s="4">
        <v>5</v>
      </c>
      <c r="J12" s="4" t="s">
        <v>2260</v>
      </c>
      <c r="K12" s="4" t="s">
        <v>2261</v>
      </c>
      <c r="L12" s="4">
        <v>1.72895755777532</v>
      </c>
      <c r="M12" s="4">
        <v>21.465884315456901</v>
      </c>
      <c r="N12" s="4">
        <v>2.4957942122846801</v>
      </c>
      <c r="O12" s="4">
        <v>10</v>
      </c>
      <c r="Q12" s="1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5" ht="18">
      <c r="A13" s="4" t="s">
        <v>1319</v>
      </c>
      <c r="B13" s="4" t="s">
        <v>1399</v>
      </c>
      <c r="C13" s="4">
        <v>1.9728629580000001</v>
      </c>
      <c r="D13" s="4">
        <v>1.7667044599999999</v>
      </c>
      <c r="F13" s="4" t="s">
        <v>2254</v>
      </c>
      <c r="G13" s="4">
        <v>1</v>
      </c>
      <c r="H13" s="4" t="s">
        <v>1279</v>
      </c>
      <c r="I13" s="4">
        <v>6</v>
      </c>
      <c r="J13" s="4" t="s">
        <v>2262</v>
      </c>
      <c r="K13" s="4" t="s">
        <v>2263</v>
      </c>
      <c r="L13" s="4">
        <v>4.5480881395548396</v>
      </c>
      <c r="M13" s="4">
        <v>24.0215510850574</v>
      </c>
      <c r="N13" s="4">
        <v>1470.57470986972</v>
      </c>
      <c r="O13" s="4">
        <v>1.0971485742871401</v>
      </c>
      <c r="S13" s="60"/>
      <c r="T13" s="60"/>
      <c r="U13" s="60"/>
      <c r="V13" s="245" t="s">
        <v>1290</v>
      </c>
      <c r="W13" s="245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5" ht="15">
      <c r="A14" s="4" t="s">
        <v>1319</v>
      </c>
      <c r="B14" s="4" t="s">
        <v>1399</v>
      </c>
      <c r="C14" s="4">
        <v>1.9728629580000001</v>
      </c>
      <c r="D14" s="4">
        <v>1.7664753529999999</v>
      </c>
      <c r="F14" s="4" t="s">
        <v>2254</v>
      </c>
      <c r="G14" s="4">
        <v>2</v>
      </c>
      <c r="H14" s="4" t="s">
        <v>1280</v>
      </c>
      <c r="I14" s="4">
        <v>6</v>
      </c>
      <c r="J14" s="4" t="s">
        <v>2262</v>
      </c>
      <c r="K14" s="4" t="s">
        <v>2263</v>
      </c>
      <c r="L14" s="4">
        <v>2.9139656387490298</v>
      </c>
      <c r="M14" s="4">
        <v>33.871953434590502</v>
      </c>
      <c r="N14" s="4">
        <v>24.2172817847628</v>
      </c>
      <c r="O14" s="4">
        <v>10</v>
      </c>
      <c r="Q14" s="68"/>
      <c r="R14" s="68"/>
      <c r="S14" s="68"/>
      <c r="T14" s="68"/>
      <c r="U14" s="68"/>
      <c r="V14" s="7" t="s">
        <v>2238</v>
      </c>
      <c r="W14" s="7" t="s">
        <v>2239</v>
      </c>
      <c r="X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5">
      <c r="A15" s="4" t="s">
        <v>1319</v>
      </c>
      <c r="B15" s="4" t="s">
        <v>1399</v>
      </c>
      <c r="C15" s="4">
        <v>2.1411126189999998</v>
      </c>
      <c r="D15" s="4">
        <v>1.7657873610000001</v>
      </c>
      <c r="F15" s="4" t="s">
        <v>2254</v>
      </c>
      <c r="G15" s="4">
        <v>1</v>
      </c>
      <c r="H15" s="4" t="s">
        <v>1279</v>
      </c>
      <c r="I15" s="4">
        <v>7</v>
      </c>
      <c r="J15" s="4" t="s">
        <v>2264</v>
      </c>
      <c r="K15" s="4" t="s">
        <v>2265</v>
      </c>
      <c r="L15" s="4">
        <v>4.3257144558818004</v>
      </c>
      <c r="M15" s="4">
        <v>21.462707694356599</v>
      </c>
      <c r="N15" s="4">
        <v>986.34749291292803</v>
      </c>
      <c r="O15" s="4">
        <v>2.6218109054527199</v>
      </c>
      <c r="V15" s="7">
        <v>2.4444E-2</v>
      </c>
      <c r="W15" s="7">
        <v>1.3860853270840801E-2</v>
      </c>
      <c r="X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5">
      <c r="A16" s="4" t="s">
        <v>1319</v>
      </c>
      <c r="B16" s="4" t="s">
        <v>1399</v>
      </c>
      <c r="C16" s="4">
        <v>2.2279511529999998</v>
      </c>
      <c r="D16" s="4">
        <v>1.749870915</v>
      </c>
      <c r="F16" s="4" t="s">
        <v>2254</v>
      </c>
      <c r="G16" s="4">
        <v>2</v>
      </c>
      <c r="H16" s="4" t="s">
        <v>1280</v>
      </c>
      <c r="I16" s="4">
        <v>7</v>
      </c>
      <c r="J16" s="4" t="s">
        <v>2264</v>
      </c>
      <c r="K16" s="4" t="s">
        <v>2265</v>
      </c>
      <c r="L16" s="4">
        <v>2.3565021910264199</v>
      </c>
      <c r="M16" s="4">
        <v>30.859316765397399</v>
      </c>
      <c r="N16" s="4">
        <v>7.3640356890985599</v>
      </c>
      <c r="O16" s="4">
        <v>10</v>
      </c>
      <c r="V16" s="7">
        <v>2.1971999999999998E-2</v>
      </c>
      <c r="W16" s="7">
        <v>1.3860853270840801E-2</v>
      </c>
      <c r="X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>
      <c r="A17" s="4" t="s">
        <v>1319</v>
      </c>
      <c r="B17" s="4" t="s">
        <v>1399</v>
      </c>
      <c r="C17" s="4">
        <v>2.236092266</v>
      </c>
      <c r="D17" s="4">
        <v>1.723727257</v>
      </c>
      <c r="F17" s="4" t="s">
        <v>2254</v>
      </c>
      <c r="G17" s="4">
        <v>1</v>
      </c>
      <c r="H17" s="4" t="s">
        <v>1279</v>
      </c>
      <c r="I17" s="4">
        <v>8</v>
      </c>
      <c r="J17" s="4" t="s">
        <v>2266</v>
      </c>
      <c r="K17" s="4" t="s">
        <v>2267</v>
      </c>
      <c r="L17" s="4">
        <v>4.1902402762482396</v>
      </c>
      <c r="M17" s="4">
        <v>21.606899702542702</v>
      </c>
      <c r="N17" s="4">
        <v>717.21245074683497</v>
      </c>
      <c r="O17" s="4">
        <v>3.5924962481240601</v>
      </c>
      <c r="V17" s="7">
        <v>1.3183E-2</v>
      </c>
      <c r="W17" s="7">
        <v>1.02962112676908E-2</v>
      </c>
      <c r="X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>
      <c r="A18" s="4" t="s">
        <v>1319</v>
      </c>
      <c r="B18" s="4" t="s">
        <v>1399</v>
      </c>
      <c r="C18" s="4">
        <v>2.1004070559999999</v>
      </c>
      <c r="D18" s="4">
        <v>1.6255049029999999</v>
      </c>
      <c r="F18" s="4" t="s">
        <v>2254</v>
      </c>
      <c r="G18" s="4">
        <v>2</v>
      </c>
      <c r="H18" s="4" t="s">
        <v>1280</v>
      </c>
      <c r="I18" s="4">
        <v>8</v>
      </c>
      <c r="J18" s="4" t="s">
        <v>2266</v>
      </c>
      <c r="K18" s="4" t="s">
        <v>2267</v>
      </c>
      <c r="L18" s="4">
        <v>2.2130633762177698</v>
      </c>
      <c r="M18" s="4">
        <v>29.328974903190801</v>
      </c>
      <c r="N18" s="4">
        <v>5.5688624663206197</v>
      </c>
      <c r="O18" s="4">
        <v>10</v>
      </c>
      <c r="V18" s="7">
        <v>1.2359E-2</v>
      </c>
      <c r="W18" s="7">
        <v>1.02962112676908E-2</v>
      </c>
      <c r="X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>
      <c r="A19" s="4" t="s">
        <v>1319</v>
      </c>
      <c r="B19" s="4" t="s">
        <v>1399</v>
      </c>
      <c r="C19" s="4">
        <v>1.701492537</v>
      </c>
      <c r="D19" s="4">
        <v>1.7665907199999999</v>
      </c>
      <c r="F19" s="4" t="s">
        <v>2254</v>
      </c>
      <c r="G19" s="4">
        <v>1</v>
      </c>
      <c r="H19" s="4" t="s">
        <v>1279</v>
      </c>
      <c r="I19" s="4">
        <v>9</v>
      </c>
      <c r="J19" s="4" t="s">
        <v>2268</v>
      </c>
      <c r="K19" s="4" t="s">
        <v>2269</v>
      </c>
      <c r="L19" s="4">
        <v>4.0215861854209303</v>
      </c>
      <c r="M19" s="4">
        <v>21.205214187050402</v>
      </c>
      <c r="N19" s="4">
        <v>495.61395001307397</v>
      </c>
      <c r="O19" s="4">
        <v>5.6172086043021503</v>
      </c>
      <c r="V19" s="7">
        <v>6.5919999999999998E-3</v>
      </c>
      <c r="W19" s="7">
        <v>1.01726821235521E-2</v>
      </c>
      <c r="X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4" t="s">
        <v>1319</v>
      </c>
      <c r="B20" s="4" t="s">
        <v>1399</v>
      </c>
      <c r="C20" s="4">
        <v>1.883310719</v>
      </c>
      <c r="D20" s="4">
        <v>1.766580204</v>
      </c>
      <c r="F20" s="4" t="s">
        <v>2254</v>
      </c>
      <c r="G20" s="4">
        <v>2</v>
      </c>
      <c r="H20" s="4" t="s">
        <v>1280</v>
      </c>
      <c r="I20" s="4">
        <v>9</v>
      </c>
      <c r="J20" s="4" t="s">
        <v>2268</v>
      </c>
      <c r="K20" s="4" t="s">
        <v>2269</v>
      </c>
      <c r="L20" s="4">
        <v>1.9824573270207699</v>
      </c>
      <c r="M20" s="4">
        <v>26.073751858770699</v>
      </c>
      <c r="N20" s="4">
        <v>3.6834416875843399</v>
      </c>
      <c r="O20" s="4">
        <v>10</v>
      </c>
      <c r="V20" s="7">
        <v>2.1970000000000002E-3</v>
      </c>
      <c r="W20" s="7">
        <v>1.01726821235521E-2</v>
      </c>
      <c r="X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>
      <c r="A21" s="4" t="s">
        <v>1319</v>
      </c>
      <c r="B21" s="4" t="s">
        <v>1399</v>
      </c>
      <c r="C21" s="4">
        <v>2.0298507460000002</v>
      </c>
      <c r="D21" s="4">
        <v>1.7655298109999999</v>
      </c>
      <c r="F21" s="4" t="s">
        <v>2254</v>
      </c>
      <c r="G21" s="4">
        <v>1</v>
      </c>
      <c r="H21" s="4" t="s">
        <v>1279</v>
      </c>
      <c r="I21" s="4">
        <v>10</v>
      </c>
      <c r="J21" s="4" t="s">
        <v>2270</v>
      </c>
      <c r="K21" s="4" t="s">
        <v>2271</v>
      </c>
      <c r="L21" s="4">
        <v>4.5688996290698602</v>
      </c>
      <c r="M21" s="4">
        <v>23.605411564167301</v>
      </c>
      <c r="N21" s="4">
        <v>1569.9580652760001</v>
      </c>
      <c r="O21" s="4">
        <v>1.10205102551275</v>
      </c>
      <c r="V21" s="4">
        <v>1.9775000000000001E-2</v>
      </c>
      <c r="W21" s="4">
        <v>1.43462383350067E-2</v>
      </c>
    </row>
    <row r="22" spans="1:43">
      <c r="A22" s="4" t="s">
        <v>1319</v>
      </c>
      <c r="B22" s="4" t="s">
        <v>1399</v>
      </c>
      <c r="C22" s="4">
        <v>2.1872455899999999</v>
      </c>
      <c r="D22" s="4">
        <v>1.7414128120000001</v>
      </c>
      <c r="F22" s="4" t="s">
        <v>2254</v>
      </c>
      <c r="G22" s="4">
        <v>2</v>
      </c>
      <c r="H22" s="4" t="s">
        <v>1280</v>
      </c>
      <c r="I22" s="4">
        <v>10</v>
      </c>
      <c r="J22" s="4" t="s">
        <v>2270</v>
      </c>
      <c r="K22" s="4" t="s">
        <v>2271</v>
      </c>
      <c r="L22" s="4">
        <v>2.8901437992477499</v>
      </c>
      <c r="M22" s="4">
        <v>33.819430000976404</v>
      </c>
      <c r="N22" s="4">
        <v>22.960297744478002</v>
      </c>
      <c r="O22" s="4">
        <v>10</v>
      </c>
      <c r="V22" s="4">
        <v>2.4444E-2</v>
      </c>
      <c r="W22" s="4">
        <v>1.43462383350067E-2</v>
      </c>
    </row>
    <row r="23" spans="1:43">
      <c r="A23" s="4" t="s">
        <v>1319</v>
      </c>
      <c r="B23" s="4" t="s">
        <v>1399</v>
      </c>
      <c r="C23" s="4">
        <v>2.105834464</v>
      </c>
      <c r="D23" s="4">
        <v>1.676915038</v>
      </c>
      <c r="F23" s="4" t="s">
        <v>2254</v>
      </c>
      <c r="G23" s="4">
        <v>1</v>
      </c>
      <c r="H23" s="4" t="s">
        <v>1279</v>
      </c>
      <c r="I23" s="4">
        <v>11</v>
      </c>
      <c r="J23" s="4" t="s">
        <v>1319</v>
      </c>
      <c r="K23" s="4" t="s">
        <v>2272</v>
      </c>
      <c r="L23" s="4">
        <v>3.8130117702407902</v>
      </c>
      <c r="M23" s="4">
        <v>31.808599741769001</v>
      </c>
      <c r="N23" s="4">
        <v>204.39356515610601</v>
      </c>
      <c r="O23" s="4">
        <v>0.83241620810405204</v>
      </c>
      <c r="V23" s="4">
        <v>1.9224999999999999E-2</v>
      </c>
      <c r="W23" s="4">
        <v>1.03334508401606E-2</v>
      </c>
    </row>
    <row r="24" spans="1:43">
      <c r="A24" s="4" t="s">
        <v>1319</v>
      </c>
      <c r="B24" s="4" t="s">
        <v>1399</v>
      </c>
      <c r="C24" s="4">
        <v>1.6852103119999999</v>
      </c>
      <c r="D24" s="4">
        <v>1.1725207820000001</v>
      </c>
      <c r="F24" s="4" t="s">
        <v>2254</v>
      </c>
      <c r="G24" s="4">
        <v>2</v>
      </c>
      <c r="H24" s="4" t="s">
        <v>1280</v>
      </c>
      <c r="I24" s="4">
        <v>11</v>
      </c>
      <c r="J24" s="4" t="s">
        <v>1319</v>
      </c>
      <c r="K24" s="4" t="s">
        <v>2272</v>
      </c>
      <c r="L24" s="4">
        <v>3.4304108323735698</v>
      </c>
      <c r="M24" s="4">
        <v>32.730004001561497</v>
      </c>
      <c r="N24" s="4">
        <v>82.312306993248001</v>
      </c>
      <c r="O24" s="4">
        <v>10</v>
      </c>
      <c r="V24" s="4">
        <v>1.2909E-2</v>
      </c>
      <c r="W24" s="4">
        <v>1.03334508401606E-2</v>
      </c>
    </row>
    <row r="25" spans="1:43">
      <c r="A25" s="4" t="s">
        <v>1319</v>
      </c>
      <c r="B25" s="4" t="s">
        <v>1399</v>
      </c>
      <c r="C25" s="4">
        <v>1.351424695</v>
      </c>
      <c r="D25" s="4">
        <v>0.98956727300000003</v>
      </c>
      <c r="F25" s="4" t="s">
        <v>2254</v>
      </c>
      <c r="G25" s="4">
        <v>1</v>
      </c>
      <c r="H25" s="4" t="s">
        <v>1279</v>
      </c>
      <c r="I25" s="4">
        <v>12</v>
      </c>
      <c r="J25" s="4" t="s">
        <v>1319</v>
      </c>
      <c r="K25" s="4" t="s">
        <v>2273</v>
      </c>
      <c r="L25" s="4">
        <v>3.7660166425325801</v>
      </c>
      <c r="M25" s="4">
        <v>30.665649523307099</v>
      </c>
      <c r="N25" s="4">
        <v>190.26743991498299</v>
      </c>
      <c r="O25" s="4">
        <v>1.60210105052526</v>
      </c>
      <c r="V25" s="4">
        <v>1.0989999999999999E-3</v>
      </c>
      <c r="W25" s="4">
        <v>1.0194391657103501E-2</v>
      </c>
    </row>
    <row r="26" spans="1:43">
      <c r="A26" s="4" t="s">
        <v>1319</v>
      </c>
      <c r="B26" s="4" t="s">
        <v>1399</v>
      </c>
      <c r="C26" s="4">
        <v>0.66214382599999999</v>
      </c>
      <c r="D26" s="4">
        <v>0.81115595600000001</v>
      </c>
      <c r="F26" s="4" t="s">
        <v>2254</v>
      </c>
      <c r="G26" s="4">
        <v>2</v>
      </c>
      <c r="H26" s="4" t="s">
        <v>1280</v>
      </c>
      <c r="I26" s="4">
        <v>12</v>
      </c>
      <c r="J26" s="4" t="s">
        <v>1319</v>
      </c>
      <c r="K26" s="4" t="s">
        <v>2273</v>
      </c>
      <c r="L26" s="4">
        <v>3.1198903375461602</v>
      </c>
      <c r="M26" s="4">
        <v>33.965786746699898</v>
      </c>
      <c r="N26" s="4">
        <v>38.801512862918401</v>
      </c>
      <c r="O26" s="4">
        <v>10</v>
      </c>
      <c r="V26" s="4">
        <v>1.923E-3</v>
      </c>
      <c r="W26" s="4">
        <v>1.0194391657103501E-2</v>
      </c>
    </row>
    <row r="27" spans="1:43">
      <c r="A27" s="4" t="s">
        <v>1319</v>
      </c>
      <c r="B27" s="4" t="s">
        <v>1399</v>
      </c>
      <c r="C27" s="4">
        <v>1.6852103119999999</v>
      </c>
      <c r="D27" s="4">
        <v>1.7665907199999999</v>
      </c>
      <c r="F27" s="4" t="s">
        <v>2254</v>
      </c>
      <c r="G27" s="4">
        <v>1</v>
      </c>
      <c r="H27" s="4" t="s">
        <v>1279</v>
      </c>
      <c r="I27" s="4">
        <v>13</v>
      </c>
      <c r="J27" s="4" t="s">
        <v>1319</v>
      </c>
      <c r="K27" s="4" t="s">
        <v>2274</v>
      </c>
      <c r="L27" s="4">
        <v>3.5076936254670099</v>
      </c>
      <c r="M27" s="4">
        <v>31.513305070110899</v>
      </c>
      <c r="N27" s="4">
        <v>102.14089799227401</v>
      </c>
      <c r="O27" s="4">
        <v>1.9648824412206101</v>
      </c>
      <c r="V27" s="4">
        <v>5.1084999999999998E-2</v>
      </c>
      <c r="W27" s="4">
        <v>2.6335294041547701E-2</v>
      </c>
    </row>
    <row r="28" spans="1:43">
      <c r="A28" s="4" t="s">
        <v>1319</v>
      </c>
      <c r="B28" s="4" t="s">
        <v>1399</v>
      </c>
      <c r="C28" s="4">
        <v>1.894165536</v>
      </c>
      <c r="D28" s="4">
        <v>1.766580204</v>
      </c>
      <c r="F28" s="4" t="s">
        <v>2254</v>
      </c>
      <c r="G28" s="4">
        <v>2</v>
      </c>
      <c r="H28" s="4" t="s">
        <v>1280</v>
      </c>
      <c r="I28" s="4">
        <v>13</v>
      </c>
      <c r="J28" s="4" t="s">
        <v>1319</v>
      </c>
      <c r="K28" s="4" t="s">
        <v>2274</v>
      </c>
      <c r="L28" s="4">
        <v>3.0628459869875901</v>
      </c>
      <c r="M28" s="4">
        <v>33.833017592228799</v>
      </c>
      <c r="N28" s="4">
        <v>34.159008190177403</v>
      </c>
      <c r="O28" s="4">
        <v>10</v>
      </c>
      <c r="V28" s="4">
        <v>4.4492999999999998E-2</v>
      </c>
      <c r="W28" s="4">
        <v>2.6335294041547701E-2</v>
      </c>
    </row>
    <row r="29" spans="1:43">
      <c r="A29" s="4" t="s">
        <v>1319</v>
      </c>
      <c r="B29" s="4" t="s">
        <v>1399</v>
      </c>
      <c r="C29" s="4">
        <v>2.1519674360000001</v>
      </c>
      <c r="D29" s="4">
        <v>1.7655298109999999</v>
      </c>
      <c r="F29" s="4" t="s">
        <v>2254</v>
      </c>
      <c r="G29" s="4">
        <v>1</v>
      </c>
      <c r="H29" s="4" t="s">
        <v>1279</v>
      </c>
      <c r="I29" s="4">
        <v>14</v>
      </c>
      <c r="J29" s="4" t="s">
        <v>1281</v>
      </c>
      <c r="K29" s="4" t="s">
        <v>2275</v>
      </c>
      <c r="L29" s="4">
        <v>4.5649335152066799</v>
      </c>
      <c r="M29" s="4">
        <v>24.349019739734501</v>
      </c>
      <c r="N29" s="4">
        <v>1508.1760277015501</v>
      </c>
      <c r="O29" s="4">
        <v>1.0040020010005</v>
      </c>
      <c r="V29" s="4">
        <v>1.6479000000000001E-2</v>
      </c>
      <c r="W29" s="4">
        <v>1.12532717036138E-2</v>
      </c>
    </row>
    <row r="30" spans="1:43">
      <c r="A30" s="4" t="s">
        <v>1319</v>
      </c>
      <c r="B30" s="4" t="s">
        <v>1399</v>
      </c>
      <c r="C30" s="4">
        <v>2.1655359569999999</v>
      </c>
      <c r="D30" s="4">
        <v>1.7414128120000001</v>
      </c>
      <c r="F30" s="4" t="s">
        <v>2254</v>
      </c>
      <c r="G30" s="4">
        <v>2</v>
      </c>
      <c r="H30" s="4" t="s">
        <v>1280</v>
      </c>
      <c r="I30" s="4">
        <v>14</v>
      </c>
      <c r="J30" s="4" t="s">
        <v>1281</v>
      </c>
      <c r="K30" s="4" t="s">
        <v>2275</v>
      </c>
      <c r="L30" s="4">
        <v>2.9753409292537998</v>
      </c>
      <c r="M30" s="4">
        <v>33.9822098266051</v>
      </c>
      <c r="N30" s="4">
        <v>27.8028497098245</v>
      </c>
      <c r="O30" s="4">
        <v>10</v>
      </c>
      <c r="V30" s="4">
        <v>1.8127000000000001E-2</v>
      </c>
      <c r="W30" s="4">
        <v>1.12532717036138E-2</v>
      </c>
    </row>
    <row r="31" spans="1:43">
      <c r="A31" s="4" t="s">
        <v>1319</v>
      </c>
      <c r="B31" s="4" t="s">
        <v>1399</v>
      </c>
      <c r="C31" s="4">
        <v>2.192672999</v>
      </c>
      <c r="D31" s="4">
        <v>1.676915038</v>
      </c>
      <c r="F31" s="4" t="s">
        <v>2254</v>
      </c>
      <c r="G31" s="4">
        <v>1</v>
      </c>
      <c r="H31" s="4" t="s">
        <v>1279</v>
      </c>
      <c r="I31" s="4">
        <v>15</v>
      </c>
      <c r="J31" s="4" t="s">
        <v>2276</v>
      </c>
      <c r="K31" s="4" t="s">
        <v>2277</v>
      </c>
      <c r="L31" s="4">
        <v>4.4054055636072302</v>
      </c>
      <c r="M31" s="4">
        <v>19.222561019198299</v>
      </c>
      <c r="N31" s="4">
        <v>1323.1050145905599</v>
      </c>
      <c r="O31" s="4">
        <v>2.60710355177588</v>
      </c>
      <c r="V31" s="4">
        <v>7.6899999999999998E-3</v>
      </c>
      <c r="W31" s="4">
        <v>1.0730619131591099E-2</v>
      </c>
    </row>
    <row r="32" spans="1:43">
      <c r="A32" s="4" t="s">
        <v>1319</v>
      </c>
      <c r="B32" s="4" t="s">
        <v>1399</v>
      </c>
      <c r="C32" s="4">
        <v>1.6607869740000001</v>
      </c>
      <c r="D32" s="4">
        <v>1.1725207820000001</v>
      </c>
      <c r="F32" s="4" t="s">
        <v>2254</v>
      </c>
      <c r="G32" s="4">
        <v>2</v>
      </c>
      <c r="H32" s="4" t="s">
        <v>1280</v>
      </c>
      <c r="I32" s="4">
        <v>15</v>
      </c>
      <c r="J32" s="4" t="s">
        <v>2276</v>
      </c>
      <c r="K32" s="4" t="s">
        <v>2277</v>
      </c>
      <c r="L32" s="4">
        <v>2.24953833110491</v>
      </c>
      <c r="M32" s="4">
        <v>29.753358574745199</v>
      </c>
      <c r="N32" s="4">
        <v>5.9703849641481401</v>
      </c>
      <c r="O32" s="4">
        <v>10</v>
      </c>
      <c r="V32" s="4">
        <v>4.1200000000000004E-3</v>
      </c>
      <c r="W32" s="4">
        <v>1.0730619131591099E-2</v>
      </c>
    </row>
    <row r="33" spans="1:23">
      <c r="A33" s="4" t="s">
        <v>1319</v>
      </c>
      <c r="B33" s="4" t="s">
        <v>1399</v>
      </c>
      <c r="C33" s="4">
        <v>1.3487109909999999</v>
      </c>
      <c r="D33" s="4">
        <v>0.98956727300000003</v>
      </c>
      <c r="F33" s="4" t="s">
        <v>2278</v>
      </c>
      <c r="G33" s="4">
        <v>1</v>
      </c>
      <c r="H33" s="4" t="s">
        <v>1279</v>
      </c>
      <c r="I33" s="4">
        <v>1</v>
      </c>
      <c r="J33" s="4" t="s">
        <v>196</v>
      </c>
      <c r="K33" s="4" t="s">
        <v>2255</v>
      </c>
      <c r="L33" s="4">
        <v>3.6553984299200999</v>
      </c>
      <c r="M33" s="4">
        <v>17.8955886592688</v>
      </c>
      <c r="N33" s="4">
        <v>252.72746503847799</v>
      </c>
      <c r="O33" s="4">
        <v>2.8179089544772302</v>
      </c>
      <c r="V33" s="4">
        <v>5.1908999999999997E-2</v>
      </c>
      <c r="W33" s="4">
        <v>6.0722882750475098E-2</v>
      </c>
    </row>
    <row r="34" spans="1:23">
      <c r="A34" s="4" t="s">
        <v>1319</v>
      </c>
      <c r="B34" s="4" t="s">
        <v>1399</v>
      </c>
      <c r="C34" s="4">
        <v>0.65128900899999997</v>
      </c>
      <c r="D34" s="4">
        <v>0.81115595600000001</v>
      </c>
      <c r="F34" s="4" t="s">
        <v>2278</v>
      </c>
      <c r="G34" s="4">
        <v>2</v>
      </c>
      <c r="H34" s="4" t="s">
        <v>1280</v>
      </c>
      <c r="I34" s="4">
        <v>1</v>
      </c>
      <c r="J34" s="4" t="s">
        <v>196</v>
      </c>
      <c r="K34" s="4" t="s">
        <v>2255</v>
      </c>
      <c r="L34" s="4">
        <v>2.0993082150850402</v>
      </c>
      <c r="M34" s="4">
        <v>27.622621163944</v>
      </c>
      <c r="N34" s="4">
        <v>4.5503345477463801</v>
      </c>
      <c r="O34" s="4">
        <v>10</v>
      </c>
      <c r="V34" s="4">
        <v>7.1134000000000003E-2</v>
      </c>
      <c r="W34" s="4">
        <v>6.0722882750475098E-2</v>
      </c>
    </row>
    <row r="35" spans="1:23">
      <c r="A35" s="4" t="s">
        <v>1319</v>
      </c>
      <c r="B35" s="4" t="s">
        <v>1399</v>
      </c>
      <c r="C35" s="4">
        <v>1.6960651289999999</v>
      </c>
      <c r="D35" s="4">
        <v>1.761740109</v>
      </c>
      <c r="F35" s="4" t="s">
        <v>2278</v>
      </c>
      <c r="G35" s="4">
        <v>1</v>
      </c>
      <c r="H35" s="4" t="s">
        <v>1279</v>
      </c>
      <c r="I35" s="4">
        <v>2</v>
      </c>
      <c r="J35" s="4" t="s">
        <v>196</v>
      </c>
      <c r="K35" s="4" t="s">
        <v>2256</v>
      </c>
      <c r="L35" s="4">
        <v>3.9938232621832599</v>
      </c>
      <c r="M35" s="4">
        <v>17.966823874358798</v>
      </c>
      <c r="N35" s="4">
        <v>548.72146793336196</v>
      </c>
      <c r="O35" s="4">
        <v>1.2785392696348099</v>
      </c>
      <c r="V35" s="4">
        <v>2.5817E-2</v>
      </c>
      <c r="W35" s="4">
        <v>1.3891546336123901E-2</v>
      </c>
    </row>
    <row r="36" spans="1:23">
      <c r="A36" s="4" t="s">
        <v>1319</v>
      </c>
      <c r="B36" s="4" t="s">
        <v>1399</v>
      </c>
      <c r="C36" s="4">
        <v>1.8995929439999999</v>
      </c>
      <c r="D36" s="4">
        <v>1.76132198</v>
      </c>
      <c r="F36" s="4" t="s">
        <v>2278</v>
      </c>
      <c r="G36" s="4">
        <v>2</v>
      </c>
      <c r="H36" s="4" t="s">
        <v>1280</v>
      </c>
      <c r="I36" s="4">
        <v>2</v>
      </c>
      <c r="J36" s="4" t="s">
        <v>196</v>
      </c>
      <c r="K36" s="4" t="s">
        <v>2256</v>
      </c>
      <c r="L36" s="4">
        <v>2.4394538704651998</v>
      </c>
      <c r="M36" s="4">
        <v>30.936048873153101</v>
      </c>
      <c r="N36" s="4">
        <v>8.8917864786051695</v>
      </c>
      <c r="O36" s="4">
        <v>10</v>
      </c>
      <c r="V36" s="4">
        <v>2.2796E-2</v>
      </c>
      <c r="W36" s="4">
        <v>1.3891546336123901E-2</v>
      </c>
    </row>
    <row r="37" spans="1:23">
      <c r="A37" s="4" t="s">
        <v>1319</v>
      </c>
      <c r="B37" s="4" t="s">
        <v>1399</v>
      </c>
      <c r="C37" s="4">
        <v>2.0488466760000001</v>
      </c>
      <c r="D37" s="4">
        <v>1.7207761239999999</v>
      </c>
      <c r="F37" s="4" t="s">
        <v>2278</v>
      </c>
      <c r="G37" s="4">
        <v>1</v>
      </c>
      <c r="H37" s="4" t="s">
        <v>1279</v>
      </c>
      <c r="I37" s="4">
        <v>3</v>
      </c>
      <c r="J37" s="4" t="s">
        <v>2257</v>
      </c>
      <c r="K37" s="4" t="s">
        <v>724</v>
      </c>
      <c r="L37" s="4">
        <v>4.2384009411163701</v>
      </c>
      <c r="M37" s="4">
        <v>28.073922776638501</v>
      </c>
      <c r="N37" s="4">
        <v>616.73392729500495</v>
      </c>
      <c r="O37" s="4">
        <v>0.20490245122561199</v>
      </c>
      <c r="V37" s="4">
        <v>7.4159999999999998E-3</v>
      </c>
      <c r="W37" s="4">
        <v>1.22686526763887E-2</v>
      </c>
    </row>
    <row r="38" spans="1:23">
      <c r="A38" s="4" t="s">
        <v>1319</v>
      </c>
      <c r="B38" s="4" t="s">
        <v>1399</v>
      </c>
      <c r="C38" s="4">
        <v>1.943012212</v>
      </c>
      <c r="D38" s="4">
        <v>1.176480285</v>
      </c>
      <c r="F38" s="4" t="s">
        <v>2278</v>
      </c>
      <c r="G38" s="4">
        <v>2</v>
      </c>
      <c r="H38" s="4" t="s">
        <v>1280</v>
      </c>
      <c r="I38" s="4">
        <v>3</v>
      </c>
      <c r="J38" s="4" t="s">
        <v>2257</v>
      </c>
      <c r="K38" s="4" t="s">
        <v>724</v>
      </c>
      <c r="L38" s="4">
        <v>3.3891739742070301</v>
      </c>
      <c r="M38" s="4">
        <v>27.472543221072399</v>
      </c>
      <c r="N38" s="4">
        <v>89.181569027715</v>
      </c>
      <c r="O38" s="4">
        <v>6.4359179589794904</v>
      </c>
      <c r="V38" s="4">
        <v>7.4159999999999998E-3</v>
      </c>
      <c r="W38" s="4">
        <v>1.22686526763887E-2</v>
      </c>
    </row>
    <row r="39" spans="1:23">
      <c r="A39" s="4" t="s">
        <v>1319</v>
      </c>
      <c r="B39" s="4" t="s">
        <v>1399</v>
      </c>
      <c r="C39" s="4">
        <v>1.5875169609999999</v>
      </c>
      <c r="D39" s="4">
        <v>0.74640353500000001</v>
      </c>
      <c r="F39" s="4" t="s">
        <v>2278</v>
      </c>
      <c r="G39" s="4">
        <v>1</v>
      </c>
      <c r="H39" s="4" t="s">
        <v>1279</v>
      </c>
      <c r="I39" s="4">
        <v>4</v>
      </c>
      <c r="J39" s="4" t="s">
        <v>2258</v>
      </c>
      <c r="K39" s="4" t="s">
        <v>2259</v>
      </c>
      <c r="L39" s="4">
        <v>2.9064280462602099</v>
      </c>
      <c r="M39" s="4">
        <v>11.688017721444799</v>
      </c>
      <c r="N39" s="4">
        <v>68.974281451127098</v>
      </c>
      <c r="O39" s="4">
        <v>10</v>
      </c>
      <c r="V39" s="4">
        <v>0.40950300000000001</v>
      </c>
      <c r="W39" s="4">
        <v>0.678439768468728</v>
      </c>
    </row>
    <row r="40" spans="1:23">
      <c r="A40" s="4" t="s">
        <v>1319</v>
      </c>
      <c r="B40" s="4" t="s">
        <v>1399</v>
      </c>
      <c r="C40" s="4">
        <v>0.50203527800000003</v>
      </c>
      <c r="D40" s="4">
        <v>0.38006392</v>
      </c>
      <c r="F40" s="4" t="s">
        <v>2278</v>
      </c>
      <c r="G40" s="4">
        <v>2</v>
      </c>
      <c r="H40" s="4" t="s">
        <v>1280</v>
      </c>
      <c r="I40" s="4">
        <v>4</v>
      </c>
      <c r="J40" s="4" t="s">
        <v>2258</v>
      </c>
      <c r="K40" s="4" t="s">
        <v>2259</v>
      </c>
      <c r="L40" s="4">
        <v>1.23945537362892</v>
      </c>
      <c r="M40" s="4">
        <v>11.688017721444799</v>
      </c>
      <c r="N40" s="4">
        <v>1.48495916876214</v>
      </c>
      <c r="O40" s="4">
        <v>10</v>
      </c>
      <c r="V40" s="4">
        <v>0.51112299999999999</v>
      </c>
      <c r="W40" s="4">
        <v>0.678439768468728</v>
      </c>
    </row>
    <row r="41" spans="1:23">
      <c r="A41" s="4" t="s">
        <v>1319</v>
      </c>
      <c r="B41" s="4" t="s">
        <v>1399</v>
      </c>
      <c r="C41" s="4">
        <v>0.27408412500000001</v>
      </c>
      <c r="D41" s="4">
        <v>0.348815812</v>
      </c>
      <c r="F41" s="4" t="s">
        <v>2278</v>
      </c>
      <c r="G41" s="4">
        <v>1</v>
      </c>
      <c r="H41" s="4" t="s">
        <v>1279</v>
      </c>
      <c r="I41" s="4">
        <v>5</v>
      </c>
      <c r="J41" s="4" t="s">
        <v>2260</v>
      </c>
      <c r="K41" s="4" t="s">
        <v>2261</v>
      </c>
      <c r="L41" s="4">
        <v>3.4313364880800399</v>
      </c>
      <c r="M41" s="4">
        <v>16.353254319174901</v>
      </c>
      <c r="N41" s="4">
        <v>165.09438291611599</v>
      </c>
      <c r="O41" s="4">
        <v>5.1220610305152503</v>
      </c>
      <c r="V41" s="4">
        <v>8.8986999999999997E-2</v>
      </c>
      <c r="W41" s="4">
        <v>6.1283842535146203E-2</v>
      </c>
    </row>
    <row r="42" spans="1:23">
      <c r="A42" s="4" t="s">
        <v>1319</v>
      </c>
      <c r="B42" s="4" t="s">
        <v>1399</v>
      </c>
      <c r="C42" s="4">
        <v>0.12293080100000001</v>
      </c>
      <c r="D42" s="4">
        <v>0.32445338299999998</v>
      </c>
      <c r="F42" s="4" t="s">
        <v>2278</v>
      </c>
      <c r="G42" s="4">
        <v>2</v>
      </c>
      <c r="H42" s="4" t="s">
        <v>1280</v>
      </c>
      <c r="I42" s="4">
        <v>5</v>
      </c>
      <c r="J42" s="4" t="s">
        <v>2260</v>
      </c>
      <c r="K42" s="4" t="s">
        <v>2261</v>
      </c>
      <c r="L42" s="4">
        <v>1.7679399611653701</v>
      </c>
      <c r="M42" s="4">
        <v>22.1636155838912</v>
      </c>
      <c r="N42" s="4">
        <v>2.64423075514916</v>
      </c>
      <c r="O42" s="4">
        <v>10</v>
      </c>
      <c r="V42" s="4">
        <v>9.9973000000000006E-2</v>
      </c>
      <c r="W42" s="4">
        <v>6.1283842535146203E-2</v>
      </c>
    </row>
    <row r="43" spans="1:23">
      <c r="A43" s="4" t="s">
        <v>1319</v>
      </c>
      <c r="B43" s="4" t="s">
        <v>1399</v>
      </c>
      <c r="C43" s="4">
        <v>1.766621438</v>
      </c>
      <c r="D43" s="4">
        <v>1.761740109</v>
      </c>
      <c r="F43" s="4" t="s">
        <v>2278</v>
      </c>
      <c r="G43" s="4">
        <v>1</v>
      </c>
      <c r="H43" s="4" t="s">
        <v>1279</v>
      </c>
      <c r="I43" s="4">
        <v>6</v>
      </c>
      <c r="J43" s="4" t="s">
        <v>2262</v>
      </c>
      <c r="K43" s="4" t="s">
        <v>2263</v>
      </c>
      <c r="L43" s="4">
        <v>4.3283719725886396</v>
      </c>
      <c r="M43" s="4">
        <v>19.965374156850899</v>
      </c>
      <c r="N43" s="4">
        <v>1066.8282788208701</v>
      </c>
      <c r="O43" s="4">
        <v>0.51375687843921902</v>
      </c>
      <c r="V43" s="4">
        <v>5.8226E-2</v>
      </c>
      <c r="W43" s="4">
        <v>3.98969141245629E-2</v>
      </c>
    </row>
    <row r="44" spans="1:23">
      <c r="A44" s="4" t="s">
        <v>1319</v>
      </c>
      <c r="B44" s="4" t="s">
        <v>1399</v>
      </c>
      <c r="C44" s="4">
        <v>1.9185888740000001</v>
      </c>
      <c r="D44" s="4">
        <v>1.76132198</v>
      </c>
      <c r="F44" s="4" t="s">
        <v>2278</v>
      </c>
      <c r="G44" s="4">
        <v>2</v>
      </c>
      <c r="H44" s="4" t="s">
        <v>1280</v>
      </c>
      <c r="I44" s="4">
        <v>6</v>
      </c>
      <c r="J44" s="4" t="s">
        <v>2262</v>
      </c>
      <c r="K44" s="4" t="s">
        <v>2263</v>
      </c>
      <c r="L44" s="4">
        <v>2.8933966979708798</v>
      </c>
      <c r="M44" s="4">
        <v>31.5156535165817</v>
      </c>
      <c r="N44" s="4">
        <v>24.8239210172637</v>
      </c>
      <c r="O44" s="4">
        <v>10</v>
      </c>
      <c r="V44" s="4">
        <v>6.1522E-2</v>
      </c>
      <c r="W44" s="4">
        <v>3.98969141245629E-2</v>
      </c>
    </row>
    <row r="45" spans="1:23">
      <c r="A45" s="4" t="s">
        <v>1319</v>
      </c>
      <c r="B45" s="4" t="s">
        <v>1399</v>
      </c>
      <c r="C45" s="4">
        <v>2.021709634</v>
      </c>
      <c r="D45" s="4">
        <v>1.7207761239999999</v>
      </c>
      <c r="F45" s="4" t="s">
        <v>2278</v>
      </c>
      <c r="G45" s="4">
        <v>1</v>
      </c>
      <c r="H45" s="4" t="s">
        <v>1279</v>
      </c>
      <c r="I45" s="4">
        <v>7</v>
      </c>
      <c r="J45" s="4" t="s">
        <v>2264</v>
      </c>
      <c r="K45" s="4" t="s">
        <v>2265</v>
      </c>
      <c r="L45" s="4">
        <v>4.0217503046235903</v>
      </c>
      <c r="M45" s="4">
        <v>16.707209180747899</v>
      </c>
      <c r="N45" s="4">
        <v>629.28357227200195</v>
      </c>
      <c r="O45" s="4">
        <v>1.2785392696348099</v>
      </c>
      <c r="V45" s="4">
        <v>0.94781700000000002</v>
      </c>
      <c r="W45" s="4">
        <v>1.46037430447162</v>
      </c>
    </row>
    <row r="46" spans="1:23">
      <c r="A46" s="4" t="s">
        <v>1319</v>
      </c>
      <c r="B46" s="4" t="s">
        <v>1399</v>
      </c>
      <c r="C46" s="4">
        <v>1.9050203530000001</v>
      </c>
      <c r="D46" s="4">
        <v>1.176480285</v>
      </c>
      <c r="F46" s="4" t="s">
        <v>2278</v>
      </c>
      <c r="G46" s="4">
        <v>2</v>
      </c>
      <c r="H46" s="4" t="s">
        <v>1280</v>
      </c>
      <c r="I46" s="4">
        <v>7</v>
      </c>
      <c r="J46" s="4" t="s">
        <v>2264</v>
      </c>
      <c r="K46" s="4" t="s">
        <v>2265</v>
      </c>
      <c r="L46" s="4">
        <v>2.3818828209693699</v>
      </c>
      <c r="M46" s="4">
        <v>30.548009679495799</v>
      </c>
      <c r="N46" s="4">
        <v>7.8867831776689998</v>
      </c>
      <c r="O46" s="4">
        <v>10</v>
      </c>
      <c r="V46" s="4">
        <v>0.96429600000000004</v>
      </c>
      <c r="W46" s="4">
        <v>1.46037430447162</v>
      </c>
    </row>
    <row r="47" spans="1:23">
      <c r="A47" s="4" t="s">
        <v>1319</v>
      </c>
      <c r="B47" s="4" t="s">
        <v>1399</v>
      </c>
      <c r="C47" s="4">
        <v>1.473541384</v>
      </c>
      <c r="D47" s="4">
        <v>0.74640353500000001</v>
      </c>
      <c r="F47" s="4" t="s">
        <v>2278</v>
      </c>
      <c r="G47" s="4">
        <v>1</v>
      </c>
      <c r="H47" s="4" t="s">
        <v>1279</v>
      </c>
      <c r="I47" s="4">
        <v>8</v>
      </c>
      <c r="J47" s="4" t="s">
        <v>2266</v>
      </c>
      <c r="K47" s="4" t="s">
        <v>2267</v>
      </c>
      <c r="L47" s="4">
        <v>3.87838759610568</v>
      </c>
      <c r="M47" s="4">
        <v>16.757884153017201</v>
      </c>
      <c r="N47" s="4">
        <v>450.99155777039601</v>
      </c>
      <c r="O47" s="4">
        <v>1.7785892946473201</v>
      </c>
      <c r="V47" s="4">
        <v>0.14638799999999999</v>
      </c>
      <c r="W47" s="4">
        <v>0.121275197790725</v>
      </c>
    </row>
    <row r="48" spans="1:23">
      <c r="A48" s="4" t="s">
        <v>1319</v>
      </c>
      <c r="B48" s="4" t="s">
        <v>1399</v>
      </c>
      <c r="C48" s="4">
        <v>0.44504748999999999</v>
      </c>
      <c r="D48" s="4">
        <v>0.38006392</v>
      </c>
      <c r="F48" s="4" t="s">
        <v>2278</v>
      </c>
      <c r="G48" s="4">
        <v>2</v>
      </c>
      <c r="H48" s="4" t="s">
        <v>1280</v>
      </c>
      <c r="I48" s="4">
        <v>8</v>
      </c>
      <c r="J48" s="4" t="s">
        <v>2266</v>
      </c>
      <c r="K48" s="4" t="s">
        <v>2267</v>
      </c>
      <c r="L48" s="4">
        <v>2.24342788866347</v>
      </c>
      <c r="M48" s="4">
        <v>29.326814816089001</v>
      </c>
      <c r="N48" s="4">
        <v>5.9725939749778201</v>
      </c>
      <c r="O48" s="4">
        <v>10</v>
      </c>
      <c r="V48" s="4">
        <v>0.13650100000000001</v>
      </c>
      <c r="W48" s="4">
        <v>0.121275197790725</v>
      </c>
    </row>
    <row r="49" spans="1:23">
      <c r="A49" s="4" t="s">
        <v>1319</v>
      </c>
      <c r="B49" s="4" t="s">
        <v>1399</v>
      </c>
      <c r="C49" s="4">
        <v>0.276797829</v>
      </c>
      <c r="D49" s="4">
        <v>0.348815812</v>
      </c>
      <c r="F49" s="4" t="s">
        <v>2278</v>
      </c>
      <c r="G49" s="4">
        <v>1</v>
      </c>
      <c r="H49" s="4" t="s">
        <v>1279</v>
      </c>
      <c r="I49" s="4">
        <v>9</v>
      </c>
      <c r="J49" s="4" t="s">
        <v>2268</v>
      </c>
      <c r="K49" s="4" t="s">
        <v>2269</v>
      </c>
      <c r="L49" s="4">
        <v>3.6890251821400799</v>
      </c>
      <c r="M49" s="4">
        <v>16.229050940137299</v>
      </c>
      <c r="N49" s="4">
        <v>301.11477004737901</v>
      </c>
      <c r="O49" s="4">
        <v>2.8326163081540701</v>
      </c>
      <c r="V49" s="4">
        <v>9.7501000000000004E-2</v>
      </c>
      <c r="W49" s="4">
        <v>7.4870042260642894E-2</v>
      </c>
    </row>
    <row r="50" spans="1:23">
      <c r="A50" s="4" t="s">
        <v>1319</v>
      </c>
      <c r="B50" s="4" t="s">
        <v>1399</v>
      </c>
      <c r="C50" s="4">
        <v>0.12075983699999999</v>
      </c>
      <c r="D50" s="4">
        <v>0.32445338299999998</v>
      </c>
      <c r="F50" s="4" t="s">
        <v>2278</v>
      </c>
      <c r="G50" s="4">
        <v>2</v>
      </c>
      <c r="H50" s="4" t="s">
        <v>1280</v>
      </c>
      <c r="I50" s="4">
        <v>9</v>
      </c>
      <c r="J50" s="4" t="s">
        <v>2268</v>
      </c>
      <c r="K50" s="4" t="s">
        <v>2269</v>
      </c>
      <c r="L50" s="4">
        <v>2.0181104903973401</v>
      </c>
      <c r="M50" s="4">
        <v>26.471806319940001</v>
      </c>
      <c r="N50" s="4">
        <v>3.9384643049930901</v>
      </c>
      <c r="O50" s="4">
        <v>10</v>
      </c>
      <c r="V50" s="4">
        <v>9.1184000000000001E-2</v>
      </c>
      <c r="W50" s="4">
        <v>7.4870042260642894E-2</v>
      </c>
    </row>
    <row r="51" spans="1:23">
      <c r="A51" s="4" t="s">
        <v>1319</v>
      </c>
      <c r="B51" s="4" t="s">
        <v>1399</v>
      </c>
      <c r="C51" s="4">
        <v>1.712347354</v>
      </c>
      <c r="D51" s="4">
        <v>1.733678866</v>
      </c>
      <c r="F51" s="4" t="s">
        <v>2278</v>
      </c>
      <c r="G51" s="4">
        <v>1</v>
      </c>
      <c r="H51" s="4" t="s">
        <v>1279</v>
      </c>
      <c r="I51" s="4">
        <v>10</v>
      </c>
      <c r="J51" s="4" t="s">
        <v>2270</v>
      </c>
      <c r="K51" s="4" t="s">
        <v>2271</v>
      </c>
      <c r="L51" s="4">
        <v>4.3418590110825201</v>
      </c>
      <c r="M51" s="4">
        <v>19.456548760294002</v>
      </c>
      <c r="N51" s="4">
        <v>1129.2580738092299</v>
      </c>
      <c r="O51" s="4">
        <v>0.51375687843921902</v>
      </c>
      <c r="V51" s="4">
        <v>3.7135400000000001</v>
      </c>
      <c r="W51" s="4">
        <v>1.03173950880895</v>
      </c>
    </row>
    <row r="52" spans="1:23">
      <c r="A52" s="4" t="s">
        <v>1319</v>
      </c>
      <c r="B52" s="4" t="s">
        <v>1399</v>
      </c>
      <c r="C52" s="4">
        <v>1.9185888740000001</v>
      </c>
      <c r="D52" s="4">
        <v>1.730958701</v>
      </c>
      <c r="F52" s="4" t="s">
        <v>2278</v>
      </c>
      <c r="G52" s="4">
        <v>2</v>
      </c>
      <c r="H52" s="4" t="s">
        <v>1280</v>
      </c>
      <c r="I52" s="4">
        <v>10</v>
      </c>
      <c r="J52" s="4" t="s">
        <v>2270</v>
      </c>
      <c r="K52" s="4" t="s">
        <v>2271</v>
      </c>
      <c r="L52" s="4">
        <v>2.8730032917271502</v>
      </c>
      <c r="M52" s="4">
        <v>31.5966886426706</v>
      </c>
      <c r="N52" s="4">
        <v>23.624450795083501</v>
      </c>
      <c r="O52" s="4">
        <v>10</v>
      </c>
      <c r="V52" s="4">
        <v>3.5789620000000002</v>
      </c>
      <c r="W52" s="4">
        <v>1.03173950880895</v>
      </c>
    </row>
    <row r="53" spans="1:23">
      <c r="A53" s="4" t="s">
        <v>1319</v>
      </c>
      <c r="B53" s="4" t="s">
        <v>1399</v>
      </c>
      <c r="C53" s="4">
        <v>1.8018995929999999</v>
      </c>
      <c r="D53" s="4">
        <v>1.502418375</v>
      </c>
      <c r="F53" s="4" t="s">
        <v>2278</v>
      </c>
      <c r="G53" s="4">
        <v>1</v>
      </c>
      <c r="H53" s="4" t="s">
        <v>1279</v>
      </c>
      <c r="I53" s="4">
        <v>11</v>
      </c>
      <c r="J53" s="4" t="s">
        <v>1319</v>
      </c>
      <c r="K53" s="4" t="s">
        <v>2272</v>
      </c>
      <c r="L53" s="4">
        <v>3.74162104503844</v>
      </c>
      <c r="M53" s="4">
        <v>29.954195853879899</v>
      </c>
      <c r="N53" s="4">
        <v>184.14646233018399</v>
      </c>
      <c r="O53" s="4">
        <v>0.38629314657328601</v>
      </c>
      <c r="V53" s="4">
        <v>1.3378190000000001</v>
      </c>
      <c r="W53" s="4">
        <v>8.8389603003022399E-2</v>
      </c>
    </row>
    <row r="54" spans="1:23">
      <c r="A54" s="4" t="s">
        <v>1319</v>
      </c>
      <c r="B54" s="4" t="s">
        <v>1399</v>
      </c>
      <c r="C54" s="4">
        <v>1.0719131609999999</v>
      </c>
      <c r="D54" s="4">
        <v>0.54018238399999996</v>
      </c>
      <c r="F54" s="4" t="s">
        <v>2278</v>
      </c>
      <c r="G54" s="4">
        <v>2</v>
      </c>
      <c r="H54" s="4" t="s">
        <v>1280</v>
      </c>
      <c r="I54" s="4">
        <v>11</v>
      </c>
      <c r="J54" s="4" t="s">
        <v>1319</v>
      </c>
      <c r="K54" s="4" t="s">
        <v>2272</v>
      </c>
      <c r="L54" s="4">
        <v>3.2263699788398901</v>
      </c>
      <c r="M54" s="4">
        <v>28.7374134539293</v>
      </c>
      <c r="N54" s="4">
        <v>58.603331076894001</v>
      </c>
      <c r="O54" s="4">
        <v>6.6418209104552197</v>
      </c>
      <c r="V54" s="4">
        <v>1.3652839999999999</v>
      </c>
      <c r="W54" s="4">
        <v>8.8389603003022399E-2</v>
      </c>
    </row>
    <row r="55" spans="1:23">
      <c r="A55" s="4" t="s">
        <v>1319</v>
      </c>
      <c r="B55" s="4" t="s">
        <v>1399</v>
      </c>
      <c r="C55" s="4">
        <v>0.68385346000000002</v>
      </c>
      <c r="D55" s="4">
        <v>0.35230022900000002</v>
      </c>
      <c r="F55" s="4" t="s">
        <v>2278</v>
      </c>
      <c r="G55" s="4">
        <v>1</v>
      </c>
      <c r="H55" s="4" t="s">
        <v>1279</v>
      </c>
      <c r="I55" s="4">
        <v>12</v>
      </c>
      <c r="J55" s="4" t="s">
        <v>1319</v>
      </c>
      <c r="K55" s="4" t="s">
        <v>2273</v>
      </c>
      <c r="L55" s="4">
        <v>3.6598371040486599</v>
      </c>
      <c r="M55" s="4">
        <v>28.1143399586017</v>
      </c>
      <c r="N55" s="4">
        <v>162.52089751375601</v>
      </c>
      <c r="O55" s="4">
        <v>0.773586793396698</v>
      </c>
      <c r="V55" s="4">
        <v>0.72260400000000002</v>
      </c>
      <c r="W55" s="4">
        <v>5.5698744738828902E-2</v>
      </c>
    </row>
    <row r="56" spans="1:23">
      <c r="A56" s="4" t="s">
        <v>1319</v>
      </c>
      <c r="B56" s="4" t="s">
        <v>1399</v>
      </c>
      <c r="C56" s="4">
        <v>0.132428765</v>
      </c>
      <c r="D56" s="4">
        <v>0.25837080000000001</v>
      </c>
      <c r="F56" s="4" t="s">
        <v>2278</v>
      </c>
      <c r="G56" s="4">
        <v>2</v>
      </c>
      <c r="H56" s="4" t="s">
        <v>1280</v>
      </c>
      <c r="I56" s="4">
        <v>12</v>
      </c>
      <c r="J56" s="4" t="s">
        <v>1319</v>
      </c>
      <c r="K56" s="4" t="s">
        <v>2273</v>
      </c>
      <c r="L56" s="4">
        <v>3.0391810509787298</v>
      </c>
      <c r="M56" s="4">
        <v>29.6498079734965</v>
      </c>
      <c r="N56" s="4">
        <v>36.911285113075401</v>
      </c>
      <c r="O56" s="4">
        <v>10</v>
      </c>
      <c r="V56" s="4">
        <v>0.73633599999999999</v>
      </c>
      <c r="W56" s="4">
        <v>5.5698744738828902E-2</v>
      </c>
    </row>
    <row r="57" spans="1:23">
      <c r="A57" s="4" t="s">
        <v>1319</v>
      </c>
      <c r="B57" s="4" t="s">
        <v>1399</v>
      </c>
      <c r="C57" s="4">
        <v>9.4708276999999993E-2</v>
      </c>
      <c r="D57" s="4">
        <v>0.25074776399999998</v>
      </c>
      <c r="F57" s="4" t="s">
        <v>2278</v>
      </c>
      <c r="G57" s="4">
        <v>1</v>
      </c>
      <c r="H57" s="4" t="s">
        <v>1279</v>
      </c>
      <c r="I57" s="4">
        <v>13</v>
      </c>
      <c r="J57" s="4" t="s">
        <v>1319</v>
      </c>
      <c r="K57" s="4" t="s">
        <v>2274</v>
      </c>
      <c r="L57" s="4">
        <v>3.4186673958904499</v>
      </c>
      <c r="M57" s="4">
        <v>29.3062193626387</v>
      </c>
      <c r="N57" s="4">
        <v>89.476214058323805</v>
      </c>
      <c r="O57" s="4">
        <v>0.959879939969985</v>
      </c>
      <c r="V57" s="4">
        <v>4.408404</v>
      </c>
      <c r="W57" s="4">
        <v>1.1549683837134099</v>
      </c>
    </row>
    <row r="58" spans="1:23">
      <c r="A58" s="4" t="s">
        <v>1319</v>
      </c>
      <c r="B58" s="4" t="s">
        <v>1399</v>
      </c>
      <c r="C58" s="4">
        <v>4.9660786999999998E-2</v>
      </c>
      <c r="D58" s="4">
        <v>0.244589324</v>
      </c>
      <c r="F58" s="4" t="s">
        <v>2278</v>
      </c>
      <c r="G58" s="4">
        <v>2</v>
      </c>
      <c r="H58" s="4" t="s">
        <v>1280</v>
      </c>
      <c r="I58" s="4">
        <v>13</v>
      </c>
      <c r="J58" s="4" t="s">
        <v>1319</v>
      </c>
      <c r="K58" s="4" t="s">
        <v>2274</v>
      </c>
      <c r="L58" s="4">
        <v>2.97556587821088</v>
      </c>
      <c r="M58" s="4">
        <v>29.4771264153276</v>
      </c>
      <c r="N58" s="4">
        <v>32.068654173813698</v>
      </c>
      <c r="O58" s="4">
        <v>10</v>
      </c>
      <c r="V58" s="4">
        <v>4.4770669999999999</v>
      </c>
      <c r="W58" s="4">
        <v>1.1549683837134099</v>
      </c>
    </row>
    <row r="59" spans="1:23">
      <c r="A59" s="4" t="s">
        <v>1319</v>
      </c>
      <c r="B59" s="4" t="s">
        <v>1399</v>
      </c>
      <c r="C59" s="4">
        <v>1.6390773409999999</v>
      </c>
      <c r="D59" s="4">
        <v>1.733678866</v>
      </c>
      <c r="F59" s="4" t="s">
        <v>2278</v>
      </c>
      <c r="G59" s="4">
        <v>1</v>
      </c>
      <c r="H59" s="4" t="s">
        <v>1279</v>
      </c>
      <c r="I59" s="4">
        <v>14</v>
      </c>
      <c r="J59" s="4" t="s">
        <v>1281</v>
      </c>
      <c r="K59" s="4" t="s">
        <v>2275</v>
      </c>
      <c r="L59" s="4">
        <v>4.3550198009030199</v>
      </c>
      <c r="M59" s="4">
        <v>20.335876216852899</v>
      </c>
      <c r="N59" s="4">
        <v>1113.67100110302</v>
      </c>
      <c r="O59" s="4">
        <v>0.46473236618309099</v>
      </c>
      <c r="V59" s="4">
        <v>1.26641</v>
      </c>
      <c r="W59" s="4">
        <v>9.7843933093018004E-2</v>
      </c>
    </row>
    <row r="60" spans="1:23">
      <c r="A60" s="4" t="s">
        <v>1319</v>
      </c>
      <c r="B60" s="4" t="s">
        <v>1399</v>
      </c>
      <c r="C60" s="4">
        <v>1.8643147900000001</v>
      </c>
      <c r="D60" s="4">
        <v>1.730958701</v>
      </c>
      <c r="F60" s="4" t="s">
        <v>2278</v>
      </c>
      <c r="G60" s="4">
        <v>2</v>
      </c>
      <c r="H60" s="4" t="s">
        <v>1280</v>
      </c>
      <c r="I60" s="4">
        <v>14</v>
      </c>
      <c r="J60" s="4" t="s">
        <v>1281</v>
      </c>
      <c r="K60" s="4" t="s">
        <v>2275</v>
      </c>
      <c r="L60" s="4">
        <v>2.9452379739532502</v>
      </c>
      <c r="M60" s="4">
        <v>31.258466367880199</v>
      </c>
      <c r="N60" s="4">
        <v>28.201376558485499</v>
      </c>
      <c r="O60" s="4">
        <v>10</v>
      </c>
      <c r="V60" s="4">
        <v>1.3076080000000001</v>
      </c>
      <c r="W60" s="4">
        <v>9.7843933093018004E-2</v>
      </c>
    </row>
    <row r="61" spans="1:23">
      <c r="A61" s="4" t="s">
        <v>1319</v>
      </c>
      <c r="B61" s="4" t="s">
        <v>1399</v>
      </c>
      <c r="C61" s="4">
        <v>1.717774763</v>
      </c>
      <c r="D61" s="4">
        <v>1.502418375</v>
      </c>
      <c r="F61" s="4" t="s">
        <v>2278</v>
      </c>
      <c r="G61" s="4">
        <v>1</v>
      </c>
      <c r="H61" s="4" t="s">
        <v>1279</v>
      </c>
      <c r="I61" s="4">
        <v>15</v>
      </c>
      <c r="J61" s="4" t="s">
        <v>2276</v>
      </c>
      <c r="K61" s="4" t="s">
        <v>2277</v>
      </c>
      <c r="L61" s="4">
        <v>4.0601894353943404</v>
      </c>
      <c r="M61" s="4">
        <v>14.415558933623499</v>
      </c>
      <c r="N61" s="4">
        <v>796.81582270629201</v>
      </c>
      <c r="O61" s="4">
        <v>1.2638319159579701</v>
      </c>
      <c r="V61" s="4">
        <v>0.23921999999999999</v>
      </c>
      <c r="W61" s="4">
        <v>6.1210330470965801E-2</v>
      </c>
    </row>
    <row r="62" spans="1:23">
      <c r="A62" s="4" t="s">
        <v>1319</v>
      </c>
      <c r="B62" s="4" t="s">
        <v>1399</v>
      </c>
      <c r="C62" s="4">
        <v>1.0502035279999999</v>
      </c>
      <c r="D62" s="4">
        <v>0.54018238399999996</v>
      </c>
      <c r="F62" s="4" t="s">
        <v>2278</v>
      </c>
      <c r="G62" s="4">
        <v>2</v>
      </c>
      <c r="H62" s="4" t="s">
        <v>1280</v>
      </c>
      <c r="I62" s="4">
        <v>15</v>
      </c>
      <c r="J62" s="4" t="s">
        <v>2276</v>
      </c>
      <c r="K62" s="4" t="s">
        <v>2277</v>
      </c>
      <c r="L62" s="4">
        <v>2.2788596793697402</v>
      </c>
      <c r="M62" s="4">
        <v>29.678682769258501</v>
      </c>
      <c r="N62" s="4">
        <v>6.4034652587588603</v>
      </c>
      <c r="O62" s="4">
        <v>10</v>
      </c>
      <c r="V62" s="4">
        <v>0.59351799999999999</v>
      </c>
      <c r="W62" s="4">
        <v>6.1210330470965801E-2</v>
      </c>
    </row>
    <row r="63" spans="1:23">
      <c r="A63" s="4" t="s">
        <v>1319</v>
      </c>
      <c r="B63" s="4" t="s">
        <v>1399</v>
      </c>
      <c r="C63" s="4">
        <v>0.57530529200000002</v>
      </c>
      <c r="D63" s="4">
        <v>0.35230022900000002</v>
      </c>
      <c r="F63" s="4" t="s">
        <v>2279</v>
      </c>
      <c r="G63" s="4">
        <v>1</v>
      </c>
      <c r="H63" s="4" t="s">
        <v>1279</v>
      </c>
      <c r="I63" s="4">
        <v>1</v>
      </c>
      <c r="J63" s="4" t="s">
        <v>196</v>
      </c>
      <c r="K63" s="4" t="s">
        <v>2255</v>
      </c>
      <c r="L63" s="4">
        <v>3.8620153388521201</v>
      </c>
      <c r="M63" s="4">
        <v>21.640596219750599</v>
      </c>
      <c r="N63" s="4">
        <v>336.31490651368802</v>
      </c>
      <c r="O63" s="4">
        <v>5.7299649824912402</v>
      </c>
      <c r="V63" s="4">
        <v>6.495743</v>
      </c>
      <c r="W63" s="4">
        <v>3.8798970623333799</v>
      </c>
    </row>
    <row r="64" spans="1:23">
      <c r="A64" s="4" t="s">
        <v>1319</v>
      </c>
      <c r="B64" s="4" t="s">
        <v>1399</v>
      </c>
      <c r="C64" s="4">
        <v>0.126187246</v>
      </c>
      <c r="D64" s="4">
        <v>0.25837080000000001</v>
      </c>
      <c r="F64" s="4" t="s">
        <v>2279</v>
      </c>
      <c r="G64" s="4">
        <v>2</v>
      </c>
      <c r="H64" s="4" t="s">
        <v>1280</v>
      </c>
      <c r="I64" s="4">
        <v>1</v>
      </c>
      <c r="J64" s="4" t="s">
        <v>196</v>
      </c>
      <c r="K64" s="4" t="s">
        <v>2255</v>
      </c>
      <c r="L64" s="4">
        <v>2.01148573458189</v>
      </c>
      <c r="M64" s="4">
        <v>26.523075708435702</v>
      </c>
      <c r="N64" s="4">
        <v>3.87134476696288</v>
      </c>
      <c r="O64" s="4">
        <v>10</v>
      </c>
      <c r="V64" s="4">
        <v>7.3032130000000004</v>
      </c>
      <c r="W64" s="4">
        <v>3.8798970623333799</v>
      </c>
    </row>
    <row r="65" spans="1:23">
      <c r="A65" s="4" t="s">
        <v>1319</v>
      </c>
      <c r="B65" s="4" t="s">
        <v>1399</v>
      </c>
      <c r="C65" s="4">
        <v>9.3351425000000002E-2</v>
      </c>
      <c r="D65" s="4">
        <v>0.25074776399999998</v>
      </c>
      <c r="F65" s="4" t="s">
        <v>2279</v>
      </c>
      <c r="G65" s="4">
        <v>1</v>
      </c>
      <c r="H65" s="4" t="s">
        <v>1279</v>
      </c>
      <c r="I65" s="4">
        <v>2</v>
      </c>
      <c r="J65" s="4" t="s">
        <v>196</v>
      </c>
      <c r="K65" s="4" t="s">
        <v>2256</v>
      </c>
      <c r="L65" s="4">
        <v>4.1540074731979502</v>
      </c>
      <c r="M65" s="4">
        <v>21.2787843522709</v>
      </c>
      <c r="N65" s="4">
        <v>669.97818183731499</v>
      </c>
      <c r="O65" s="4">
        <v>2.7884942471235599</v>
      </c>
      <c r="V65" s="4">
        <v>1.4202140000000001</v>
      </c>
      <c r="W65" s="4">
        <v>0.30690512284535698</v>
      </c>
    </row>
    <row r="66" spans="1:23">
      <c r="A66" s="4" t="s">
        <v>1319</v>
      </c>
      <c r="B66" s="4" t="s">
        <v>1399</v>
      </c>
      <c r="C66" s="4">
        <v>4.9118045999999999E-2</v>
      </c>
      <c r="D66" s="4">
        <v>0.244589324</v>
      </c>
      <c r="F66" s="4" t="s">
        <v>2279</v>
      </c>
      <c r="G66" s="4">
        <v>2</v>
      </c>
      <c r="H66" s="4" t="s">
        <v>1280</v>
      </c>
      <c r="I66" s="4">
        <v>2</v>
      </c>
      <c r="J66" s="4" t="s">
        <v>196</v>
      </c>
      <c r="K66" s="4" t="s">
        <v>2256</v>
      </c>
      <c r="L66" s="4">
        <v>2.3624305669308701</v>
      </c>
      <c r="M66" s="4">
        <v>30.870966771152599</v>
      </c>
      <c r="N66" s="4">
        <v>7.4624311394156502</v>
      </c>
      <c r="O66" s="4">
        <v>10</v>
      </c>
      <c r="V66" s="4">
        <v>1.398242</v>
      </c>
      <c r="W66" s="4">
        <v>0.30690512284535698</v>
      </c>
    </row>
    <row r="67" spans="1:23">
      <c r="A67" s="4" t="s">
        <v>1319</v>
      </c>
      <c r="B67" s="4" t="s">
        <v>1399</v>
      </c>
      <c r="C67" s="4">
        <v>1.717774763</v>
      </c>
      <c r="D67" s="4">
        <v>1.6092306970000001</v>
      </c>
      <c r="F67" s="4" t="s">
        <v>2279</v>
      </c>
      <c r="G67" s="4">
        <v>1</v>
      </c>
      <c r="H67" s="4" t="s">
        <v>1279</v>
      </c>
      <c r="I67" s="4">
        <v>3</v>
      </c>
      <c r="J67" s="4" t="s">
        <v>2257</v>
      </c>
      <c r="K67" s="4" t="s">
        <v>724</v>
      </c>
      <c r="L67" s="4">
        <v>4.2194668355924998</v>
      </c>
      <c r="M67" s="4">
        <v>28.605353790411801</v>
      </c>
      <c r="N67" s="4">
        <v>579.45472975778398</v>
      </c>
      <c r="O67" s="4">
        <v>0.53826913456728298</v>
      </c>
      <c r="V67" s="4">
        <v>0.73633599999999999</v>
      </c>
      <c r="W67" s="4">
        <v>0.183086619918683</v>
      </c>
    </row>
    <row r="68" spans="1:23">
      <c r="A68" s="4" t="s">
        <v>1319</v>
      </c>
      <c r="B68" s="4" t="s">
        <v>1399</v>
      </c>
      <c r="C68" s="4">
        <v>1.829036635</v>
      </c>
      <c r="D68" s="4">
        <v>1.597412241</v>
      </c>
      <c r="F68" s="4" t="s">
        <v>2279</v>
      </c>
      <c r="G68" s="4">
        <v>2</v>
      </c>
      <c r="H68" s="4" t="s">
        <v>1280</v>
      </c>
      <c r="I68" s="4">
        <v>3</v>
      </c>
      <c r="J68" s="4" t="s">
        <v>2257</v>
      </c>
      <c r="K68" s="4" t="s">
        <v>724</v>
      </c>
      <c r="L68" s="4">
        <v>3.5820393239538002</v>
      </c>
      <c r="M68" s="4">
        <v>31.218067829675899</v>
      </c>
      <c r="N68" s="4">
        <v>122.358263266712</v>
      </c>
      <c r="O68" s="4">
        <v>10</v>
      </c>
      <c r="V68" s="4">
        <v>0.71711100000000005</v>
      </c>
      <c r="W68" s="4">
        <v>0.183086619918683</v>
      </c>
    </row>
    <row r="69" spans="1:23">
      <c r="A69" s="4" t="s">
        <v>1319</v>
      </c>
      <c r="B69" s="4" t="s">
        <v>1399</v>
      </c>
      <c r="C69" s="4">
        <v>1.476255088</v>
      </c>
      <c r="D69" s="4">
        <v>0.96761182700000004</v>
      </c>
      <c r="F69" s="4" t="s">
        <v>2279</v>
      </c>
      <c r="G69" s="4">
        <v>1</v>
      </c>
      <c r="H69" s="4" t="s">
        <v>1279</v>
      </c>
      <c r="I69" s="4">
        <v>4</v>
      </c>
      <c r="J69" s="4" t="s">
        <v>2258</v>
      </c>
      <c r="K69" s="4" t="s">
        <v>2259</v>
      </c>
      <c r="L69" s="4">
        <v>2.9175690585605101</v>
      </c>
      <c r="M69" s="4">
        <v>10.030398505864801</v>
      </c>
      <c r="N69" s="4">
        <v>82.461431696677295</v>
      </c>
      <c r="O69" s="4">
        <v>10</v>
      </c>
      <c r="V69" s="4">
        <v>7.79209</v>
      </c>
      <c r="W69" s="4">
        <v>9.3440335430784192</v>
      </c>
    </row>
    <row r="70" spans="1:23">
      <c r="A70" s="4" t="s">
        <v>1319</v>
      </c>
      <c r="B70" s="4" t="s">
        <v>1399</v>
      </c>
      <c r="C70" s="4">
        <v>0.43690637700000001</v>
      </c>
      <c r="D70" s="4">
        <v>0.29328222100000001</v>
      </c>
      <c r="F70" s="4" t="s">
        <v>2279</v>
      </c>
      <c r="G70" s="4">
        <v>2</v>
      </c>
      <c r="H70" s="4" t="s">
        <v>1280</v>
      </c>
      <c r="I70" s="4">
        <v>4</v>
      </c>
      <c r="J70" s="4" t="s">
        <v>2258</v>
      </c>
      <c r="K70" s="4" t="s">
        <v>2259</v>
      </c>
      <c r="L70" s="4">
        <v>1.1439149242768101</v>
      </c>
      <c r="M70" s="4">
        <v>10.030398505864801</v>
      </c>
      <c r="N70" s="4">
        <v>1.3886625916937101</v>
      </c>
      <c r="O70" s="4">
        <v>10</v>
      </c>
      <c r="V70" s="4">
        <v>7.602582</v>
      </c>
      <c r="W70" s="4">
        <v>9.3440335430784192</v>
      </c>
    </row>
    <row r="71" spans="1:23">
      <c r="A71" s="4" t="s">
        <v>1319</v>
      </c>
      <c r="B71" s="4" t="s">
        <v>1399</v>
      </c>
      <c r="C71" s="4">
        <v>0.22523744900000001</v>
      </c>
      <c r="D71" s="4">
        <v>0.24360685100000001</v>
      </c>
      <c r="F71" s="4" t="s">
        <v>2279</v>
      </c>
      <c r="G71" s="4">
        <v>1</v>
      </c>
      <c r="H71" s="4" t="s">
        <v>1279</v>
      </c>
      <c r="I71" s="4">
        <v>5</v>
      </c>
      <c r="J71" s="4" t="s">
        <v>2260</v>
      </c>
      <c r="K71" s="4" t="s">
        <v>2261</v>
      </c>
      <c r="L71" s="4">
        <v>3.6846657190293302</v>
      </c>
      <c r="M71" s="4">
        <v>20.388618223293701</v>
      </c>
      <c r="N71" s="4">
        <v>237.28917437009801</v>
      </c>
      <c r="O71" s="4">
        <v>10</v>
      </c>
      <c r="V71" s="4">
        <v>1.722329</v>
      </c>
      <c r="W71" s="4">
        <v>0.72612302113260696</v>
      </c>
    </row>
    <row r="72" spans="1:23">
      <c r="A72" s="4" t="s">
        <v>1319</v>
      </c>
      <c r="B72" s="4" t="s">
        <v>1399</v>
      </c>
      <c r="C72" s="4">
        <v>5.6173676999999998E-2</v>
      </c>
      <c r="D72" s="4">
        <v>0.21943027900000001</v>
      </c>
      <c r="F72" s="4" t="s">
        <v>2279</v>
      </c>
      <c r="G72" s="4">
        <v>2</v>
      </c>
      <c r="H72" s="4" t="s">
        <v>1280</v>
      </c>
      <c r="I72" s="4">
        <v>5</v>
      </c>
      <c r="J72" s="4" t="s">
        <v>2260</v>
      </c>
      <c r="K72" s="4" t="s">
        <v>2261</v>
      </c>
      <c r="L72" s="4">
        <v>1.6752894586157601</v>
      </c>
      <c r="M72" s="4">
        <v>20.388618223293701</v>
      </c>
      <c r="N72" s="4">
        <v>2.3222109299928699</v>
      </c>
      <c r="O72" s="4">
        <v>10</v>
      </c>
      <c r="V72" s="4">
        <v>2.0162040000000001</v>
      </c>
      <c r="W72" s="4">
        <v>0.72612302113260696</v>
      </c>
    </row>
    <row r="73" spans="1:23">
      <c r="A73" s="4" t="s">
        <v>1319</v>
      </c>
      <c r="B73" s="4" t="s">
        <v>1399</v>
      </c>
      <c r="C73" s="4">
        <v>4.1248304E-2</v>
      </c>
      <c r="D73" s="4">
        <v>0.21727063399999999</v>
      </c>
      <c r="F73" s="4" t="s">
        <v>2279</v>
      </c>
      <c r="G73" s="4">
        <v>1</v>
      </c>
      <c r="H73" s="4" t="s">
        <v>1279</v>
      </c>
      <c r="I73" s="4">
        <v>6</v>
      </c>
      <c r="J73" s="4" t="s">
        <v>2262</v>
      </c>
      <c r="K73" s="4" t="s">
        <v>2263</v>
      </c>
      <c r="L73" s="4">
        <v>4.3995908622029898</v>
      </c>
      <c r="M73" s="4">
        <v>22.374580473327999</v>
      </c>
      <c r="N73" s="4">
        <v>1121.59473310367</v>
      </c>
      <c r="O73" s="4">
        <v>1.2344172086042999</v>
      </c>
      <c r="V73" s="4">
        <v>0.81873099999999999</v>
      </c>
      <c r="W73" s="4">
        <v>0.42747785281009998</v>
      </c>
    </row>
    <row r="74" spans="1:23">
      <c r="A74" s="4" t="s">
        <v>1319</v>
      </c>
      <c r="B74" s="4" t="s">
        <v>1399</v>
      </c>
      <c r="C74" s="4">
        <v>3.8534600000000002E-2</v>
      </c>
      <c r="D74" s="4">
        <v>0.215469678</v>
      </c>
      <c r="F74" s="4" t="s">
        <v>2279</v>
      </c>
      <c r="G74" s="4">
        <v>2</v>
      </c>
      <c r="H74" s="4" t="s">
        <v>1280</v>
      </c>
      <c r="I74" s="4">
        <v>6</v>
      </c>
      <c r="J74" s="4" t="s">
        <v>2262</v>
      </c>
      <c r="K74" s="4" t="s">
        <v>2263</v>
      </c>
      <c r="L74" s="4">
        <v>2.85770716106496</v>
      </c>
      <c r="M74" s="4">
        <v>33.568146100556397</v>
      </c>
      <c r="N74" s="4">
        <v>21.467417587834699</v>
      </c>
      <c r="O74" s="4">
        <v>10</v>
      </c>
      <c r="V74" s="4">
        <v>0.80499900000000002</v>
      </c>
      <c r="W74" s="4">
        <v>0.42747785281009998</v>
      </c>
    </row>
    <row r="75" spans="1:23">
      <c r="A75" s="4" t="s">
        <v>1319</v>
      </c>
      <c r="B75" s="4" t="s">
        <v>1399</v>
      </c>
      <c r="C75" s="4">
        <v>1.6146540030000001</v>
      </c>
      <c r="D75" s="4">
        <v>1.6092306970000001</v>
      </c>
      <c r="F75" s="4" t="s">
        <v>2279</v>
      </c>
      <c r="G75" s="4">
        <v>1</v>
      </c>
      <c r="H75" s="4" t="s">
        <v>1279</v>
      </c>
      <c r="I75" s="4">
        <v>7</v>
      </c>
      <c r="J75" s="4" t="s">
        <v>2264</v>
      </c>
      <c r="K75" s="4" t="s">
        <v>2265</v>
      </c>
      <c r="L75" s="4">
        <v>4.1943265289261102</v>
      </c>
      <c r="M75" s="4">
        <v>20.123933068121499</v>
      </c>
      <c r="N75" s="4">
        <v>777.34474094057396</v>
      </c>
      <c r="O75" s="4">
        <v>2.8081040520260099</v>
      </c>
      <c r="V75" s="4">
        <v>11.65916</v>
      </c>
      <c r="W75" s="4">
        <v>25.288997075978301</v>
      </c>
    </row>
    <row r="76" spans="1:23">
      <c r="A76" s="4" t="s">
        <v>1319</v>
      </c>
      <c r="B76" s="4" t="s">
        <v>1399</v>
      </c>
      <c r="C76" s="4">
        <v>1.785617368</v>
      </c>
      <c r="D76" s="4">
        <v>1.597412241</v>
      </c>
      <c r="F76" s="4" t="s">
        <v>2279</v>
      </c>
      <c r="G76" s="4">
        <v>2</v>
      </c>
      <c r="H76" s="4" t="s">
        <v>1280</v>
      </c>
      <c r="I76" s="4">
        <v>7</v>
      </c>
      <c r="J76" s="4" t="s">
        <v>2264</v>
      </c>
      <c r="K76" s="4" t="s">
        <v>2265</v>
      </c>
      <c r="L76" s="4">
        <v>2.3022157817012299</v>
      </c>
      <c r="M76" s="4">
        <v>30.286827698037701</v>
      </c>
      <c r="N76" s="4">
        <v>6.62158555603129</v>
      </c>
      <c r="O76" s="4">
        <v>10</v>
      </c>
      <c r="V76" s="4">
        <v>12.549020000000001</v>
      </c>
      <c r="W76" s="4">
        <v>25.288997075978301</v>
      </c>
    </row>
    <row r="77" spans="1:23">
      <c r="A77" s="4" t="s">
        <v>1319</v>
      </c>
      <c r="B77" s="4" t="s">
        <v>1399</v>
      </c>
      <c r="C77" s="4">
        <v>1.4192673</v>
      </c>
      <c r="D77" s="4">
        <v>0.96761182700000004</v>
      </c>
      <c r="F77" s="4" t="s">
        <v>2279</v>
      </c>
      <c r="G77" s="4">
        <v>1</v>
      </c>
      <c r="H77" s="4" t="s">
        <v>1279</v>
      </c>
      <c r="I77" s="4">
        <v>8</v>
      </c>
      <c r="J77" s="4" t="s">
        <v>2266</v>
      </c>
      <c r="K77" s="4" t="s">
        <v>2267</v>
      </c>
      <c r="L77" s="4">
        <v>4.0732364563135697</v>
      </c>
      <c r="M77" s="4">
        <v>20.358144587008201</v>
      </c>
      <c r="N77" s="4">
        <v>581.43110526527903</v>
      </c>
      <c r="O77" s="4">
        <v>3.7787893946973399</v>
      </c>
      <c r="V77" s="4">
        <v>3.3290299999999999</v>
      </c>
      <c r="W77" s="4">
        <v>1.94944790038557</v>
      </c>
    </row>
    <row r="78" spans="1:23">
      <c r="A78" s="4" t="s">
        <v>1319</v>
      </c>
      <c r="B78" s="4" t="s">
        <v>1399</v>
      </c>
      <c r="C78" s="4">
        <v>0.412483039</v>
      </c>
      <c r="D78" s="4">
        <v>0.29328222100000001</v>
      </c>
      <c r="F78" s="4" t="s">
        <v>2279</v>
      </c>
      <c r="G78" s="4">
        <v>2</v>
      </c>
      <c r="H78" s="4" t="s">
        <v>1280</v>
      </c>
      <c r="I78" s="4">
        <v>8</v>
      </c>
      <c r="J78" s="4" t="s">
        <v>2266</v>
      </c>
      <c r="K78" s="4" t="s">
        <v>2267</v>
      </c>
      <c r="L78" s="4">
        <v>2.1590113830499198</v>
      </c>
      <c r="M78" s="4">
        <v>28.6315290063677</v>
      </c>
      <c r="N78" s="4">
        <v>5.0369407452145598</v>
      </c>
      <c r="O78" s="4">
        <v>10</v>
      </c>
      <c r="V78" s="4">
        <v>3.010437</v>
      </c>
      <c r="W78" s="4">
        <v>1.94944790038557</v>
      </c>
    </row>
    <row r="79" spans="1:23">
      <c r="A79" s="4" t="s">
        <v>1319</v>
      </c>
      <c r="B79" s="4" t="s">
        <v>1399</v>
      </c>
      <c r="C79" s="4">
        <v>0.206784261</v>
      </c>
      <c r="D79" s="4">
        <v>0.24360685100000001</v>
      </c>
      <c r="F79" s="4" t="s">
        <v>2279</v>
      </c>
      <c r="G79" s="4">
        <v>1</v>
      </c>
      <c r="H79" s="4" t="s">
        <v>1279</v>
      </c>
      <c r="I79" s="4">
        <v>9</v>
      </c>
      <c r="J79" s="4" t="s">
        <v>2268</v>
      </c>
      <c r="K79" s="4" t="s">
        <v>2269</v>
      </c>
      <c r="L79" s="4">
        <v>3.9173396715343198</v>
      </c>
      <c r="M79" s="4">
        <v>20.0737524886793</v>
      </c>
      <c r="N79" s="4">
        <v>411.82348229000303</v>
      </c>
      <c r="O79" s="4">
        <v>5.7887943971985996</v>
      </c>
      <c r="V79" s="4">
        <v>1.8321890000000001</v>
      </c>
      <c r="W79" s="4">
        <v>1.14063890029601</v>
      </c>
    </row>
    <row r="80" spans="1:23">
      <c r="A80" s="4" t="s">
        <v>1319</v>
      </c>
      <c r="B80" s="4" t="s">
        <v>1399</v>
      </c>
      <c r="C80" s="4">
        <v>5.2917232000000002E-2</v>
      </c>
      <c r="D80" s="4">
        <v>0.21943027900000001</v>
      </c>
      <c r="F80" s="4" t="s">
        <v>2279</v>
      </c>
      <c r="G80" s="4">
        <v>2</v>
      </c>
      <c r="H80" s="4" t="s">
        <v>1280</v>
      </c>
      <c r="I80" s="4">
        <v>9</v>
      </c>
      <c r="J80" s="4" t="s">
        <v>2268</v>
      </c>
      <c r="K80" s="4" t="s">
        <v>2269</v>
      </c>
      <c r="L80" s="4">
        <v>1.9286311890905701</v>
      </c>
      <c r="M80" s="4">
        <v>25.164954971704098</v>
      </c>
      <c r="N80" s="4">
        <v>3.3715921301477199</v>
      </c>
      <c r="O80" s="4">
        <v>10</v>
      </c>
      <c r="V80" s="4">
        <v>1.873386</v>
      </c>
      <c r="W80" s="4">
        <v>1.14063890029601</v>
      </c>
    </row>
    <row r="81" spans="1:23">
      <c r="A81" s="4" t="s">
        <v>1319</v>
      </c>
      <c r="B81" s="4" t="s">
        <v>1399</v>
      </c>
      <c r="C81" s="4">
        <v>4.2605155999999998E-2</v>
      </c>
      <c r="D81" s="4">
        <v>0.21727063399999999</v>
      </c>
      <c r="F81" s="4" t="s">
        <v>2279</v>
      </c>
      <c r="G81" s="4">
        <v>1</v>
      </c>
      <c r="H81" s="4" t="s">
        <v>1279</v>
      </c>
      <c r="I81" s="4">
        <v>10</v>
      </c>
      <c r="J81" s="4" t="s">
        <v>2270</v>
      </c>
      <c r="K81" s="4" t="s">
        <v>2271</v>
      </c>
      <c r="L81" s="4">
        <v>4.4157860158149003</v>
      </c>
      <c r="M81" s="4">
        <v>21.978736027975899</v>
      </c>
      <c r="N81" s="4">
        <v>1185.17724010847</v>
      </c>
      <c r="O81" s="4">
        <v>1.2442221110555201</v>
      </c>
      <c r="V81" s="4">
        <v>14.27657</v>
      </c>
      <c r="W81" s="4">
        <v>27.793954014098599</v>
      </c>
    </row>
    <row r="82" spans="1:23">
      <c r="A82" s="4" t="s">
        <v>1319</v>
      </c>
      <c r="B82" s="4" t="s">
        <v>1399</v>
      </c>
      <c r="C82" s="4">
        <v>3.1750339000000002E-2</v>
      </c>
      <c r="D82" s="4">
        <v>0.215469678</v>
      </c>
      <c r="F82" s="4" t="s">
        <v>2279</v>
      </c>
      <c r="G82" s="4">
        <v>2</v>
      </c>
      <c r="H82" s="4" t="s">
        <v>1280</v>
      </c>
      <c r="I82" s="4">
        <v>10</v>
      </c>
      <c r="J82" s="4" t="s">
        <v>2270</v>
      </c>
      <c r="K82" s="4" t="s">
        <v>2271</v>
      </c>
      <c r="L82" s="4">
        <v>2.8340019783916599</v>
      </c>
      <c r="M82" s="4">
        <v>33.512507594547401</v>
      </c>
      <c r="N82" s="4">
        <v>20.3608100814218</v>
      </c>
      <c r="O82" s="4">
        <v>10</v>
      </c>
      <c r="V82" s="4">
        <v>13.80143</v>
      </c>
      <c r="W82" s="4">
        <v>27.793954014098599</v>
      </c>
    </row>
    <row r="83" spans="1:23">
      <c r="A83" s="4" t="s">
        <v>1319</v>
      </c>
      <c r="B83" s="4" t="s">
        <v>1399</v>
      </c>
      <c r="C83" s="4">
        <v>1.6146540030000001</v>
      </c>
      <c r="D83" s="4">
        <v>1.4022786110000001</v>
      </c>
      <c r="F83" s="4" t="s">
        <v>2279</v>
      </c>
      <c r="G83" s="4">
        <v>1</v>
      </c>
      <c r="H83" s="4" t="s">
        <v>1279</v>
      </c>
      <c r="I83" s="4">
        <v>11</v>
      </c>
      <c r="J83" s="4" t="s">
        <v>1319</v>
      </c>
      <c r="K83" s="4" t="s">
        <v>2272</v>
      </c>
      <c r="L83" s="4">
        <v>3.7560105711621201</v>
      </c>
      <c r="M83" s="4">
        <v>30.799034175131499</v>
      </c>
      <c r="N83" s="4">
        <v>185.12858149258801</v>
      </c>
      <c r="O83" s="4">
        <v>0.92556278139069503</v>
      </c>
      <c r="V83" s="4">
        <v>4.6912940000000001</v>
      </c>
      <c r="W83" s="4">
        <v>2.1416324819016799</v>
      </c>
    </row>
    <row r="84" spans="1:23">
      <c r="A84" s="4" t="s">
        <v>1319</v>
      </c>
      <c r="B84" s="4" t="s">
        <v>1399</v>
      </c>
      <c r="C84" s="4">
        <v>1.6824966079999999</v>
      </c>
      <c r="D84" s="4">
        <v>1.3792282899999999</v>
      </c>
      <c r="F84" s="4" t="s">
        <v>2279</v>
      </c>
      <c r="G84" s="4">
        <v>2</v>
      </c>
      <c r="H84" s="4" t="s">
        <v>1280</v>
      </c>
      <c r="I84" s="4">
        <v>11</v>
      </c>
      <c r="J84" s="4" t="s">
        <v>1319</v>
      </c>
      <c r="K84" s="4" t="s">
        <v>2272</v>
      </c>
      <c r="L84" s="4">
        <v>3.3783250228844901</v>
      </c>
      <c r="M84" s="4">
        <v>32.102294501704499</v>
      </c>
      <c r="N84" s="4">
        <v>74.437014853820401</v>
      </c>
      <c r="O84" s="4">
        <v>10</v>
      </c>
      <c r="V84" s="4">
        <v>4.5210109999999997</v>
      </c>
      <c r="W84" s="4">
        <v>2.1416324819016799</v>
      </c>
    </row>
    <row r="85" spans="1:23">
      <c r="A85" s="4" t="s">
        <v>1319</v>
      </c>
      <c r="B85" s="4" t="s">
        <v>1399</v>
      </c>
      <c r="C85" s="4">
        <v>1.1424694710000001</v>
      </c>
      <c r="D85" s="4">
        <v>0.61253200200000002</v>
      </c>
      <c r="F85" s="4" t="s">
        <v>2279</v>
      </c>
      <c r="G85" s="4">
        <v>1</v>
      </c>
      <c r="H85" s="4" t="s">
        <v>1279</v>
      </c>
      <c r="I85" s="4">
        <v>12</v>
      </c>
      <c r="J85" s="4" t="s">
        <v>1319</v>
      </c>
      <c r="K85" s="4" t="s">
        <v>2273</v>
      </c>
      <c r="L85" s="4">
        <v>3.7089662061313802</v>
      </c>
      <c r="M85" s="4">
        <v>29.6815551091711</v>
      </c>
      <c r="N85" s="4">
        <v>172.37709398202401</v>
      </c>
      <c r="O85" s="4">
        <v>1.71975987993997</v>
      </c>
      <c r="V85" s="4">
        <v>2.6643780000000001</v>
      </c>
      <c r="W85" s="4">
        <v>1.25267664250915</v>
      </c>
    </row>
    <row r="86" spans="1:23">
      <c r="A86" s="4" t="s">
        <v>1319</v>
      </c>
      <c r="B86" s="4" t="s">
        <v>1399</v>
      </c>
      <c r="C86" s="4">
        <v>0.19131614699999999</v>
      </c>
      <c r="D86" s="4">
        <v>0.239372798</v>
      </c>
      <c r="F86" s="4" t="s">
        <v>2279</v>
      </c>
      <c r="G86" s="4">
        <v>2</v>
      </c>
      <c r="H86" s="4" t="s">
        <v>1280</v>
      </c>
      <c r="I86" s="4">
        <v>12</v>
      </c>
      <c r="J86" s="4" t="s">
        <v>1319</v>
      </c>
      <c r="K86" s="4" t="s">
        <v>2273</v>
      </c>
      <c r="L86" s="4">
        <v>3.0681009223391098</v>
      </c>
      <c r="M86" s="4">
        <v>33.639264782564098</v>
      </c>
      <c r="N86" s="4">
        <v>34.773982163053901</v>
      </c>
      <c r="O86" s="4">
        <v>10</v>
      </c>
      <c r="V86" s="4">
        <v>2.4611369999999999</v>
      </c>
      <c r="W86" s="4">
        <v>1.25267664250915</v>
      </c>
    </row>
    <row r="87" spans="1:23">
      <c r="A87" s="4" t="s">
        <v>1319</v>
      </c>
      <c r="B87" s="4" t="s">
        <v>1399</v>
      </c>
      <c r="C87" s="4">
        <v>9.6607869999999998E-2</v>
      </c>
      <c r="D87" s="4">
        <v>0.21884891200000001</v>
      </c>
      <c r="F87" s="4" t="s">
        <v>2279</v>
      </c>
      <c r="G87" s="4">
        <v>1</v>
      </c>
      <c r="H87" s="4" t="s">
        <v>1279</v>
      </c>
      <c r="I87" s="4">
        <v>13</v>
      </c>
      <c r="J87" s="4" t="s">
        <v>1319</v>
      </c>
      <c r="K87" s="4" t="s">
        <v>2274</v>
      </c>
      <c r="L87" s="4">
        <v>3.4649778435848</v>
      </c>
      <c r="M87" s="4">
        <v>30.717533241996801</v>
      </c>
      <c r="N87" s="4">
        <v>94.971108400849204</v>
      </c>
      <c r="O87" s="4">
        <v>2.0776388194097</v>
      </c>
      <c r="V87" s="4">
        <v>2.8289000000000002E-2</v>
      </c>
      <c r="W87" s="4">
        <v>1.2941053616935601E-2</v>
      </c>
    </row>
    <row r="88" spans="1:23">
      <c r="A88" s="4" t="s">
        <v>1319</v>
      </c>
      <c r="B88" s="4" t="s">
        <v>1399</v>
      </c>
      <c r="C88" s="4">
        <v>3.6906376999999997E-2</v>
      </c>
      <c r="D88" s="4">
        <v>0.208303139</v>
      </c>
      <c r="F88" s="4" t="s">
        <v>2279</v>
      </c>
      <c r="G88" s="4">
        <v>2</v>
      </c>
      <c r="H88" s="4" t="s">
        <v>1280</v>
      </c>
      <c r="I88" s="4">
        <v>13</v>
      </c>
      <c r="J88" s="4" t="s">
        <v>1319</v>
      </c>
      <c r="K88" s="4" t="s">
        <v>2274</v>
      </c>
      <c r="L88" s="4">
        <v>3.01679640701437</v>
      </c>
      <c r="M88" s="4">
        <v>33.505848191338103</v>
      </c>
      <c r="N88" s="4">
        <v>31.022428376945999</v>
      </c>
      <c r="O88" s="4">
        <v>10</v>
      </c>
      <c r="V88" s="4">
        <v>2.8289000000000002E-2</v>
      </c>
      <c r="W88" s="4">
        <v>1.2941053616935601E-2</v>
      </c>
    </row>
    <row r="89" spans="1:23">
      <c r="A89" s="4" t="s">
        <v>1319</v>
      </c>
      <c r="B89" s="4" t="s">
        <v>1399</v>
      </c>
      <c r="C89" s="4">
        <v>4.1248304E-2</v>
      </c>
      <c r="D89" s="4">
        <v>0.207300925</v>
      </c>
      <c r="F89" s="4" t="s">
        <v>2279</v>
      </c>
      <c r="G89" s="4">
        <v>1</v>
      </c>
      <c r="H89" s="4" t="s">
        <v>1279</v>
      </c>
      <c r="I89" s="4">
        <v>14</v>
      </c>
      <c r="J89" s="4" t="s">
        <v>1281</v>
      </c>
      <c r="K89" s="4" t="s">
        <v>2275</v>
      </c>
      <c r="L89" s="4">
        <v>4.4152793630337701</v>
      </c>
      <c r="M89" s="4">
        <v>22.677792871276498</v>
      </c>
      <c r="N89" s="4">
        <v>1147.30418751262</v>
      </c>
      <c r="O89" s="4">
        <v>1.1363681840920401</v>
      </c>
      <c r="V89" s="4">
        <v>9.5302999999999999E-2</v>
      </c>
      <c r="W89" s="4">
        <v>4.8638794926851601E-2</v>
      </c>
    </row>
    <row r="90" spans="1:23">
      <c r="A90" s="4" t="s">
        <v>1319</v>
      </c>
      <c r="B90" s="4" t="s">
        <v>1399</v>
      </c>
      <c r="C90" s="4">
        <v>2.8493893999999999E-2</v>
      </c>
      <c r="D90" s="4">
        <v>0.20645199</v>
      </c>
      <c r="F90" s="4" t="s">
        <v>2279</v>
      </c>
      <c r="G90" s="4">
        <v>2</v>
      </c>
      <c r="H90" s="4" t="s">
        <v>1280</v>
      </c>
      <c r="I90" s="4">
        <v>14</v>
      </c>
      <c r="J90" s="4" t="s">
        <v>1281</v>
      </c>
      <c r="K90" s="4" t="s">
        <v>2275</v>
      </c>
      <c r="L90" s="4">
        <v>2.91866526936513</v>
      </c>
      <c r="M90" s="4">
        <v>33.6826203824007</v>
      </c>
      <c r="N90" s="4">
        <v>24.6183759028916</v>
      </c>
      <c r="O90" s="4">
        <v>10</v>
      </c>
      <c r="V90" s="4">
        <v>9.0084999999999998E-2</v>
      </c>
      <c r="W90" s="4">
        <v>4.8638794926851601E-2</v>
      </c>
    </row>
    <row r="91" spans="1:23">
      <c r="A91" s="4" t="s">
        <v>1319</v>
      </c>
      <c r="B91" s="4" t="s">
        <v>1399</v>
      </c>
      <c r="C91" s="4">
        <v>1.421981004</v>
      </c>
      <c r="D91" s="4">
        <v>1.4022786110000001</v>
      </c>
      <c r="F91" s="4" t="s">
        <v>2279</v>
      </c>
      <c r="G91" s="4">
        <v>1</v>
      </c>
      <c r="H91" s="4" t="s">
        <v>1279</v>
      </c>
      <c r="I91" s="4">
        <v>15</v>
      </c>
      <c r="J91" s="4" t="s">
        <v>2276</v>
      </c>
      <c r="K91" s="4" t="s">
        <v>2277</v>
      </c>
      <c r="L91" s="4">
        <v>4.2548140665674996</v>
      </c>
      <c r="M91" s="4">
        <v>17.964240166173301</v>
      </c>
      <c r="N91" s="4">
        <v>1000.93347513462</v>
      </c>
      <c r="O91" s="4">
        <v>2.8228114057028502</v>
      </c>
      <c r="V91" s="4">
        <v>0.67042000000000002</v>
      </c>
      <c r="W91" s="4">
        <v>1.11484089781212</v>
      </c>
    </row>
    <row r="92" spans="1:23">
      <c r="A92" s="4" t="s">
        <v>1319</v>
      </c>
      <c r="B92" s="4" t="s">
        <v>1399</v>
      </c>
      <c r="C92" s="4">
        <v>1.5739484399999999</v>
      </c>
      <c r="D92" s="4">
        <v>1.3792282899999999</v>
      </c>
      <c r="F92" s="4" t="s">
        <v>2279</v>
      </c>
      <c r="G92" s="4">
        <v>2</v>
      </c>
      <c r="H92" s="4" t="s">
        <v>1280</v>
      </c>
      <c r="I92" s="4">
        <v>15</v>
      </c>
      <c r="J92" s="4" t="s">
        <v>2276</v>
      </c>
      <c r="K92" s="4" t="s">
        <v>2277</v>
      </c>
      <c r="L92" s="4">
        <v>2.1953747213820298</v>
      </c>
      <c r="M92" s="4">
        <v>29.088256080808499</v>
      </c>
      <c r="N92" s="4">
        <v>5.3908473770539196</v>
      </c>
      <c r="O92" s="4">
        <v>10</v>
      </c>
      <c r="V92" s="4">
        <v>0.72260400000000002</v>
      </c>
      <c r="W92" s="4">
        <v>1.11484089781212</v>
      </c>
    </row>
    <row r="93" spans="1:23">
      <c r="A93" s="4" t="s">
        <v>1319</v>
      </c>
      <c r="B93" s="4" t="s">
        <v>1399</v>
      </c>
      <c r="C93" s="4">
        <v>1.0502035279999999</v>
      </c>
      <c r="D93" s="4">
        <v>0.61253200200000002</v>
      </c>
      <c r="F93" s="4" t="s">
        <v>2280</v>
      </c>
      <c r="G93" s="4">
        <v>1</v>
      </c>
      <c r="H93" s="4" t="s">
        <v>1279</v>
      </c>
      <c r="I93" s="4">
        <v>1</v>
      </c>
      <c r="J93" s="4" t="s">
        <v>196</v>
      </c>
      <c r="K93" s="4" t="s">
        <v>2255</v>
      </c>
      <c r="L93" s="4">
        <v>3.3131425010975502</v>
      </c>
      <c r="M93" s="4">
        <v>15.4682842998601</v>
      </c>
      <c r="N93" s="4">
        <v>132.95367782744799</v>
      </c>
      <c r="O93" s="4">
        <v>3.4062031015507701</v>
      </c>
      <c r="V93" s="4">
        <v>2.4993000000000001E-2</v>
      </c>
      <c r="W93" s="4">
        <v>1.06959196176344E-2</v>
      </c>
    </row>
    <row r="94" spans="1:23">
      <c r="A94" s="4" t="s">
        <v>1319</v>
      </c>
      <c r="B94" s="4" t="s">
        <v>1399</v>
      </c>
      <c r="C94" s="4">
        <v>0.18453188600000001</v>
      </c>
      <c r="D94" s="4">
        <v>0.239372798</v>
      </c>
      <c r="F94" s="4" t="s">
        <v>2280</v>
      </c>
      <c r="G94" s="4">
        <v>2</v>
      </c>
      <c r="H94" s="4" t="s">
        <v>1280</v>
      </c>
      <c r="I94" s="4">
        <v>1</v>
      </c>
      <c r="J94" s="4" t="s">
        <v>196</v>
      </c>
      <c r="K94" s="4" t="s">
        <v>2255</v>
      </c>
      <c r="L94" s="4">
        <v>1.97446395135857</v>
      </c>
      <c r="M94" s="4">
        <v>25.609218874967599</v>
      </c>
      <c r="N94" s="4">
        <v>3.6818629558499101</v>
      </c>
      <c r="O94" s="4">
        <v>10</v>
      </c>
      <c r="V94" s="4">
        <v>2.6092000000000001E-2</v>
      </c>
      <c r="W94" s="4">
        <v>1.06959196176344E-2</v>
      </c>
    </row>
    <row r="95" spans="1:23">
      <c r="A95" s="4" t="s">
        <v>1319</v>
      </c>
      <c r="B95" s="4" t="s">
        <v>1399</v>
      </c>
      <c r="C95" s="4">
        <v>8.6295793999999995E-2</v>
      </c>
      <c r="D95" s="4">
        <v>0.21884891200000001</v>
      </c>
      <c r="F95" s="4" t="s">
        <v>2280</v>
      </c>
      <c r="G95" s="4">
        <v>1</v>
      </c>
      <c r="H95" s="4" t="s">
        <v>1279</v>
      </c>
      <c r="I95" s="4">
        <v>2</v>
      </c>
      <c r="J95" s="4" t="s">
        <v>196</v>
      </c>
      <c r="K95" s="4" t="s">
        <v>2256</v>
      </c>
      <c r="L95" s="4">
        <v>3.5485429566217102</v>
      </c>
      <c r="M95" s="4">
        <v>15.298887117683901</v>
      </c>
      <c r="N95" s="4">
        <v>231.144261769081</v>
      </c>
      <c r="O95" s="4">
        <v>1.7736868434217099</v>
      </c>
      <c r="V95" s="4">
        <v>7.4704999999999994E-2</v>
      </c>
      <c r="W95" s="4">
        <v>1.9142810330458501E-2</v>
      </c>
    </row>
    <row r="96" spans="1:23">
      <c r="A96" s="4" t="s">
        <v>1319</v>
      </c>
      <c r="B96" s="4" t="s">
        <v>1399</v>
      </c>
      <c r="C96" s="4">
        <v>3.4192673E-2</v>
      </c>
      <c r="D96" s="4">
        <v>0.208303139</v>
      </c>
      <c r="F96" s="4" t="s">
        <v>2280</v>
      </c>
      <c r="G96" s="4">
        <v>2</v>
      </c>
      <c r="H96" s="4" t="s">
        <v>1280</v>
      </c>
      <c r="I96" s="4">
        <v>2</v>
      </c>
      <c r="J96" s="4" t="s">
        <v>196</v>
      </c>
      <c r="K96" s="4" t="s">
        <v>2256</v>
      </c>
      <c r="L96" s="4">
        <v>2.30731056431669</v>
      </c>
      <c r="M96" s="4">
        <v>29.358733091305101</v>
      </c>
      <c r="N96" s="4">
        <v>6.9115149800485796</v>
      </c>
      <c r="O96" s="4">
        <v>10</v>
      </c>
      <c r="V96" s="4">
        <v>7.5254000000000001E-2</v>
      </c>
      <c r="W96" s="4">
        <v>1.9142810330458501E-2</v>
      </c>
    </row>
    <row r="97" spans="1:23">
      <c r="A97" s="4" t="s">
        <v>1319</v>
      </c>
      <c r="B97" s="4" t="s">
        <v>1399</v>
      </c>
      <c r="C97" s="4">
        <v>3.1478969000000002E-2</v>
      </c>
      <c r="D97" s="4">
        <v>0.207300925</v>
      </c>
      <c r="F97" s="4" t="s">
        <v>2280</v>
      </c>
      <c r="G97" s="4">
        <v>1</v>
      </c>
      <c r="H97" s="4" t="s">
        <v>1279</v>
      </c>
      <c r="I97" s="4">
        <v>3</v>
      </c>
      <c r="J97" s="4" t="s">
        <v>2257</v>
      </c>
      <c r="K97" s="4" t="s">
        <v>724</v>
      </c>
      <c r="L97" s="4">
        <v>3.7864474579925602</v>
      </c>
      <c r="M97" s="4">
        <v>22.7833936605311</v>
      </c>
      <c r="N97" s="4">
        <v>268.42875918290503</v>
      </c>
      <c r="O97" s="4">
        <v>0.35687843921960899</v>
      </c>
      <c r="V97" s="4">
        <v>0.29689599999999999</v>
      </c>
      <c r="W97" s="4">
        <v>0.271430274757611</v>
      </c>
    </row>
    <row r="98" spans="1:23">
      <c r="A98" s="4" t="s">
        <v>1319</v>
      </c>
      <c r="B98" s="4" t="s">
        <v>1399</v>
      </c>
      <c r="C98" s="4">
        <v>2.1438262999999999E-2</v>
      </c>
      <c r="D98" s="4">
        <v>0.20645199</v>
      </c>
      <c r="F98" s="4" t="s">
        <v>2280</v>
      </c>
      <c r="G98" s="4">
        <v>2</v>
      </c>
      <c r="H98" s="4" t="s">
        <v>1280</v>
      </c>
      <c r="I98" s="4">
        <v>3</v>
      </c>
      <c r="J98" s="4" t="s">
        <v>2257</v>
      </c>
      <c r="K98" s="4" t="s">
        <v>724</v>
      </c>
      <c r="L98" s="4">
        <v>3.1558638851036398</v>
      </c>
      <c r="M98" s="4">
        <v>25.5428972250096</v>
      </c>
      <c r="N98" s="4">
        <v>56.052337610917498</v>
      </c>
      <c r="O98" s="4">
        <v>5.8819409704852399</v>
      </c>
      <c r="V98" s="4">
        <v>0.29140300000000002</v>
      </c>
      <c r="W98" s="4">
        <v>0.271430274757611</v>
      </c>
    </row>
    <row r="99" spans="1:23">
      <c r="A99" s="4" t="s">
        <v>1319</v>
      </c>
      <c r="B99" s="4" t="s">
        <v>1399</v>
      </c>
      <c r="C99" s="4">
        <v>1.2770127979999999</v>
      </c>
      <c r="D99" s="4">
        <v>1.7667142229999999</v>
      </c>
      <c r="F99" s="4" t="s">
        <v>2280</v>
      </c>
      <c r="G99" s="4">
        <v>1</v>
      </c>
      <c r="H99" s="4" t="s">
        <v>1279</v>
      </c>
      <c r="I99" s="4">
        <v>4</v>
      </c>
      <c r="J99" s="4" t="s">
        <v>2258</v>
      </c>
      <c r="K99" s="4" t="s">
        <v>2259</v>
      </c>
      <c r="L99" s="4">
        <v>2.66242148800678</v>
      </c>
      <c r="M99" s="4">
        <v>9.6251221448418303</v>
      </c>
      <c r="N99" s="4">
        <v>47.754602947394901</v>
      </c>
      <c r="O99" s="4">
        <v>10</v>
      </c>
      <c r="V99" s="4">
        <v>0.01</v>
      </c>
      <c r="W99" s="4">
        <v>1.0009329012354001E-2</v>
      </c>
    </row>
    <row r="100" spans="1:23">
      <c r="A100" s="4" t="s">
        <v>1319</v>
      </c>
      <c r="B100" s="4" t="s">
        <v>1399</v>
      </c>
      <c r="C100" s="4">
        <v>1.338571197</v>
      </c>
      <c r="D100" s="4">
        <v>1.7667141260000001</v>
      </c>
      <c r="F100" s="4" t="s">
        <v>2280</v>
      </c>
      <c r="G100" s="4">
        <v>2</v>
      </c>
      <c r="H100" s="4" t="s">
        <v>1280</v>
      </c>
      <c r="I100" s="4">
        <v>4</v>
      </c>
      <c r="J100" s="4" t="s">
        <v>2258</v>
      </c>
      <c r="K100" s="4" t="s">
        <v>2259</v>
      </c>
      <c r="L100" s="4">
        <v>1.1196050468973799</v>
      </c>
      <c r="M100" s="4">
        <v>9.6251221448418303</v>
      </c>
      <c r="N100" s="4">
        <v>1.36835504392562</v>
      </c>
      <c r="O100" s="4">
        <v>10</v>
      </c>
      <c r="V100" s="4">
        <v>0.01</v>
      </c>
      <c r="W100" s="4">
        <v>1.0009329012354001E-2</v>
      </c>
    </row>
    <row r="101" spans="1:23">
      <c r="A101" s="4" t="s">
        <v>1319</v>
      </c>
      <c r="B101" s="4" t="s">
        <v>1399</v>
      </c>
      <c r="C101" s="4">
        <v>1.4066094280000001</v>
      </c>
      <c r="D101" s="4">
        <v>1.7667044599999999</v>
      </c>
      <c r="F101" s="4" t="s">
        <v>2280</v>
      </c>
      <c r="G101" s="4">
        <v>1</v>
      </c>
      <c r="H101" s="4" t="s">
        <v>1279</v>
      </c>
      <c r="I101" s="4">
        <v>5</v>
      </c>
      <c r="J101" s="4" t="s">
        <v>2260</v>
      </c>
      <c r="K101" s="4" t="s">
        <v>2261</v>
      </c>
      <c r="L101" s="4">
        <v>3.12710991053775</v>
      </c>
      <c r="M101" s="4">
        <v>14.3012965215328</v>
      </c>
      <c r="N101" s="4">
        <v>93.698901459805398</v>
      </c>
      <c r="O101" s="4">
        <v>5.8035017508754301</v>
      </c>
      <c r="V101" s="4">
        <v>0.01</v>
      </c>
      <c r="W101" s="4">
        <v>1.01225621298245E-2</v>
      </c>
    </row>
    <row r="102" spans="1:23">
      <c r="A102" s="4" t="s">
        <v>1319</v>
      </c>
      <c r="B102" s="4" t="s">
        <v>1399</v>
      </c>
      <c r="C102" s="4">
        <v>1.3871699340000001</v>
      </c>
      <c r="D102" s="4">
        <v>1.7664753529999999</v>
      </c>
      <c r="F102" s="4" t="s">
        <v>2280</v>
      </c>
      <c r="G102" s="4">
        <v>2</v>
      </c>
      <c r="H102" s="4" t="s">
        <v>1280</v>
      </c>
      <c r="I102" s="4">
        <v>5</v>
      </c>
      <c r="J102" s="4" t="s">
        <v>2260</v>
      </c>
      <c r="K102" s="4" t="s">
        <v>2261</v>
      </c>
      <c r="L102" s="4">
        <v>1.6461809934681</v>
      </c>
      <c r="M102" s="4">
        <v>19.711799168722099</v>
      </c>
      <c r="N102" s="4">
        <v>2.2462326091281102</v>
      </c>
      <c r="O102" s="4">
        <v>10</v>
      </c>
      <c r="V102" s="4">
        <v>0.01</v>
      </c>
      <c r="W102" s="4">
        <v>1.01225621298245E-2</v>
      </c>
    </row>
    <row r="103" spans="1:23">
      <c r="A103" s="4" t="s">
        <v>1319</v>
      </c>
      <c r="B103" s="4" t="s">
        <v>1399</v>
      </c>
      <c r="C103" s="4">
        <v>1.403369512</v>
      </c>
      <c r="D103" s="4">
        <v>1.7657873610000001</v>
      </c>
      <c r="F103" s="4" t="s">
        <v>2280</v>
      </c>
      <c r="G103" s="4">
        <v>1</v>
      </c>
      <c r="H103" s="4" t="s">
        <v>1279</v>
      </c>
      <c r="I103" s="4">
        <v>6</v>
      </c>
      <c r="J103" s="4" t="s">
        <v>2262</v>
      </c>
      <c r="K103" s="4" t="s">
        <v>2263</v>
      </c>
      <c r="L103" s="4">
        <v>3.7678446845697802</v>
      </c>
      <c r="M103" s="4">
        <v>16.434842623605899</v>
      </c>
      <c r="N103" s="4">
        <v>356.51608998106002</v>
      </c>
      <c r="O103" s="4">
        <v>0.83731865932966398</v>
      </c>
      <c r="V103" s="4">
        <v>0.01</v>
      </c>
      <c r="W103" s="4">
        <v>1.35045516768687E-2</v>
      </c>
    </row>
    <row r="104" spans="1:23">
      <c r="A104" s="4" t="s">
        <v>1319</v>
      </c>
      <c r="B104" s="4" t="s">
        <v>1399</v>
      </c>
      <c r="C104" s="4">
        <v>1.3936497649999999</v>
      </c>
      <c r="D104" s="4">
        <v>1.749870915</v>
      </c>
      <c r="F104" s="4" t="s">
        <v>2280</v>
      </c>
      <c r="G104" s="4">
        <v>2</v>
      </c>
      <c r="H104" s="4" t="s">
        <v>1280</v>
      </c>
      <c r="I104" s="4">
        <v>6</v>
      </c>
      <c r="J104" s="4" t="s">
        <v>2262</v>
      </c>
      <c r="K104" s="4" t="s">
        <v>2263</v>
      </c>
      <c r="L104" s="4">
        <v>2.73517478418621</v>
      </c>
      <c r="M104" s="4">
        <v>29.6565586240764</v>
      </c>
      <c r="N104" s="4">
        <v>18.325423945693998</v>
      </c>
      <c r="O104" s="4">
        <v>10</v>
      </c>
      <c r="V104" s="4">
        <v>0.01</v>
      </c>
      <c r="W104" s="4">
        <v>1.35045516768687E-2</v>
      </c>
    </row>
    <row r="105" spans="1:23">
      <c r="A105" s="4" t="s">
        <v>1319</v>
      </c>
      <c r="B105" s="4" t="s">
        <v>1399</v>
      </c>
      <c r="C105" s="4">
        <v>1.3936497649999999</v>
      </c>
      <c r="D105" s="4">
        <v>1.723727257</v>
      </c>
      <c r="F105" s="4" t="s">
        <v>2280</v>
      </c>
      <c r="G105" s="4">
        <v>1</v>
      </c>
      <c r="H105" s="4" t="s">
        <v>1279</v>
      </c>
      <c r="I105" s="4">
        <v>7</v>
      </c>
      <c r="J105" s="4" t="s">
        <v>2264</v>
      </c>
      <c r="K105" s="4" t="s">
        <v>2265</v>
      </c>
      <c r="L105" s="4">
        <v>3.5523003939302602</v>
      </c>
      <c r="M105" s="4">
        <v>14.3291189900439</v>
      </c>
      <c r="N105" s="4">
        <v>248.93210113124999</v>
      </c>
      <c r="O105" s="4">
        <v>1.8129064532266099</v>
      </c>
      <c r="V105" s="4">
        <v>0.01</v>
      </c>
      <c r="W105" s="4">
        <v>1.0002338254056799E-2</v>
      </c>
    </row>
    <row r="106" spans="1:23">
      <c r="A106" s="4" t="s">
        <v>1319</v>
      </c>
      <c r="B106" s="4" t="s">
        <v>1399</v>
      </c>
      <c r="C106" s="4">
        <v>1.367730439</v>
      </c>
      <c r="D106" s="4">
        <v>1.6255049029999999</v>
      </c>
      <c r="F106" s="4" t="s">
        <v>2280</v>
      </c>
      <c r="G106" s="4">
        <v>2</v>
      </c>
      <c r="H106" s="4" t="s">
        <v>1280</v>
      </c>
      <c r="I106" s="4">
        <v>7</v>
      </c>
      <c r="J106" s="4" t="s">
        <v>2264</v>
      </c>
      <c r="K106" s="4" t="s">
        <v>2265</v>
      </c>
      <c r="L106" s="4">
        <v>2.2513113899666002</v>
      </c>
      <c r="M106" s="4">
        <v>28.921343100434001</v>
      </c>
      <c r="N106" s="4">
        <v>6.1672695782865397</v>
      </c>
      <c r="O106" s="4">
        <v>10</v>
      </c>
      <c r="V106" s="4">
        <v>0.01</v>
      </c>
      <c r="W106" s="4">
        <v>1.0002338254056799E-2</v>
      </c>
    </row>
    <row r="107" spans="1:23">
      <c r="A107" s="4" t="s">
        <v>1319</v>
      </c>
      <c r="B107" s="4" t="s">
        <v>1399</v>
      </c>
      <c r="C107" s="4">
        <v>1.3774501859999999</v>
      </c>
      <c r="D107" s="4">
        <v>1.7667142229999999</v>
      </c>
      <c r="F107" s="4" t="s">
        <v>2280</v>
      </c>
      <c r="G107" s="4">
        <v>1</v>
      </c>
      <c r="H107" s="4" t="s">
        <v>1279</v>
      </c>
      <c r="I107" s="4">
        <v>8</v>
      </c>
      <c r="J107" s="4" t="s">
        <v>2266</v>
      </c>
      <c r="K107" s="4" t="s">
        <v>2267</v>
      </c>
      <c r="L107" s="4">
        <v>3.45927354415634</v>
      </c>
      <c r="M107" s="4">
        <v>14.4314071287184</v>
      </c>
      <c r="N107" s="4">
        <v>199.510090343499</v>
      </c>
      <c r="O107" s="4">
        <v>2.36198099049524</v>
      </c>
      <c r="V107" s="4">
        <v>0.01</v>
      </c>
      <c r="W107" s="4">
        <v>1.0030719371611801E-2</v>
      </c>
    </row>
    <row r="108" spans="1:23">
      <c r="A108" s="4" t="s">
        <v>1319</v>
      </c>
      <c r="B108" s="4" t="s">
        <v>1399</v>
      </c>
      <c r="C108" s="4">
        <v>1.416329175</v>
      </c>
      <c r="D108" s="4">
        <v>1.7667141260000001</v>
      </c>
      <c r="F108" s="4" t="s">
        <v>2280</v>
      </c>
      <c r="G108" s="4">
        <v>2</v>
      </c>
      <c r="H108" s="4" t="s">
        <v>1280</v>
      </c>
      <c r="I108" s="4">
        <v>8</v>
      </c>
      <c r="J108" s="4" t="s">
        <v>2266</v>
      </c>
      <c r="K108" s="4" t="s">
        <v>2267</v>
      </c>
      <c r="L108" s="4">
        <v>2.1160776359553499</v>
      </c>
      <c r="M108" s="4">
        <v>27.532811236183399</v>
      </c>
      <c r="N108" s="4">
        <v>4.7449001605286796</v>
      </c>
      <c r="O108" s="4">
        <v>10</v>
      </c>
      <c r="V108" s="4">
        <v>0.01</v>
      </c>
      <c r="W108" s="4">
        <v>1.0030719371611801E-2</v>
      </c>
    </row>
    <row r="109" spans="1:23">
      <c r="A109" s="4" t="s">
        <v>1319</v>
      </c>
      <c r="B109" s="4" t="s">
        <v>1399</v>
      </c>
      <c r="C109" s="4">
        <v>1.4584480799999999</v>
      </c>
      <c r="D109" s="4">
        <v>1.7667044599999999</v>
      </c>
      <c r="F109" s="4" t="s">
        <v>2280</v>
      </c>
      <c r="G109" s="4">
        <v>1</v>
      </c>
      <c r="H109" s="4" t="s">
        <v>1279</v>
      </c>
      <c r="I109" s="4">
        <v>9</v>
      </c>
      <c r="J109" s="4" t="s">
        <v>2268</v>
      </c>
      <c r="K109" s="4" t="s">
        <v>2269</v>
      </c>
      <c r="L109" s="4">
        <v>3.32076867790708</v>
      </c>
      <c r="M109" s="4">
        <v>14.095714723322899</v>
      </c>
      <c r="N109" s="4">
        <v>148.48465568317101</v>
      </c>
      <c r="O109" s="4">
        <v>3.49934967483741</v>
      </c>
      <c r="V109" s="4">
        <v>0.01</v>
      </c>
      <c r="W109" s="4">
        <v>1.08783922525569E-2</v>
      </c>
    </row>
    <row r="110" spans="1:23">
      <c r="A110" s="4" t="s">
        <v>1319</v>
      </c>
      <c r="B110" s="4" t="s">
        <v>1399</v>
      </c>
      <c r="C110" s="4">
        <v>1.497327069</v>
      </c>
      <c r="D110" s="4">
        <v>1.7664753529999999</v>
      </c>
      <c r="F110" s="4" t="s">
        <v>2280</v>
      </c>
      <c r="G110" s="4">
        <v>2</v>
      </c>
      <c r="H110" s="4" t="s">
        <v>1280</v>
      </c>
      <c r="I110" s="4">
        <v>9</v>
      </c>
      <c r="J110" s="4" t="s">
        <v>2268</v>
      </c>
      <c r="K110" s="4" t="s">
        <v>2269</v>
      </c>
      <c r="L110" s="4">
        <v>1.8941524773179199</v>
      </c>
      <c r="M110" s="4">
        <v>24.327079490065302</v>
      </c>
      <c r="N110" s="4">
        <v>3.22153239667111</v>
      </c>
      <c r="O110" s="4">
        <v>10</v>
      </c>
      <c r="V110" s="4">
        <v>0.01</v>
      </c>
      <c r="W110" s="4">
        <v>1.08783922525569E-2</v>
      </c>
    </row>
    <row r="111" spans="1:23">
      <c r="A111" s="4" t="s">
        <v>1319</v>
      </c>
      <c r="B111" s="4" t="s">
        <v>1399</v>
      </c>
      <c r="C111" s="4">
        <v>1.4876073219999999</v>
      </c>
      <c r="D111" s="4">
        <v>1.7657873610000001</v>
      </c>
      <c r="F111" s="4" t="s">
        <v>2280</v>
      </c>
      <c r="G111" s="4">
        <v>1</v>
      </c>
      <c r="H111" s="4" t="s">
        <v>1279</v>
      </c>
      <c r="I111" s="4">
        <v>10</v>
      </c>
      <c r="J111" s="4" t="s">
        <v>2270</v>
      </c>
      <c r="K111" s="4" t="s">
        <v>2271</v>
      </c>
      <c r="L111" s="4">
        <v>3.7699586580911899</v>
      </c>
      <c r="M111" s="4">
        <v>16.075702674594901</v>
      </c>
      <c r="N111" s="4">
        <v>366.25932688158701</v>
      </c>
      <c r="O111" s="4">
        <v>0.84712356178088999</v>
      </c>
      <c r="V111" s="4">
        <v>0.01</v>
      </c>
      <c r="W111" s="4">
        <v>1.00006359168544E-2</v>
      </c>
    </row>
    <row r="112" spans="1:23">
      <c r="A112" s="4" t="s">
        <v>1319</v>
      </c>
      <c r="B112" s="4" t="s">
        <v>1399</v>
      </c>
      <c r="C112" s="4">
        <v>1.529726227</v>
      </c>
      <c r="D112" s="4">
        <v>1.749870915</v>
      </c>
      <c r="F112" s="4" t="s">
        <v>2280</v>
      </c>
      <c r="G112" s="4">
        <v>2</v>
      </c>
      <c r="H112" s="4" t="s">
        <v>1280</v>
      </c>
      <c r="I112" s="4">
        <v>10</v>
      </c>
      <c r="J112" s="4" t="s">
        <v>2270</v>
      </c>
      <c r="K112" s="4" t="s">
        <v>2271</v>
      </c>
      <c r="L112" s="4">
        <v>2.7166704716968999</v>
      </c>
      <c r="M112" s="4">
        <v>29.7823519468283</v>
      </c>
      <c r="N112" s="4">
        <v>17.486845790562999</v>
      </c>
      <c r="O112" s="4">
        <v>10</v>
      </c>
      <c r="V112" s="4">
        <v>0.01</v>
      </c>
      <c r="W112" s="4">
        <v>1.00006359168544E-2</v>
      </c>
    </row>
    <row r="113" spans="1:23">
      <c r="A113" s="4" t="s">
        <v>1319</v>
      </c>
      <c r="B113" s="4" t="s">
        <v>1399</v>
      </c>
      <c r="C113" s="4">
        <v>1.5167665640000001</v>
      </c>
      <c r="D113" s="4">
        <v>1.723727257</v>
      </c>
      <c r="F113" s="4" t="s">
        <v>2280</v>
      </c>
      <c r="G113" s="4">
        <v>1</v>
      </c>
      <c r="H113" s="4" t="s">
        <v>1279</v>
      </c>
      <c r="I113" s="4">
        <v>11</v>
      </c>
      <c r="J113" s="4" t="s">
        <v>1319</v>
      </c>
      <c r="K113" s="4" t="s">
        <v>2272</v>
      </c>
      <c r="L113" s="4">
        <v>3.4708516797111799</v>
      </c>
      <c r="M113" s="4">
        <v>25.990376170346401</v>
      </c>
      <c r="N113" s="4">
        <v>113.772975003686</v>
      </c>
      <c r="O113" s="4">
        <v>0.57258629314657306</v>
      </c>
      <c r="V113" s="4">
        <v>0.01</v>
      </c>
      <c r="W113" s="4">
        <v>1.00083545096853E-2</v>
      </c>
    </row>
    <row r="114" spans="1:23">
      <c r="A114" s="4" t="s">
        <v>1319</v>
      </c>
      <c r="B114" s="4" t="s">
        <v>1399</v>
      </c>
      <c r="C114" s="4">
        <v>1.5200064799999999</v>
      </c>
      <c r="D114" s="4">
        <v>1.6255049029999999</v>
      </c>
      <c r="F114" s="4" t="s">
        <v>2280</v>
      </c>
      <c r="G114" s="4">
        <v>2</v>
      </c>
      <c r="H114" s="4" t="s">
        <v>1280</v>
      </c>
      <c r="I114" s="4">
        <v>11</v>
      </c>
      <c r="J114" s="4" t="s">
        <v>1319</v>
      </c>
      <c r="K114" s="4" t="s">
        <v>2272</v>
      </c>
      <c r="L114" s="4">
        <v>3.0316656051122499</v>
      </c>
      <c r="M114" s="4">
        <v>26.686734328715001</v>
      </c>
      <c r="N114" s="4">
        <v>40.306043841287099</v>
      </c>
      <c r="O114" s="4">
        <v>6.2251125562781304</v>
      </c>
      <c r="V114" s="4">
        <v>0.01</v>
      </c>
      <c r="W114" s="4">
        <v>1.00083545096853E-2</v>
      </c>
    </row>
    <row r="115" spans="1:23">
      <c r="A115" s="4" t="s">
        <v>1319</v>
      </c>
      <c r="B115" s="4" t="s">
        <v>1399</v>
      </c>
      <c r="C115" s="4">
        <v>1.416329175</v>
      </c>
      <c r="D115" s="4">
        <v>1.7665907199999999</v>
      </c>
      <c r="F115" s="4" t="s">
        <v>2280</v>
      </c>
      <c r="G115" s="4">
        <v>1</v>
      </c>
      <c r="H115" s="4" t="s">
        <v>1279</v>
      </c>
      <c r="I115" s="4">
        <v>12</v>
      </c>
      <c r="J115" s="4" t="s">
        <v>1319</v>
      </c>
      <c r="K115" s="4" t="s">
        <v>2273</v>
      </c>
      <c r="L115" s="4">
        <v>3.3994287242364001</v>
      </c>
      <c r="M115" s="4">
        <v>24.516290771332098</v>
      </c>
      <c r="N115" s="4">
        <v>102.32316397023099</v>
      </c>
      <c r="O115" s="4">
        <v>1.0334167083541701</v>
      </c>
      <c r="V115" s="4">
        <v>0.01</v>
      </c>
      <c r="W115" s="4">
        <v>1.02388895409131E-2</v>
      </c>
    </row>
    <row r="116" spans="1:23">
      <c r="A116" s="4" t="s">
        <v>1319</v>
      </c>
      <c r="B116" s="4" t="s">
        <v>1399</v>
      </c>
      <c r="C116" s="4">
        <v>1.426048923</v>
      </c>
      <c r="D116" s="4">
        <v>1.766580204</v>
      </c>
      <c r="F116" s="4" t="s">
        <v>2280</v>
      </c>
      <c r="G116" s="4">
        <v>2</v>
      </c>
      <c r="H116" s="4" t="s">
        <v>1280</v>
      </c>
      <c r="I116" s="4">
        <v>12</v>
      </c>
      <c r="J116" s="4" t="s">
        <v>1319</v>
      </c>
      <c r="K116" s="4" t="s">
        <v>2273</v>
      </c>
      <c r="L116" s="4">
        <v>2.86709726220721</v>
      </c>
      <c r="M116" s="4">
        <v>27.090516805878998</v>
      </c>
      <c r="N116" s="4">
        <v>27.181910117617502</v>
      </c>
      <c r="O116" s="4">
        <v>10</v>
      </c>
      <c r="V116" s="4">
        <v>0.01</v>
      </c>
      <c r="W116" s="4">
        <v>1.02388895409131E-2</v>
      </c>
    </row>
    <row r="117" spans="1:23">
      <c r="A117" s="4" t="s">
        <v>1319</v>
      </c>
      <c r="B117" s="4" t="s">
        <v>1399</v>
      </c>
      <c r="C117" s="4">
        <v>1.4390085859999999</v>
      </c>
      <c r="D117" s="4">
        <v>1.7655298109999999</v>
      </c>
      <c r="F117" s="4" t="s">
        <v>2280</v>
      </c>
      <c r="G117" s="4">
        <v>1</v>
      </c>
      <c r="H117" s="4" t="s">
        <v>1279</v>
      </c>
      <c r="I117" s="4">
        <v>13</v>
      </c>
      <c r="J117" s="4" t="s">
        <v>1319</v>
      </c>
      <c r="K117" s="4" t="s">
        <v>2274</v>
      </c>
      <c r="L117" s="4">
        <v>3.2181784973257099</v>
      </c>
      <c r="M117" s="4">
        <v>26.207580628263301</v>
      </c>
      <c r="N117" s="4">
        <v>63.059651565798603</v>
      </c>
      <c r="O117" s="4">
        <v>1.22461230615307</v>
      </c>
      <c r="V117" s="4">
        <v>0.01</v>
      </c>
      <c r="W117" s="4">
        <v>1.00005366041935E-2</v>
      </c>
    </row>
    <row r="118" spans="1:23">
      <c r="A118" s="4" t="s">
        <v>1319</v>
      </c>
      <c r="B118" s="4" t="s">
        <v>1399</v>
      </c>
      <c r="C118" s="4">
        <v>1.507046817</v>
      </c>
      <c r="D118" s="4">
        <v>1.7414128120000001</v>
      </c>
      <c r="F118" s="4" t="s">
        <v>2280</v>
      </c>
      <c r="G118" s="4">
        <v>2</v>
      </c>
      <c r="H118" s="4" t="s">
        <v>1280</v>
      </c>
      <c r="I118" s="4">
        <v>13</v>
      </c>
      <c r="J118" s="4" t="s">
        <v>1319</v>
      </c>
      <c r="K118" s="4" t="s">
        <v>2274</v>
      </c>
      <c r="L118" s="4">
        <v>2.81578499831563</v>
      </c>
      <c r="M118" s="4">
        <v>26.907879717465601</v>
      </c>
      <c r="N118" s="4">
        <v>24.316749486554802</v>
      </c>
      <c r="O118" s="4">
        <v>10</v>
      </c>
      <c r="V118" s="4">
        <v>0.01</v>
      </c>
      <c r="W118" s="4">
        <v>1.00005366041935E-2</v>
      </c>
    </row>
    <row r="119" spans="1:23">
      <c r="A119" s="4" t="s">
        <v>1319</v>
      </c>
      <c r="B119" s="4" t="s">
        <v>1399</v>
      </c>
      <c r="C119" s="4">
        <v>1.5005669850000001</v>
      </c>
      <c r="D119" s="4">
        <v>1.676915038</v>
      </c>
      <c r="F119" s="4" t="s">
        <v>2280</v>
      </c>
      <c r="G119" s="4">
        <v>1</v>
      </c>
      <c r="H119" s="4" t="s">
        <v>1279</v>
      </c>
      <c r="I119" s="4">
        <v>14</v>
      </c>
      <c r="J119" s="4" t="s">
        <v>1281</v>
      </c>
      <c r="K119" s="4" t="s">
        <v>2275</v>
      </c>
      <c r="L119" s="4">
        <v>3.7863896237721599</v>
      </c>
      <c r="M119" s="4">
        <v>16.715944521087199</v>
      </c>
      <c r="N119" s="4">
        <v>365.81263580583402</v>
      </c>
      <c r="O119" s="4">
        <v>0.773586793396698</v>
      </c>
      <c r="V119" s="4">
        <v>0.01</v>
      </c>
      <c r="W119" s="4">
        <v>1.00070497658629E-2</v>
      </c>
    </row>
    <row r="120" spans="1:23">
      <c r="A120" s="4" t="s">
        <v>1319</v>
      </c>
      <c r="B120" s="4" t="s">
        <v>1399</v>
      </c>
      <c r="C120" s="4">
        <v>1.0988174310000001</v>
      </c>
      <c r="D120" s="4">
        <v>1.1725207820000001</v>
      </c>
      <c r="F120" s="4" t="s">
        <v>2280</v>
      </c>
      <c r="G120" s="4">
        <v>2</v>
      </c>
      <c r="H120" s="4" t="s">
        <v>1280</v>
      </c>
      <c r="I120" s="4">
        <v>14</v>
      </c>
      <c r="J120" s="4" t="s">
        <v>1281</v>
      </c>
      <c r="K120" s="4" t="s">
        <v>2275</v>
      </c>
      <c r="L120" s="4">
        <v>2.78158688737228</v>
      </c>
      <c r="M120" s="4">
        <v>29.270876243103402</v>
      </c>
      <c r="N120" s="4">
        <v>20.660991729093901</v>
      </c>
      <c r="O120" s="4">
        <v>10</v>
      </c>
      <c r="V120" s="4">
        <v>0.01</v>
      </c>
      <c r="W120" s="4">
        <v>1.00070497658629E-2</v>
      </c>
    </row>
    <row r="121" spans="1:23">
      <c r="A121" s="4" t="s">
        <v>1319</v>
      </c>
      <c r="B121" s="4" t="s">
        <v>1399</v>
      </c>
      <c r="C121" s="4">
        <v>0.94330147399999997</v>
      </c>
      <c r="D121" s="4">
        <v>0.98956727300000003</v>
      </c>
      <c r="F121" s="4" t="s">
        <v>2280</v>
      </c>
      <c r="G121" s="4">
        <v>1</v>
      </c>
      <c r="H121" s="4" t="s">
        <v>1279</v>
      </c>
      <c r="I121" s="4">
        <v>15</v>
      </c>
      <c r="J121" s="4" t="s">
        <v>2276</v>
      </c>
      <c r="K121" s="4" t="s">
        <v>2277</v>
      </c>
      <c r="L121" s="4">
        <v>3.5484522133508301</v>
      </c>
      <c r="M121" s="4">
        <v>12.737282015045</v>
      </c>
      <c r="N121" s="4">
        <v>277.57186840483098</v>
      </c>
      <c r="O121" s="4">
        <v>1.8962481240620299</v>
      </c>
      <c r="V121" s="4">
        <v>0.01</v>
      </c>
      <c r="W121" s="4">
        <v>1.02015815881449E-2</v>
      </c>
    </row>
    <row r="122" spans="1:23">
      <c r="A122" s="4" t="s">
        <v>1319</v>
      </c>
      <c r="B122" s="4" t="s">
        <v>1399</v>
      </c>
      <c r="C122" s="4">
        <v>0.50267293099999999</v>
      </c>
      <c r="D122" s="4">
        <v>0.81115595600000001</v>
      </c>
      <c r="F122" s="4" t="s">
        <v>2280</v>
      </c>
      <c r="G122" s="4">
        <v>2</v>
      </c>
      <c r="H122" s="4" t="s">
        <v>1280</v>
      </c>
      <c r="I122" s="4">
        <v>15</v>
      </c>
      <c r="J122" s="4" t="s">
        <v>2276</v>
      </c>
      <c r="K122" s="4" t="s">
        <v>2277</v>
      </c>
      <c r="L122" s="4">
        <v>2.1506601935409599</v>
      </c>
      <c r="M122" s="4">
        <v>27.931845347526501</v>
      </c>
      <c r="N122" s="4">
        <v>5.0647797574321203</v>
      </c>
      <c r="O122" s="4">
        <v>10</v>
      </c>
      <c r="V122" s="4">
        <v>0.01</v>
      </c>
      <c r="W122" s="4">
        <v>1.02015815881449E-2</v>
      </c>
    </row>
    <row r="123" spans="1:23">
      <c r="A123" s="4" t="s">
        <v>1319</v>
      </c>
      <c r="B123" s="4" t="s">
        <v>1399</v>
      </c>
      <c r="C123" s="4">
        <v>1.4584480799999999</v>
      </c>
      <c r="D123" s="4">
        <v>1.7665907199999999</v>
      </c>
      <c r="F123" s="4" t="s">
        <v>215</v>
      </c>
      <c r="G123" s="4">
        <v>1</v>
      </c>
      <c r="H123" s="4" t="s">
        <v>1279</v>
      </c>
      <c r="I123" s="4">
        <v>1</v>
      </c>
      <c r="J123" s="4" t="s">
        <v>196</v>
      </c>
      <c r="K123" s="4" t="s">
        <v>2255</v>
      </c>
      <c r="L123" s="4">
        <v>3.3658172855031099</v>
      </c>
      <c r="M123" s="4">
        <v>17.843000368763501</v>
      </c>
      <c r="N123" s="4">
        <v>130.12160186768099</v>
      </c>
      <c r="O123" s="4">
        <v>8.1223611805902909</v>
      </c>
      <c r="V123" s="4">
        <v>2.7577590000000001</v>
      </c>
      <c r="W123" s="4">
        <v>0.78832294240337297</v>
      </c>
    </row>
    <row r="124" spans="1:23">
      <c r="A124" s="4" t="s">
        <v>1319</v>
      </c>
      <c r="B124" s="4" t="s">
        <v>1399</v>
      </c>
      <c r="C124" s="4">
        <v>1.490847238</v>
      </c>
      <c r="D124" s="4">
        <v>1.766580204</v>
      </c>
      <c r="F124" s="4" t="s">
        <v>215</v>
      </c>
      <c r="G124" s="4">
        <v>2</v>
      </c>
      <c r="H124" s="4" t="s">
        <v>1280</v>
      </c>
      <c r="I124" s="4">
        <v>1</v>
      </c>
      <c r="J124" s="4" t="s">
        <v>196</v>
      </c>
      <c r="K124" s="4" t="s">
        <v>2255</v>
      </c>
      <c r="L124" s="4">
        <v>1.6838232929011401</v>
      </c>
      <c r="M124" s="4">
        <v>20.5229930621894</v>
      </c>
      <c r="N124" s="4">
        <v>2.3527869062721298</v>
      </c>
      <c r="O124" s="4">
        <v>10</v>
      </c>
      <c r="V124" s="4">
        <v>2.8538860000000001</v>
      </c>
      <c r="W124" s="4">
        <v>0.78832294240337297</v>
      </c>
    </row>
    <row r="125" spans="1:23">
      <c r="A125" s="4" t="s">
        <v>1319</v>
      </c>
      <c r="B125" s="4" t="s">
        <v>1399</v>
      </c>
      <c r="C125" s="4">
        <v>1.536206059</v>
      </c>
      <c r="D125" s="4">
        <v>1.7655298109999999</v>
      </c>
      <c r="F125" s="4" t="s">
        <v>215</v>
      </c>
      <c r="G125" s="4">
        <v>1</v>
      </c>
      <c r="H125" s="4" t="s">
        <v>1279</v>
      </c>
      <c r="I125" s="4">
        <v>2</v>
      </c>
      <c r="J125" s="4" t="s">
        <v>196</v>
      </c>
      <c r="K125" s="4" t="s">
        <v>2256</v>
      </c>
      <c r="L125" s="4">
        <v>3.5181218345361001</v>
      </c>
      <c r="M125" s="4">
        <v>17.329560860777502</v>
      </c>
      <c r="N125" s="4">
        <v>190.25421051112801</v>
      </c>
      <c r="O125" s="4">
        <v>4.6220110055027499</v>
      </c>
      <c r="V125" s="4">
        <v>5.7047509999999999</v>
      </c>
      <c r="W125" s="4">
        <v>7.1203176387975002</v>
      </c>
    </row>
    <row r="126" spans="1:23">
      <c r="A126" s="4" t="s">
        <v>1319</v>
      </c>
      <c r="B126" s="4" t="s">
        <v>1399</v>
      </c>
      <c r="C126" s="4">
        <v>1.5783249640000001</v>
      </c>
      <c r="D126" s="4">
        <v>1.7414128120000001</v>
      </c>
      <c r="F126" s="4" t="s">
        <v>215</v>
      </c>
      <c r="G126" s="4">
        <v>2</v>
      </c>
      <c r="H126" s="4" t="s">
        <v>1280</v>
      </c>
      <c r="I126" s="4">
        <v>2</v>
      </c>
      <c r="J126" s="4" t="s">
        <v>196</v>
      </c>
      <c r="K126" s="4" t="s">
        <v>2256</v>
      </c>
      <c r="L126" s="4">
        <v>2.0327750834663298</v>
      </c>
      <c r="M126" s="4">
        <v>26.707574257556001</v>
      </c>
      <c r="N126" s="4">
        <v>4.0377612783717698</v>
      </c>
      <c r="O126" s="4">
        <v>10</v>
      </c>
      <c r="V126" s="4">
        <v>5.8118650000000001</v>
      </c>
      <c r="W126" s="4">
        <v>7.1203176387975002</v>
      </c>
    </row>
    <row r="127" spans="1:23">
      <c r="A127" s="4" t="s">
        <v>1319</v>
      </c>
      <c r="B127" s="4" t="s">
        <v>1399</v>
      </c>
      <c r="C127" s="4">
        <v>1.5912846270000001</v>
      </c>
      <c r="D127" s="4">
        <v>1.676915038</v>
      </c>
      <c r="F127" s="4" t="s">
        <v>215</v>
      </c>
      <c r="G127" s="4">
        <v>1</v>
      </c>
      <c r="H127" s="4" t="s">
        <v>1279</v>
      </c>
      <c r="I127" s="4">
        <v>3</v>
      </c>
      <c r="J127" s="4" t="s">
        <v>2257</v>
      </c>
      <c r="K127" s="4" t="s">
        <v>724</v>
      </c>
      <c r="L127" s="4">
        <v>3.60264048936373</v>
      </c>
      <c r="M127" s="4">
        <v>21.9362828846144</v>
      </c>
      <c r="N127" s="4">
        <v>182.590194537576</v>
      </c>
      <c r="O127" s="4">
        <v>0.99419709854927396</v>
      </c>
      <c r="V127" s="4">
        <v>9.6652020000000007</v>
      </c>
      <c r="W127" s="4">
        <v>21.174776984166499</v>
      </c>
    </row>
    <row r="128" spans="1:23">
      <c r="A128" s="4" t="s">
        <v>1319</v>
      </c>
      <c r="B128" s="4" t="s">
        <v>1399</v>
      </c>
      <c r="C128" s="4">
        <v>1.1182569250000001</v>
      </c>
      <c r="D128" s="4">
        <v>1.1725207820000001</v>
      </c>
      <c r="F128" s="4" t="s">
        <v>215</v>
      </c>
      <c r="G128" s="4">
        <v>2</v>
      </c>
      <c r="H128" s="4" t="s">
        <v>1280</v>
      </c>
      <c r="I128" s="4">
        <v>3</v>
      </c>
      <c r="J128" s="4" t="s">
        <v>2257</v>
      </c>
      <c r="K128" s="4" t="s">
        <v>724</v>
      </c>
      <c r="L128" s="4">
        <v>3.2121390886086001</v>
      </c>
      <c r="M128" s="4">
        <v>28.359223118846099</v>
      </c>
      <c r="N128" s="4">
        <v>57.470471359261602</v>
      </c>
      <c r="O128" s="4">
        <v>10</v>
      </c>
      <c r="V128" s="4">
        <v>9.5196369999999995</v>
      </c>
      <c r="W128" s="4">
        <v>21.174776984166499</v>
      </c>
    </row>
    <row r="129" spans="1:23">
      <c r="A129" s="4" t="s">
        <v>1319</v>
      </c>
      <c r="B129" s="4" t="s">
        <v>1399</v>
      </c>
      <c r="C129" s="4">
        <v>0.95302122099999997</v>
      </c>
      <c r="D129" s="4">
        <v>0.98956727300000003</v>
      </c>
      <c r="F129" s="4" t="s">
        <v>215</v>
      </c>
      <c r="G129" s="4">
        <v>1</v>
      </c>
      <c r="H129" s="4" t="s">
        <v>1279</v>
      </c>
      <c r="I129" s="4">
        <v>4</v>
      </c>
      <c r="J129" s="4" t="s">
        <v>2258</v>
      </c>
      <c r="K129" s="4" t="s">
        <v>2259</v>
      </c>
      <c r="L129" s="4">
        <v>2.3776215999049901</v>
      </c>
      <c r="M129" s="4">
        <v>5.5488417920759003</v>
      </c>
      <c r="N129" s="4">
        <v>42.9951291137968</v>
      </c>
      <c r="O129" s="4">
        <v>10</v>
      </c>
      <c r="V129" s="4">
        <v>1.49437</v>
      </c>
      <c r="W129" s="4">
        <v>0.19416876229473801</v>
      </c>
    </row>
    <row r="130" spans="1:23">
      <c r="A130" s="4" t="s">
        <v>1319</v>
      </c>
      <c r="B130" s="4" t="s">
        <v>1399</v>
      </c>
      <c r="C130" s="4">
        <v>0.50267293099999999</v>
      </c>
      <c r="D130" s="4">
        <v>0.81115595600000001</v>
      </c>
      <c r="F130" s="4" t="s">
        <v>215</v>
      </c>
      <c r="G130" s="4">
        <v>2</v>
      </c>
      <c r="H130" s="4" t="s">
        <v>1280</v>
      </c>
      <c r="I130" s="4">
        <v>4</v>
      </c>
      <c r="J130" s="4" t="s">
        <v>2258</v>
      </c>
      <c r="K130" s="4" t="s">
        <v>2259</v>
      </c>
      <c r="L130" s="4">
        <v>0.81727917962676799</v>
      </c>
      <c r="M130" s="4">
        <v>5.5488417920758897</v>
      </c>
      <c r="N130" s="4">
        <v>1.1832508828833399</v>
      </c>
      <c r="O130" s="4">
        <v>10</v>
      </c>
      <c r="V130" s="4">
        <v>1.4394400000000001</v>
      </c>
      <c r="W130" s="4">
        <v>0.19416876229473801</v>
      </c>
    </row>
    <row r="131" spans="1:23">
      <c r="A131" s="4" t="s">
        <v>1319</v>
      </c>
      <c r="B131" s="4" t="s">
        <v>1399</v>
      </c>
      <c r="C131" s="4">
        <v>1.416329175</v>
      </c>
      <c r="D131" s="4">
        <v>1.761740109</v>
      </c>
      <c r="F131" s="4" t="s">
        <v>215</v>
      </c>
      <c r="G131" s="4">
        <v>1</v>
      </c>
      <c r="H131" s="4" t="s">
        <v>1279</v>
      </c>
      <c r="I131" s="4">
        <v>5</v>
      </c>
      <c r="J131" s="4" t="s">
        <v>2260</v>
      </c>
      <c r="K131" s="4" t="s">
        <v>2261</v>
      </c>
      <c r="L131" s="4">
        <v>3.2116915030733701</v>
      </c>
      <c r="M131" s="4">
        <v>13.736190186357399</v>
      </c>
      <c r="N131" s="4">
        <v>118.52916031855599</v>
      </c>
      <c r="O131" s="4">
        <v>10</v>
      </c>
      <c r="V131" s="4">
        <v>2.3183189999999998</v>
      </c>
      <c r="W131" s="4">
        <v>1.6924615178581199</v>
      </c>
    </row>
    <row r="132" spans="1:23">
      <c r="A132" s="4" t="s">
        <v>1319</v>
      </c>
      <c r="B132" s="4" t="s">
        <v>1399</v>
      </c>
      <c r="C132" s="4">
        <v>1.445488417</v>
      </c>
      <c r="D132" s="4">
        <v>1.76132198</v>
      </c>
      <c r="F132" s="4" t="s">
        <v>215</v>
      </c>
      <c r="G132" s="4">
        <v>2</v>
      </c>
      <c r="H132" s="4" t="s">
        <v>1280</v>
      </c>
      <c r="I132" s="4">
        <v>5</v>
      </c>
      <c r="J132" s="4" t="s">
        <v>2260</v>
      </c>
      <c r="K132" s="4" t="s">
        <v>2261</v>
      </c>
      <c r="L132" s="4">
        <v>1.3482341566893199</v>
      </c>
      <c r="M132" s="4">
        <v>13.736190186357399</v>
      </c>
      <c r="N132" s="4">
        <v>1.62318440468874</v>
      </c>
      <c r="O132" s="4">
        <v>10</v>
      </c>
      <c r="V132" s="4">
        <v>2.4940950000000002</v>
      </c>
      <c r="W132" s="4">
        <v>1.6924615178581199</v>
      </c>
    </row>
    <row r="133" spans="1:23">
      <c r="A133" s="4" t="s">
        <v>1319</v>
      </c>
      <c r="B133" s="4" t="s">
        <v>1399</v>
      </c>
      <c r="C133" s="4">
        <v>1.41308926</v>
      </c>
      <c r="D133" s="4">
        <v>1.7207761239999999</v>
      </c>
      <c r="F133" s="4" t="s">
        <v>215</v>
      </c>
      <c r="G133" s="4">
        <v>1</v>
      </c>
      <c r="H133" s="4" t="s">
        <v>1279</v>
      </c>
      <c r="I133" s="4">
        <v>6</v>
      </c>
      <c r="J133" s="4" t="s">
        <v>2262</v>
      </c>
      <c r="K133" s="4" t="s">
        <v>2263</v>
      </c>
      <c r="L133" s="4">
        <v>3.6346107979214199</v>
      </c>
      <c r="M133" s="4">
        <v>17.830820883342501</v>
      </c>
      <c r="N133" s="4">
        <v>241.79062648695799</v>
      </c>
      <c r="O133" s="4">
        <v>2.3717858929464701</v>
      </c>
      <c r="V133" s="4">
        <v>5.6498210000000002</v>
      </c>
      <c r="W133" s="4">
        <v>5.0180635801147897</v>
      </c>
    </row>
    <row r="134" spans="1:23">
      <c r="A134" s="4" t="s">
        <v>1319</v>
      </c>
      <c r="B134" s="4" t="s">
        <v>1399</v>
      </c>
      <c r="C134" s="4">
        <v>1.302932124</v>
      </c>
      <c r="D134" s="4">
        <v>1.176480285</v>
      </c>
      <c r="F134" s="4" t="s">
        <v>215</v>
      </c>
      <c r="G134" s="4">
        <v>2</v>
      </c>
      <c r="H134" s="4" t="s">
        <v>1280</v>
      </c>
      <c r="I134" s="4">
        <v>6</v>
      </c>
      <c r="J134" s="4" t="s">
        <v>2262</v>
      </c>
      <c r="K134" s="4" t="s">
        <v>2263</v>
      </c>
      <c r="L134" s="4">
        <v>2.5208798516639601</v>
      </c>
      <c r="M134" s="4">
        <v>31.452726448823299</v>
      </c>
      <c r="N134" s="4">
        <v>10.549249255195001</v>
      </c>
      <c r="O134" s="4">
        <v>10</v>
      </c>
      <c r="V134" s="4">
        <v>4.7654490000000003</v>
      </c>
      <c r="W134" s="4">
        <v>5.0180635801147897</v>
      </c>
    </row>
    <row r="135" spans="1:23">
      <c r="A135" s="4" t="s">
        <v>1319</v>
      </c>
      <c r="B135" s="4" t="s">
        <v>1399</v>
      </c>
      <c r="C135" s="4">
        <v>1.1344565040000001</v>
      </c>
      <c r="D135" s="4">
        <v>0.74640353500000001</v>
      </c>
      <c r="F135" s="4" t="s">
        <v>215</v>
      </c>
      <c r="G135" s="4">
        <v>1</v>
      </c>
      <c r="H135" s="4" t="s">
        <v>1279</v>
      </c>
      <c r="I135" s="4">
        <v>7</v>
      </c>
      <c r="J135" s="4" t="s">
        <v>2264</v>
      </c>
      <c r="K135" s="4" t="s">
        <v>2265</v>
      </c>
      <c r="L135" s="4">
        <v>3.52525789715876</v>
      </c>
      <c r="M135" s="4">
        <v>16.610813388018201</v>
      </c>
      <c r="N135" s="4">
        <v>201.774833645119</v>
      </c>
      <c r="O135" s="4">
        <v>4.7984992496248102</v>
      </c>
      <c r="V135" s="4">
        <v>0.11974700000000001</v>
      </c>
      <c r="W135" s="4">
        <v>1.24688378013039E-2</v>
      </c>
    </row>
    <row r="136" spans="1:23">
      <c r="A136" s="4" t="s">
        <v>1319</v>
      </c>
      <c r="B136" s="4" t="s">
        <v>1399</v>
      </c>
      <c r="C136" s="4">
        <v>0.37955613199999999</v>
      </c>
      <c r="D136" s="4">
        <v>0.38006392</v>
      </c>
      <c r="F136" s="4" t="s">
        <v>215</v>
      </c>
      <c r="G136" s="4">
        <v>2</v>
      </c>
      <c r="H136" s="4" t="s">
        <v>1280</v>
      </c>
      <c r="I136" s="4">
        <v>7</v>
      </c>
      <c r="J136" s="4" t="s">
        <v>2264</v>
      </c>
      <c r="K136" s="4" t="s">
        <v>2265</v>
      </c>
      <c r="L136" s="4">
        <v>1.9728027799640799</v>
      </c>
      <c r="M136" s="4">
        <v>25.7868435767626</v>
      </c>
      <c r="N136" s="4">
        <v>3.6425422186260898</v>
      </c>
      <c r="O136" s="4">
        <v>10</v>
      </c>
      <c r="V136" s="4">
        <v>0.10574</v>
      </c>
      <c r="W136" s="4">
        <v>1.24688378013039E-2</v>
      </c>
    </row>
    <row r="137" spans="1:23">
      <c r="A137" s="4" t="s">
        <v>1319</v>
      </c>
      <c r="B137" s="4" t="s">
        <v>1399</v>
      </c>
      <c r="C137" s="4">
        <v>0.228252065</v>
      </c>
      <c r="D137" s="4">
        <v>0.348815812</v>
      </c>
      <c r="F137" s="4" t="s">
        <v>215</v>
      </c>
      <c r="G137" s="4">
        <v>1</v>
      </c>
      <c r="H137" s="4" t="s">
        <v>1279</v>
      </c>
      <c r="I137" s="4">
        <v>8</v>
      </c>
      <c r="J137" s="4" t="s">
        <v>2266</v>
      </c>
      <c r="K137" s="4" t="s">
        <v>2267</v>
      </c>
      <c r="L137" s="4">
        <v>3.4686426360602098</v>
      </c>
      <c r="M137" s="4">
        <v>16.7801187695439</v>
      </c>
      <c r="N137" s="4">
        <v>175.32651713532101</v>
      </c>
      <c r="O137" s="4">
        <v>5.9995997998999497</v>
      </c>
      <c r="V137" s="4">
        <v>0.13924700000000001</v>
      </c>
      <c r="W137" s="4">
        <v>3.2553904053934199E-2</v>
      </c>
    </row>
    <row r="138" spans="1:23">
      <c r="A138" s="4" t="s">
        <v>1319</v>
      </c>
      <c r="B138" s="4" t="s">
        <v>1399</v>
      </c>
      <c r="C138" s="4">
        <v>9.2175602999999995E-2</v>
      </c>
      <c r="D138" s="4">
        <v>0.32445338299999998</v>
      </c>
      <c r="F138" s="4" t="s">
        <v>215</v>
      </c>
      <c r="G138" s="4">
        <v>2</v>
      </c>
      <c r="H138" s="4" t="s">
        <v>1280</v>
      </c>
      <c r="I138" s="4">
        <v>8</v>
      </c>
      <c r="J138" s="4" t="s">
        <v>2266</v>
      </c>
      <c r="K138" s="4" t="s">
        <v>2267</v>
      </c>
      <c r="L138" s="4">
        <v>1.83049268770142</v>
      </c>
      <c r="M138" s="4">
        <v>23.3427491217093</v>
      </c>
      <c r="N138" s="4">
        <v>2.8996173202915099</v>
      </c>
      <c r="O138" s="4">
        <v>10</v>
      </c>
      <c r="V138" s="4">
        <v>0.12551499999999999</v>
      </c>
      <c r="W138" s="4">
        <v>3.2553904053934199E-2</v>
      </c>
    </row>
    <row r="139" spans="1:23">
      <c r="A139" s="4" t="s">
        <v>1319</v>
      </c>
      <c r="B139" s="4" t="s">
        <v>1399</v>
      </c>
      <c r="C139" s="4">
        <v>1.4357686700000001</v>
      </c>
      <c r="D139" s="4">
        <v>1.761740109</v>
      </c>
      <c r="F139" s="4" t="s">
        <v>215</v>
      </c>
      <c r="G139" s="4">
        <v>1</v>
      </c>
      <c r="H139" s="4" t="s">
        <v>1279</v>
      </c>
      <c r="I139" s="4">
        <v>9</v>
      </c>
      <c r="J139" s="4" t="s">
        <v>2268</v>
      </c>
      <c r="K139" s="4" t="s">
        <v>2269</v>
      </c>
      <c r="L139" s="4">
        <v>3.3815225120147598</v>
      </c>
      <c r="M139" s="4">
        <v>16.654200824143899</v>
      </c>
      <c r="N139" s="4">
        <v>144.543549307116</v>
      </c>
      <c r="O139" s="4">
        <v>8.4459229614807398</v>
      </c>
      <c r="V139" s="4">
        <v>0.18154400000000001</v>
      </c>
      <c r="W139" s="4">
        <v>7.7134602653917E-2</v>
      </c>
    </row>
    <row r="140" spans="1:23">
      <c r="A140" s="4" t="s">
        <v>1319</v>
      </c>
      <c r="B140" s="4" t="s">
        <v>1399</v>
      </c>
      <c r="C140" s="4">
        <v>1.4390085859999999</v>
      </c>
      <c r="D140" s="4">
        <v>1.76132198</v>
      </c>
      <c r="F140" s="4" t="s">
        <v>215</v>
      </c>
      <c r="G140" s="4">
        <v>2</v>
      </c>
      <c r="H140" s="4" t="s">
        <v>1280</v>
      </c>
      <c r="I140" s="4">
        <v>9</v>
      </c>
      <c r="J140" s="4" t="s">
        <v>2268</v>
      </c>
      <c r="K140" s="4" t="s">
        <v>2269</v>
      </c>
      <c r="L140" s="4">
        <v>1.6009708997206</v>
      </c>
      <c r="M140" s="4">
        <v>18.8475232114737</v>
      </c>
      <c r="N140" s="4">
        <v>2.1169793068854799</v>
      </c>
      <c r="O140" s="4">
        <v>10</v>
      </c>
      <c r="V140" s="4">
        <v>0.18978300000000001</v>
      </c>
      <c r="W140" s="4">
        <v>7.7134602653917E-2</v>
      </c>
    </row>
    <row r="141" spans="1:23">
      <c r="A141" s="4" t="s">
        <v>1319</v>
      </c>
      <c r="B141" s="4" t="s">
        <v>1399</v>
      </c>
      <c r="C141" s="4">
        <v>1.5394459739999999</v>
      </c>
      <c r="D141" s="4">
        <v>1.7207761239999999</v>
      </c>
      <c r="F141" s="4" t="s">
        <v>215</v>
      </c>
      <c r="G141" s="4">
        <v>1</v>
      </c>
      <c r="H141" s="4" t="s">
        <v>1279</v>
      </c>
      <c r="I141" s="4">
        <v>10</v>
      </c>
      <c r="J141" s="4" t="s">
        <v>2270</v>
      </c>
      <c r="K141" s="4" t="s">
        <v>2271</v>
      </c>
      <c r="L141" s="4">
        <v>3.6371291403180201</v>
      </c>
      <c r="M141" s="4">
        <v>17.602872110969901</v>
      </c>
      <c r="N141" s="4">
        <v>246.346052013454</v>
      </c>
      <c r="O141" s="4">
        <v>2.4159079539769799</v>
      </c>
      <c r="V141" s="4">
        <v>6.3169000000000003E-2</v>
      </c>
      <c r="W141" s="4">
        <v>1.06187975517092E-2</v>
      </c>
    </row>
    <row r="142" spans="1:23">
      <c r="A142" s="4" t="s">
        <v>1319</v>
      </c>
      <c r="B142" s="4" t="s">
        <v>1399</v>
      </c>
      <c r="C142" s="4">
        <v>1.35153086</v>
      </c>
      <c r="D142" s="4">
        <v>1.176480285</v>
      </c>
      <c r="F142" s="4" t="s">
        <v>215</v>
      </c>
      <c r="G142" s="4">
        <v>2</v>
      </c>
      <c r="H142" s="4" t="s">
        <v>1280</v>
      </c>
      <c r="I142" s="4">
        <v>10</v>
      </c>
      <c r="J142" s="4" t="s">
        <v>2270</v>
      </c>
      <c r="K142" s="4" t="s">
        <v>2271</v>
      </c>
      <c r="L142" s="4">
        <v>2.4976004830329401</v>
      </c>
      <c r="M142" s="4">
        <v>31.337905801727199</v>
      </c>
      <c r="N142" s="4">
        <v>10.035303517585801</v>
      </c>
      <c r="O142" s="4">
        <v>10</v>
      </c>
      <c r="V142" s="4">
        <v>6.0422999999999998E-2</v>
      </c>
      <c r="W142" s="4">
        <v>1.06187975517092E-2</v>
      </c>
    </row>
    <row r="143" spans="1:23">
      <c r="A143" s="4" t="s">
        <v>1319</v>
      </c>
      <c r="B143" s="4" t="s">
        <v>1399</v>
      </c>
      <c r="C143" s="4">
        <v>1.108537178</v>
      </c>
      <c r="D143" s="4">
        <v>0.74640353500000001</v>
      </c>
      <c r="F143" s="4" t="s">
        <v>215</v>
      </c>
      <c r="G143" s="4">
        <v>1</v>
      </c>
      <c r="H143" s="4" t="s">
        <v>1279</v>
      </c>
      <c r="I143" s="4">
        <v>11</v>
      </c>
      <c r="J143" s="4" t="s">
        <v>1319</v>
      </c>
      <c r="K143" s="4" t="s">
        <v>2272</v>
      </c>
      <c r="L143" s="4">
        <v>3.3668078451856802</v>
      </c>
      <c r="M143" s="4">
        <v>25.323105368534399</v>
      </c>
      <c r="N143" s="4">
        <v>91.894788617848604</v>
      </c>
      <c r="O143" s="4">
        <v>1.49914957478739</v>
      </c>
      <c r="V143" s="4">
        <v>7.2508000000000003E-2</v>
      </c>
      <c r="W143" s="4">
        <v>1.5652984008382199E-2</v>
      </c>
    </row>
    <row r="144" spans="1:23">
      <c r="A144" s="4" t="s">
        <v>1319</v>
      </c>
      <c r="B144" s="4" t="s">
        <v>1399</v>
      </c>
      <c r="C144" s="4">
        <v>0.37307630000000003</v>
      </c>
      <c r="D144" s="4">
        <v>0.38006392</v>
      </c>
      <c r="F144" s="4" t="s">
        <v>215</v>
      </c>
      <c r="G144" s="4">
        <v>2</v>
      </c>
      <c r="H144" s="4" t="s">
        <v>1280</v>
      </c>
      <c r="I144" s="4">
        <v>11</v>
      </c>
      <c r="J144" s="4" t="s">
        <v>1319</v>
      </c>
      <c r="K144" s="4" t="s">
        <v>2272</v>
      </c>
      <c r="L144" s="4">
        <v>3.0710987366274698</v>
      </c>
      <c r="M144" s="4">
        <v>29.685681340812199</v>
      </c>
      <c r="N144" s="4">
        <v>39.678177453556401</v>
      </c>
      <c r="O144" s="4">
        <v>10</v>
      </c>
      <c r="V144" s="4">
        <v>6.6191E-2</v>
      </c>
      <c r="W144" s="4">
        <v>1.5652984008382199E-2</v>
      </c>
    </row>
    <row r="145" spans="1:23">
      <c r="A145" s="4" t="s">
        <v>1319</v>
      </c>
      <c r="B145" s="4" t="s">
        <v>1399</v>
      </c>
      <c r="C145" s="4">
        <v>0.23181597300000001</v>
      </c>
      <c r="D145" s="4">
        <v>0.348815812</v>
      </c>
      <c r="F145" s="4" t="s">
        <v>215</v>
      </c>
      <c r="G145" s="4">
        <v>1</v>
      </c>
      <c r="H145" s="4" t="s">
        <v>1279</v>
      </c>
      <c r="I145" s="4">
        <v>12</v>
      </c>
      <c r="J145" s="4" t="s">
        <v>1319</v>
      </c>
      <c r="K145" s="4" t="s">
        <v>2273</v>
      </c>
      <c r="L145" s="4">
        <v>3.33377235513804</v>
      </c>
      <c r="M145" s="4">
        <v>24.607006100760302</v>
      </c>
      <c r="N145" s="4">
        <v>87.642262053970001</v>
      </c>
      <c r="O145" s="4">
        <v>2.6022011005502699</v>
      </c>
      <c r="V145" s="4">
        <v>8.3493999999999999E-2</v>
      </c>
      <c r="W145" s="4">
        <v>2.6826835580400801E-2</v>
      </c>
    </row>
    <row r="146" spans="1:23">
      <c r="A146" s="4" t="s">
        <v>1319</v>
      </c>
      <c r="B146" s="4" t="s">
        <v>1399</v>
      </c>
      <c r="C146" s="4">
        <v>9.1203628999999994E-2</v>
      </c>
      <c r="D146" s="4">
        <v>0.32445338299999998</v>
      </c>
      <c r="F146" s="4" t="s">
        <v>215</v>
      </c>
      <c r="G146" s="4">
        <v>2</v>
      </c>
      <c r="H146" s="4" t="s">
        <v>1280</v>
      </c>
      <c r="I146" s="4">
        <v>12</v>
      </c>
      <c r="J146" s="4" t="s">
        <v>1319</v>
      </c>
      <c r="K146" s="4" t="s">
        <v>2273</v>
      </c>
      <c r="L146" s="4">
        <v>2.7514498136550301</v>
      </c>
      <c r="M146" s="4">
        <v>31.876851253822</v>
      </c>
      <c r="N146" s="4">
        <v>17.700046110687001</v>
      </c>
      <c r="O146" s="4">
        <v>10</v>
      </c>
      <c r="V146" s="4">
        <v>8.4592000000000001E-2</v>
      </c>
      <c r="W146" s="4">
        <v>2.6826835580400801E-2</v>
      </c>
    </row>
    <row r="147" spans="1:23">
      <c r="A147" s="4" t="s">
        <v>1319</v>
      </c>
      <c r="B147" s="4" t="s">
        <v>1399</v>
      </c>
      <c r="C147" s="4">
        <v>1.3580106919999999</v>
      </c>
      <c r="D147" s="4">
        <v>1.733678866</v>
      </c>
      <c r="F147" s="4" t="s">
        <v>215</v>
      </c>
      <c r="G147" s="4">
        <v>1</v>
      </c>
      <c r="H147" s="4" t="s">
        <v>1279</v>
      </c>
      <c r="I147" s="4">
        <v>13</v>
      </c>
      <c r="J147" s="4" t="s">
        <v>1319</v>
      </c>
      <c r="K147" s="4" t="s">
        <v>2274</v>
      </c>
      <c r="L147" s="4">
        <v>3.1751079654380399</v>
      </c>
      <c r="M147" s="4">
        <v>26.340060159453898</v>
      </c>
      <c r="N147" s="4">
        <v>56.818688221332501</v>
      </c>
      <c r="O147" s="4">
        <v>3.0091045522761299</v>
      </c>
      <c r="V147" s="4">
        <v>3.2409E-2</v>
      </c>
      <c r="W147" s="4">
        <v>1.01682895797585E-2</v>
      </c>
    </row>
    <row r="148" spans="1:23">
      <c r="A148" s="4" t="s">
        <v>1319</v>
      </c>
      <c r="B148" s="4" t="s">
        <v>1399</v>
      </c>
      <c r="C148" s="4">
        <v>1.5167665640000001</v>
      </c>
      <c r="D148" s="4">
        <v>1.730958701</v>
      </c>
      <c r="F148" s="4" t="s">
        <v>215</v>
      </c>
      <c r="G148" s="4">
        <v>2</v>
      </c>
      <c r="H148" s="4" t="s">
        <v>1280</v>
      </c>
      <c r="I148" s="4">
        <v>13</v>
      </c>
      <c r="J148" s="4" t="s">
        <v>1319</v>
      </c>
      <c r="K148" s="4" t="s">
        <v>2274</v>
      </c>
      <c r="L148" s="4">
        <v>2.72646884469478</v>
      </c>
      <c r="M148" s="4">
        <v>31.751115573436099</v>
      </c>
      <c r="N148" s="4">
        <v>16.7768281477945</v>
      </c>
      <c r="O148" s="4">
        <v>10</v>
      </c>
      <c r="V148" s="4">
        <v>3.4331E-2</v>
      </c>
      <c r="W148" s="4">
        <v>1.01682895797585E-2</v>
      </c>
    </row>
    <row r="149" spans="1:23">
      <c r="A149" s="4" t="s">
        <v>1319</v>
      </c>
      <c r="B149" s="4" t="s">
        <v>1399</v>
      </c>
      <c r="C149" s="4">
        <v>1.445488417</v>
      </c>
      <c r="D149" s="4">
        <v>1.502418375</v>
      </c>
      <c r="F149" s="4" t="s">
        <v>215</v>
      </c>
      <c r="G149" s="4">
        <v>1</v>
      </c>
      <c r="H149" s="4" t="s">
        <v>1279</v>
      </c>
      <c r="I149" s="4">
        <v>14</v>
      </c>
      <c r="J149" s="4" t="s">
        <v>1281</v>
      </c>
      <c r="K149" s="4" t="s">
        <v>2275</v>
      </c>
      <c r="L149" s="4">
        <v>3.6430220948335399</v>
      </c>
      <c r="M149" s="4">
        <v>17.979835796947299</v>
      </c>
      <c r="N149" s="4">
        <v>244.47608017865301</v>
      </c>
      <c r="O149" s="4">
        <v>2.20020010005002</v>
      </c>
      <c r="V149" s="4">
        <v>4.0374E-2</v>
      </c>
      <c r="W149" s="4">
        <v>1.1537398298562601E-2</v>
      </c>
    </row>
    <row r="150" spans="1:23">
      <c r="A150" s="4" t="s">
        <v>1319</v>
      </c>
      <c r="B150" s="4" t="s">
        <v>1399</v>
      </c>
      <c r="C150" s="4">
        <v>0.83962417</v>
      </c>
      <c r="D150" s="4">
        <v>0.54018238399999996</v>
      </c>
      <c r="F150" s="4" t="s">
        <v>215</v>
      </c>
      <c r="G150" s="4">
        <v>2</v>
      </c>
      <c r="H150" s="4" t="s">
        <v>1280</v>
      </c>
      <c r="I150" s="4">
        <v>14</v>
      </c>
      <c r="J150" s="4" t="s">
        <v>1281</v>
      </c>
      <c r="K150" s="4" t="s">
        <v>2275</v>
      </c>
      <c r="L150" s="4">
        <v>2.58028401549493</v>
      </c>
      <c r="M150" s="4">
        <v>31.6970469511921</v>
      </c>
      <c r="N150" s="4">
        <v>12.0023202989116</v>
      </c>
      <c r="O150" s="4">
        <v>10</v>
      </c>
      <c r="V150" s="4">
        <v>4.5043E-2</v>
      </c>
      <c r="W150" s="4">
        <v>1.1537398298562601E-2</v>
      </c>
    </row>
    <row r="151" spans="1:23">
      <c r="A151" s="4" t="s">
        <v>1319</v>
      </c>
      <c r="B151" s="4" t="s">
        <v>1399</v>
      </c>
      <c r="C151" s="4">
        <v>0.55451158300000003</v>
      </c>
      <c r="D151" s="4">
        <v>0.35230022900000002</v>
      </c>
      <c r="F151" s="4" t="s">
        <v>215</v>
      </c>
      <c r="G151" s="4">
        <v>1</v>
      </c>
      <c r="H151" s="4" t="s">
        <v>1279</v>
      </c>
      <c r="I151" s="4">
        <v>15</v>
      </c>
      <c r="J151" s="4" t="s">
        <v>2276</v>
      </c>
      <c r="K151" s="4" t="s">
        <v>2277</v>
      </c>
      <c r="L151" s="4">
        <v>3.5292433449094198</v>
      </c>
      <c r="M151" s="4">
        <v>15.4124424691262</v>
      </c>
      <c r="N151" s="4">
        <v>219.46833881147899</v>
      </c>
      <c r="O151" s="4">
        <v>5.15147573786893</v>
      </c>
      <c r="V151" s="4">
        <v>3.8725999999999997E-2</v>
      </c>
      <c r="W151" s="4">
        <v>1.4576264208980901E-2</v>
      </c>
    </row>
    <row r="152" spans="1:23">
      <c r="A152" s="4" t="s">
        <v>1319</v>
      </c>
      <c r="B152" s="4" t="s">
        <v>1399</v>
      </c>
      <c r="C152" s="4">
        <v>0.117446946</v>
      </c>
      <c r="D152" s="4">
        <v>0.25837080000000001</v>
      </c>
      <c r="F152" s="4" t="s">
        <v>215</v>
      </c>
      <c r="G152" s="4">
        <v>2</v>
      </c>
      <c r="H152" s="4" t="s">
        <v>1280</v>
      </c>
      <c r="I152" s="4">
        <v>15</v>
      </c>
      <c r="J152" s="4" t="s">
        <v>2276</v>
      </c>
      <c r="K152" s="4" t="s">
        <v>2277</v>
      </c>
      <c r="L152" s="4">
        <v>1.8664171255550599</v>
      </c>
      <c r="M152" s="4">
        <v>23.991277223825801</v>
      </c>
      <c r="N152" s="4">
        <v>3.0645291477967902</v>
      </c>
      <c r="O152" s="4">
        <v>10</v>
      </c>
      <c r="V152" s="4">
        <v>4.4219000000000001E-2</v>
      </c>
      <c r="W152" s="4">
        <v>1.4576264208980901E-2</v>
      </c>
    </row>
    <row r="153" spans="1:23">
      <c r="A153" s="4" t="s">
        <v>1319</v>
      </c>
      <c r="B153" s="4" t="s">
        <v>1399</v>
      </c>
      <c r="C153" s="4">
        <v>6.4636318999999998E-2</v>
      </c>
      <c r="D153" s="4">
        <v>0.25074776399999998</v>
      </c>
      <c r="F153" s="4" t="s">
        <v>2281</v>
      </c>
      <c r="G153" s="4">
        <v>1</v>
      </c>
      <c r="H153" s="4" t="s">
        <v>1279</v>
      </c>
      <c r="I153" s="4">
        <v>1</v>
      </c>
      <c r="J153" s="4" t="s">
        <v>196</v>
      </c>
      <c r="K153" s="4" t="s">
        <v>2255</v>
      </c>
      <c r="L153" s="4">
        <v>3.1925195617322899</v>
      </c>
      <c r="M153" s="4">
        <v>16.481951965783601</v>
      </c>
      <c r="N153" s="4">
        <v>94.517215257329894</v>
      </c>
      <c r="O153" s="4">
        <v>6.98499249624812</v>
      </c>
      <c r="V153" s="4">
        <v>2.9936999999999998E-2</v>
      </c>
      <c r="W153" s="4">
        <v>1.0142007392313201E-2</v>
      </c>
    </row>
    <row r="154" spans="1:23">
      <c r="A154" s="4" t="s">
        <v>1319</v>
      </c>
      <c r="B154" s="4" t="s">
        <v>1399</v>
      </c>
      <c r="C154" s="4">
        <v>3.0293212E-2</v>
      </c>
      <c r="D154" s="4">
        <v>0.244589324</v>
      </c>
      <c r="F154" s="4" t="s">
        <v>2281</v>
      </c>
      <c r="G154" s="4">
        <v>2</v>
      </c>
      <c r="H154" s="4" t="s">
        <v>1280</v>
      </c>
      <c r="I154" s="4">
        <v>1</v>
      </c>
      <c r="J154" s="4" t="s">
        <v>196</v>
      </c>
      <c r="K154" s="4" t="s">
        <v>2255</v>
      </c>
      <c r="L154" s="4">
        <v>1.70991957502081</v>
      </c>
      <c r="M154" s="4">
        <v>20.998741712459001</v>
      </c>
      <c r="N154" s="4">
        <v>2.4418911637044798</v>
      </c>
      <c r="O154" s="4">
        <v>10</v>
      </c>
      <c r="V154" s="4">
        <v>2.1423000000000001E-2</v>
      </c>
      <c r="W154" s="4">
        <v>1.0142007392313201E-2</v>
      </c>
    </row>
    <row r="155" spans="1:23">
      <c r="A155" s="4" t="s">
        <v>1319</v>
      </c>
      <c r="B155" s="4" t="s">
        <v>1399</v>
      </c>
      <c r="C155" s="4">
        <v>1.3904098490000001</v>
      </c>
      <c r="D155" s="4">
        <v>1.733678866</v>
      </c>
      <c r="F155" s="4" t="s">
        <v>2281</v>
      </c>
      <c r="G155" s="4">
        <v>1</v>
      </c>
      <c r="H155" s="4" t="s">
        <v>1279</v>
      </c>
      <c r="I155" s="4">
        <v>2</v>
      </c>
      <c r="J155" s="4" t="s">
        <v>196</v>
      </c>
      <c r="K155" s="4" t="s">
        <v>2256</v>
      </c>
      <c r="L155" s="4">
        <v>3.3334986166031699</v>
      </c>
      <c r="M155" s="4">
        <v>16.244967649304701</v>
      </c>
      <c r="N155" s="4">
        <v>132.672149600914</v>
      </c>
      <c r="O155" s="4">
        <v>4.0484242121060499</v>
      </c>
      <c r="V155" s="4">
        <v>3.9274999999999997E-2</v>
      </c>
      <c r="W155" s="4">
        <v>1.1297299117621701E-2</v>
      </c>
    </row>
    <row r="156" spans="1:23">
      <c r="A156" s="4" t="s">
        <v>1319</v>
      </c>
      <c r="B156" s="4" t="s">
        <v>1399</v>
      </c>
      <c r="C156" s="4">
        <v>1.5167665640000001</v>
      </c>
      <c r="D156" s="4">
        <v>1.730958701</v>
      </c>
      <c r="F156" s="4" t="s">
        <v>2281</v>
      </c>
      <c r="G156" s="4">
        <v>2</v>
      </c>
      <c r="H156" s="4" t="s">
        <v>1280</v>
      </c>
      <c r="I156" s="4">
        <v>2</v>
      </c>
      <c r="J156" s="4" t="s">
        <v>196</v>
      </c>
      <c r="K156" s="4" t="s">
        <v>2256</v>
      </c>
      <c r="L156" s="4">
        <v>2.05488350405881</v>
      </c>
      <c r="M156" s="4">
        <v>26.869590208780501</v>
      </c>
      <c r="N156" s="4">
        <v>4.2230134152466796</v>
      </c>
      <c r="O156" s="4">
        <v>10</v>
      </c>
      <c r="V156" s="4">
        <v>4.8888000000000001E-2</v>
      </c>
      <c r="W156" s="4">
        <v>1.1297299117621701E-2</v>
      </c>
    </row>
    <row r="157" spans="1:23">
      <c r="A157" s="4" t="s">
        <v>1319</v>
      </c>
      <c r="B157" s="4" t="s">
        <v>1399</v>
      </c>
      <c r="C157" s="4">
        <v>1.477887575</v>
      </c>
      <c r="D157" s="4">
        <v>1.502418375</v>
      </c>
      <c r="F157" s="4" t="s">
        <v>2281</v>
      </c>
      <c r="G157" s="4">
        <v>1</v>
      </c>
      <c r="H157" s="4" t="s">
        <v>1279</v>
      </c>
      <c r="I157" s="4">
        <v>3</v>
      </c>
      <c r="J157" s="4" t="s">
        <v>2257</v>
      </c>
      <c r="K157" s="4" t="s">
        <v>724</v>
      </c>
      <c r="L157" s="4">
        <v>3.44944385085669</v>
      </c>
      <c r="M157" s="4">
        <v>20.774713162742099</v>
      </c>
      <c r="N157" s="4">
        <v>135.49049039957299</v>
      </c>
      <c r="O157" s="4">
        <v>0.86183091545772805</v>
      </c>
      <c r="V157" s="4">
        <v>4.2021000000000003E-2</v>
      </c>
      <c r="W157" s="4">
        <v>1.3861578047709299E-2</v>
      </c>
    </row>
    <row r="158" spans="1:23">
      <c r="A158" s="4" t="s">
        <v>1319</v>
      </c>
      <c r="B158" s="4" t="s">
        <v>1399</v>
      </c>
      <c r="C158" s="4">
        <v>0.84610400100000005</v>
      </c>
      <c r="D158" s="4">
        <v>0.54018238399999996</v>
      </c>
      <c r="F158" s="4" t="s">
        <v>2281</v>
      </c>
      <c r="G158" s="4">
        <v>2</v>
      </c>
      <c r="H158" s="4" t="s">
        <v>1280</v>
      </c>
      <c r="I158" s="4">
        <v>3</v>
      </c>
      <c r="J158" s="4" t="s">
        <v>2257</v>
      </c>
      <c r="K158" s="4" t="s">
        <v>724</v>
      </c>
      <c r="L158" s="4">
        <v>3.1059488667009401</v>
      </c>
      <c r="M158" s="4">
        <v>24.284305129090001</v>
      </c>
      <c r="N158" s="4">
        <v>52.556106692602</v>
      </c>
      <c r="O158" s="4">
        <v>10</v>
      </c>
      <c r="V158" s="4">
        <v>4.5866999999999998E-2</v>
      </c>
      <c r="W158" s="4">
        <v>1.3861578047709299E-2</v>
      </c>
    </row>
    <row r="159" spans="1:23">
      <c r="A159" s="4" t="s">
        <v>1319</v>
      </c>
      <c r="B159" s="4" t="s">
        <v>1399</v>
      </c>
      <c r="C159" s="4">
        <v>0.51887250900000004</v>
      </c>
      <c r="D159" s="4">
        <v>0.35230022900000002</v>
      </c>
      <c r="F159" s="4" t="s">
        <v>2281</v>
      </c>
      <c r="G159" s="4">
        <v>1</v>
      </c>
      <c r="H159" s="4" t="s">
        <v>1279</v>
      </c>
      <c r="I159" s="4">
        <v>4</v>
      </c>
      <c r="J159" s="4" t="s">
        <v>2258</v>
      </c>
      <c r="K159" s="4" t="s">
        <v>2259</v>
      </c>
      <c r="L159" s="4">
        <v>2.3715193924217801</v>
      </c>
      <c r="M159" s="4">
        <v>5.8676242696867904</v>
      </c>
      <c r="N159" s="4">
        <v>40.091942256766899</v>
      </c>
      <c r="O159" s="4">
        <v>10</v>
      </c>
      <c r="V159" s="4">
        <v>2.9113E-2</v>
      </c>
      <c r="W159" s="4">
        <v>1.0330380695549E-2</v>
      </c>
    </row>
    <row r="160" spans="1:23">
      <c r="A160" s="4" t="s">
        <v>1319</v>
      </c>
      <c r="B160" s="4" t="s">
        <v>1399</v>
      </c>
      <c r="C160" s="4">
        <v>0.12263081200000001</v>
      </c>
      <c r="D160" s="4">
        <v>0.25837080000000001</v>
      </c>
      <c r="F160" s="4" t="s">
        <v>2281</v>
      </c>
      <c r="G160" s="4">
        <v>2</v>
      </c>
      <c r="H160" s="4" t="s">
        <v>1280</v>
      </c>
      <c r="I160" s="4">
        <v>4</v>
      </c>
      <c r="J160" s="4" t="s">
        <v>2258</v>
      </c>
      <c r="K160" s="4" t="s">
        <v>2259</v>
      </c>
      <c r="L160" s="4">
        <v>0.84617821795107595</v>
      </c>
      <c r="M160" s="4">
        <v>5.8676242696867904</v>
      </c>
      <c r="N160" s="4">
        <v>1.1959579820273001</v>
      </c>
      <c r="O160" s="4">
        <v>10</v>
      </c>
      <c r="V160" s="4">
        <v>3.3232999999999999E-2</v>
      </c>
      <c r="W160" s="4">
        <v>1.0330380695549E-2</v>
      </c>
    </row>
    <row r="161" spans="1:23">
      <c r="A161" s="4" t="s">
        <v>1319</v>
      </c>
      <c r="B161" s="4" t="s">
        <v>1399</v>
      </c>
      <c r="C161" s="4">
        <v>7.2736108999999993E-2</v>
      </c>
      <c r="D161" s="4">
        <v>0.25074776399999998</v>
      </c>
      <c r="F161" s="4" t="s">
        <v>2281</v>
      </c>
      <c r="G161" s="4">
        <v>1</v>
      </c>
      <c r="H161" s="4" t="s">
        <v>1279</v>
      </c>
      <c r="I161" s="4">
        <v>5</v>
      </c>
      <c r="J161" s="4" t="s">
        <v>2260</v>
      </c>
      <c r="K161" s="4" t="s">
        <v>2261</v>
      </c>
      <c r="L161" s="4">
        <v>3.0644000196047201</v>
      </c>
      <c r="M161" s="4">
        <v>14.272954346827801</v>
      </c>
      <c r="N161" s="4">
        <v>81.261744791129402</v>
      </c>
      <c r="O161" s="4">
        <v>10</v>
      </c>
      <c r="V161" s="4">
        <v>2.4444E-2</v>
      </c>
      <c r="W161" s="4">
        <v>1.0025347372143899E-2</v>
      </c>
    </row>
    <row r="162" spans="1:23">
      <c r="A162" s="4" t="s">
        <v>1319</v>
      </c>
      <c r="B162" s="4" t="s">
        <v>1399</v>
      </c>
      <c r="C162" s="4">
        <v>2.9321237999999999E-2</v>
      </c>
      <c r="D162" s="4">
        <v>0.244589324</v>
      </c>
      <c r="F162" s="4" t="s">
        <v>2281</v>
      </c>
      <c r="G162" s="4">
        <v>2</v>
      </c>
      <c r="H162" s="4" t="s">
        <v>1280</v>
      </c>
      <c r="I162" s="4">
        <v>5</v>
      </c>
      <c r="J162" s="4" t="s">
        <v>2260</v>
      </c>
      <c r="K162" s="4" t="s">
        <v>2261</v>
      </c>
      <c r="L162" s="4">
        <v>1.3760807523214</v>
      </c>
      <c r="M162" s="4">
        <v>14.272954346827801</v>
      </c>
      <c r="N162" s="4">
        <v>1.66558528631949</v>
      </c>
      <c r="O162" s="4">
        <v>10</v>
      </c>
      <c r="V162" s="4">
        <v>2.6092000000000001E-2</v>
      </c>
      <c r="W162" s="4">
        <v>1.0025347372143899E-2</v>
      </c>
    </row>
    <row r="163" spans="1:23">
      <c r="A163" s="4" t="s">
        <v>1319</v>
      </c>
      <c r="B163" s="4" t="s">
        <v>1399</v>
      </c>
      <c r="C163" s="4">
        <v>1.4228090069999999</v>
      </c>
      <c r="D163" s="4">
        <v>1.6092306970000001</v>
      </c>
      <c r="F163" s="4" t="s">
        <v>2281</v>
      </c>
      <c r="G163" s="4">
        <v>1</v>
      </c>
      <c r="H163" s="4" t="s">
        <v>1279</v>
      </c>
      <c r="I163" s="4">
        <v>6</v>
      </c>
      <c r="J163" s="4" t="s">
        <v>2262</v>
      </c>
      <c r="K163" s="4" t="s">
        <v>2263</v>
      </c>
      <c r="L163" s="4">
        <v>3.4474269571265199</v>
      </c>
      <c r="M163" s="4">
        <v>16.954575368595499</v>
      </c>
      <c r="N163" s="4">
        <v>165.24945654025299</v>
      </c>
      <c r="O163" s="4">
        <v>2.1021510755377601</v>
      </c>
      <c r="V163" s="4">
        <v>1.4555999999999999E-2</v>
      </c>
      <c r="W163" s="4">
        <v>1.0014776743917901E-2</v>
      </c>
    </row>
    <row r="164" spans="1:23">
      <c r="A164" s="4" t="s">
        <v>1319</v>
      </c>
      <c r="B164" s="4" t="s">
        <v>1399</v>
      </c>
      <c r="C164" s="4">
        <v>1.510286733</v>
      </c>
      <c r="D164" s="4">
        <v>1.597412241</v>
      </c>
      <c r="F164" s="4" t="s">
        <v>2281</v>
      </c>
      <c r="G164" s="4">
        <v>2</v>
      </c>
      <c r="H164" s="4" t="s">
        <v>1280</v>
      </c>
      <c r="I164" s="4">
        <v>6</v>
      </c>
      <c r="J164" s="4" t="s">
        <v>2262</v>
      </c>
      <c r="K164" s="4" t="s">
        <v>2263</v>
      </c>
      <c r="L164" s="4">
        <v>2.5276772236612</v>
      </c>
      <c r="M164" s="4">
        <v>30.768243801104202</v>
      </c>
      <c r="N164" s="4">
        <v>10.954044868480601</v>
      </c>
      <c r="O164" s="4">
        <v>10</v>
      </c>
      <c r="V164" s="4">
        <v>1.2085E-2</v>
      </c>
      <c r="W164" s="4">
        <v>1.0014776743917901E-2</v>
      </c>
    </row>
    <row r="165" spans="1:23">
      <c r="A165" s="4" t="s">
        <v>1319</v>
      </c>
      <c r="B165" s="4" t="s">
        <v>1399</v>
      </c>
      <c r="C165" s="4">
        <v>1.2770127979999999</v>
      </c>
      <c r="D165" s="4">
        <v>0.96761182700000004</v>
      </c>
      <c r="F165" s="4" t="s">
        <v>2281</v>
      </c>
      <c r="G165" s="4">
        <v>1</v>
      </c>
      <c r="H165" s="4" t="s">
        <v>1279</v>
      </c>
      <c r="I165" s="4">
        <v>7</v>
      </c>
      <c r="J165" s="4" t="s">
        <v>2264</v>
      </c>
      <c r="K165" s="4" t="s">
        <v>2265</v>
      </c>
      <c r="L165" s="4">
        <v>3.3344867497973198</v>
      </c>
      <c r="M165" s="4">
        <v>15.605298706507201</v>
      </c>
      <c r="N165" s="4">
        <v>138.42504192936201</v>
      </c>
      <c r="O165" s="4">
        <v>4.2249124562281102</v>
      </c>
      <c r="V165" s="4">
        <v>6.7289000000000002E-2</v>
      </c>
      <c r="W165" s="4">
        <v>7.7236399694090296E-2</v>
      </c>
    </row>
    <row r="166" spans="1:23">
      <c r="A166" s="4" t="s">
        <v>1319</v>
      </c>
      <c r="B166" s="4" t="s">
        <v>1399</v>
      </c>
      <c r="C166" s="4">
        <v>0.40871537299999999</v>
      </c>
      <c r="D166" s="4">
        <v>0.29328222100000001</v>
      </c>
      <c r="F166" s="4" t="s">
        <v>2281</v>
      </c>
      <c r="G166" s="4">
        <v>2</v>
      </c>
      <c r="H166" s="4" t="s">
        <v>1280</v>
      </c>
      <c r="I166" s="4">
        <v>7</v>
      </c>
      <c r="J166" s="4" t="s">
        <v>2264</v>
      </c>
      <c r="K166" s="4" t="s">
        <v>2265</v>
      </c>
      <c r="L166" s="4">
        <v>1.99586318421515</v>
      </c>
      <c r="M166" s="4">
        <v>26.0196289768034</v>
      </c>
      <c r="N166" s="4">
        <v>3.8068177419565301</v>
      </c>
      <c r="O166" s="4">
        <v>10</v>
      </c>
      <c r="V166" s="4">
        <v>7.7726000000000003E-2</v>
      </c>
      <c r="W166" s="4">
        <v>7.7236399694090296E-2</v>
      </c>
    </row>
    <row r="167" spans="1:23">
      <c r="A167" s="4" t="s">
        <v>1319</v>
      </c>
      <c r="B167" s="4" t="s">
        <v>1399</v>
      </c>
      <c r="C167" s="4">
        <v>0.206868621</v>
      </c>
      <c r="D167" s="4">
        <v>0.24360685100000001</v>
      </c>
      <c r="F167" s="4" t="s">
        <v>2281</v>
      </c>
      <c r="G167" s="4">
        <v>1</v>
      </c>
      <c r="H167" s="4" t="s">
        <v>1279</v>
      </c>
      <c r="I167" s="4">
        <v>8</v>
      </c>
      <c r="J167" s="4" t="s">
        <v>2266</v>
      </c>
      <c r="K167" s="4" t="s">
        <v>2267</v>
      </c>
      <c r="L167" s="4">
        <v>3.2821451602779201</v>
      </c>
      <c r="M167" s="4">
        <v>15.661247189909799</v>
      </c>
      <c r="N167" s="4">
        <v>122.269691365756</v>
      </c>
      <c r="O167" s="4">
        <v>5.2446223111555703</v>
      </c>
      <c r="V167" s="4">
        <v>3.7078E-2</v>
      </c>
      <c r="W167" s="4">
        <v>1.5158491605669899E-2</v>
      </c>
    </row>
    <row r="168" spans="1:23">
      <c r="A168" s="4" t="s">
        <v>1319</v>
      </c>
      <c r="B168" s="4" t="s">
        <v>1399</v>
      </c>
      <c r="C168" s="4">
        <v>3.9040985E-2</v>
      </c>
      <c r="D168" s="4">
        <v>0.21943027900000001</v>
      </c>
      <c r="F168" s="4" t="s">
        <v>2281</v>
      </c>
      <c r="G168" s="4">
        <v>2</v>
      </c>
      <c r="H168" s="4" t="s">
        <v>1280</v>
      </c>
      <c r="I168" s="4">
        <v>8</v>
      </c>
      <c r="J168" s="4" t="s">
        <v>2266</v>
      </c>
      <c r="K168" s="4" t="s">
        <v>2267</v>
      </c>
      <c r="L168" s="4">
        <v>1.8553089897044699</v>
      </c>
      <c r="M168" s="4">
        <v>23.716175957455299</v>
      </c>
      <c r="N168" s="4">
        <v>3.02179032147354</v>
      </c>
      <c r="O168" s="4">
        <v>10</v>
      </c>
      <c r="V168" s="4">
        <v>4.6965E-2</v>
      </c>
      <c r="W168" s="4">
        <v>1.5158491605669899E-2</v>
      </c>
    </row>
    <row r="169" spans="1:23">
      <c r="A169" s="4" t="s">
        <v>1319</v>
      </c>
      <c r="B169" s="4" t="s">
        <v>1399</v>
      </c>
      <c r="C169" s="4">
        <v>2.8349263E-2</v>
      </c>
      <c r="D169" s="4">
        <v>0.21727063399999999</v>
      </c>
      <c r="F169" s="4" t="s">
        <v>2281</v>
      </c>
      <c r="G169" s="4">
        <v>1</v>
      </c>
      <c r="H169" s="4" t="s">
        <v>1279</v>
      </c>
      <c r="I169" s="4">
        <v>9</v>
      </c>
      <c r="J169" s="4" t="s">
        <v>2268</v>
      </c>
      <c r="K169" s="4" t="s">
        <v>2269</v>
      </c>
      <c r="L169" s="4">
        <v>3.1981267161462998</v>
      </c>
      <c r="M169" s="4">
        <v>15.4143347475413</v>
      </c>
      <c r="N169" s="4">
        <v>102.37688941979999</v>
      </c>
      <c r="O169" s="4">
        <v>7.3232616308154004</v>
      </c>
      <c r="V169" s="4">
        <v>2.0872999999999999E-2</v>
      </c>
      <c r="W169" s="4">
        <v>1.3007243079363601E-2</v>
      </c>
    </row>
    <row r="170" spans="1:23">
      <c r="A170" s="4" t="s">
        <v>1319</v>
      </c>
      <c r="B170" s="4" t="s">
        <v>1399</v>
      </c>
      <c r="C170" s="4">
        <v>1.7009558000000001E-2</v>
      </c>
      <c r="D170" s="4">
        <v>0.215469678</v>
      </c>
      <c r="F170" s="4" t="s">
        <v>2281</v>
      </c>
      <c r="G170" s="4">
        <v>2</v>
      </c>
      <c r="H170" s="4" t="s">
        <v>1280</v>
      </c>
      <c r="I170" s="4">
        <v>9</v>
      </c>
      <c r="J170" s="4" t="s">
        <v>2268</v>
      </c>
      <c r="K170" s="4" t="s">
        <v>2269</v>
      </c>
      <c r="L170" s="4">
        <v>1.6276469135520699</v>
      </c>
      <c r="M170" s="4">
        <v>19.3611313136016</v>
      </c>
      <c r="N170" s="4">
        <v>2.1913723776923</v>
      </c>
      <c r="O170" s="4">
        <v>10</v>
      </c>
      <c r="V170" s="4">
        <v>2.3345000000000001E-2</v>
      </c>
      <c r="W170" s="4">
        <v>1.3007243079363601E-2</v>
      </c>
    </row>
    <row r="171" spans="1:23">
      <c r="A171" s="4" t="s">
        <v>1319</v>
      </c>
      <c r="B171" s="4" t="s">
        <v>1399</v>
      </c>
      <c r="C171" s="4">
        <v>1.4228090069999999</v>
      </c>
      <c r="D171" s="4">
        <v>1.6092306970000001</v>
      </c>
      <c r="F171" s="4" t="s">
        <v>2281</v>
      </c>
      <c r="G171" s="4">
        <v>1</v>
      </c>
      <c r="H171" s="4" t="s">
        <v>1279</v>
      </c>
      <c r="I171" s="4">
        <v>10</v>
      </c>
      <c r="J171" s="4" t="s">
        <v>2270</v>
      </c>
      <c r="K171" s="4" t="s">
        <v>2271</v>
      </c>
      <c r="L171" s="4">
        <v>3.4480080564713198</v>
      </c>
      <c r="M171" s="4">
        <v>16.762356498977699</v>
      </c>
      <c r="N171" s="4">
        <v>167.368214689475</v>
      </c>
      <c r="O171" s="4">
        <v>2.1462731365682801</v>
      </c>
      <c r="V171" s="4">
        <v>0.34358699999999998</v>
      </c>
      <c r="W171" s="4">
        <v>0.79973145459777895</v>
      </c>
    </row>
    <row r="172" spans="1:23">
      <c r="A172" s="4" t="s">
        <v>1319</v>
      </c>
      <c r="B172" s="4" t="s">
        <v>1399</v>
      </c>
      <c r="C172" s="4">
        <v>1.477887575</v>
      </c>
      <c r="D172" s="4">
        <v>1.597412241</v>
      </c>
      <c r="F172" s="4" t="s">
        <v>2281</v>
      </c>
      <c r="G172" s="4">
        <v>2</v>
      </c>
      <c r="H172" s="4" t="s">
        <v>1280</v>
      </c>
      <c r="I172" s="4">
        <v>10</v>
      </c>
      <c r="J172" s="4" t="s">
        <v>2270</v>
      </c>
      <c r="K172" s="4" t="s">
        <v>2271</v>
      </c>
      <c r="L172" s="4">
        <v>2.5056144576749202</v>
      </c>
      <c r="M172" s="4">
        <v>30.708670378159599</v>
      </c>
      <c r="N172" s="4">
        <v>10.4316605105598</v>
      </c>
      <c r="O172" s="4">
        <v>10</v>
      </c>
      <c r="V172" s="4">
        <v>0.32161499999999998</v>
      </c>
      <c r="W172" s="4">
        <v>0.79973145459777895</v>
      </c>
    </row>
    <row r="173" spans="1:23">
      <c r="A173" s="4" t="s">
        <v>1319</v>
      </c>
      <c r="B173" s="4" t="s">
        <v>1399</v>
      </c>
      <c r="C173" s="4">
        <v>1.2899724610000001</v>
      </c>
      <c r="D173" s="4">
        <v>0.96761182700000004</v>
      </c>
      <c r="F173" s="4" t="s">
        <v>2281</v>
      </c>
      <c r="G173" s="4">
        <v>1</v>
      </c>
      <c r="H173" s="4" t="s">
        <v>1279</v>
      </c>
      <c r="I173" s="4">
        <v>11</v>
      </c>
      <c r="J173" s="4" t="s">
        <v>1319</v>
      </c>
      <c r="K173" s="4" t="s">
        <v>2272</v>
      </c>
      <c r="L173" s="4">
        <v>3.2523826338706399</v>
      </c>
      <c r="M173" s="4">
        <v>23.9506024372007</v>
      </c>
      <c r="N173" s="4">
        <v>74.656253541880005</v>
      </c>
      <c r="O173" s="4">
        <v>1.26873436718359</v>
      </c>
      <c r="V173" s="4">
        <v>0.10766299999999999</v>
      </c>
      <c r="W173" s="4">
        <v>7.0589548188348394E-2</v>
      </c>
    </row>
    <row r="174" spans="1:23">
      <c r="A174" s="4" t="s">
        <v>1319</v>
      </c>
      <c r="B174" s="4" t="s">
        <v>1399</v>
      </c>
      <c r="C174" s="4">
        <v>0.421675036</v>
      </c>
      <c r="D174" s="4">
        <v>0.29328222100000001</v>
      </c>
      <c r="F174" s="4" t="s">
        <v>2281</v>
      </c>
      <c r="G174" s="4">
        <v>2</v>
      </c>
      <c r="H174" s="4" t="s">
        <v>1280</v>
      </c>
      <c r="I174" s="4">
        <v>11</v>
      </c>
      <c r="J174" s="4" t="s">
        <v>1319</v>
      </c>
      <c r="K174" s="4" t="s">
        <v>2272</v>
      </c>
      <c r="L174" s="4">
        <v>2.9901558380230302</v>
      </c>
      <c r="M174" s="4">
        <v>26.272330985410299</v>
      </c>
      <c r="N174" s="4">
        <v>37.209791044201197</v>
      </c>
      <c r="O174" s="4">
        <v>10</v>
      </c>
      <c r="V174" s="4">
        <v>0.103543</v>
      </c>
      <c r="W174" s="4">
        <v>7.0589548188348394E-2</v>
      </c>
    </row>
    <row r="175" spans="1:23">
      <c r="A175" s="4" t="s">
        <v>1319</v>
      </c>
      <c r="B175" s="4" t="s">
        <v>1399</v>
      </c>
      <c r="C175" s="4">
        <v>0.206868621</v>
      </c>
      <c r="D175" s="4">
        <v>0.24360685100000001</v>
      </c>
      <c r="F175" s="4" t="s">
        <v>2281</v>
      </c>
      <c r="G175" s="4">
        <v>1</v>
      </c>
      <c r="H175" s="4" t="s">
        <v>1279</v>
      </c>
      <c r="I175" s="4">
        <v>12</v>
      </c>
      <c r="J175" s="4" t="s">
        <v>1319</v>
      </c>
      <c r="K175" s="4" t="s">
        <v>2273</v>
      </c>
      <c r="L175" s="4">
        <v>3.2153480394391099</v>
      </c>
      <c r="M175" s="4">
        <v>23.150104096177898</v>
      </c>
      <c r="N175" s="4">
        <v>70.924305405650699</v>
      </c>
      <c r="O175" s="4">
        <v>2.1952976488244098</v>
      </c>
      <c r="V175" s="4">
        <v>6.4268000000000006E-2</v>
      </c>
      <c r="W175" s="4">
        <v>4.5321856348648E-2</v>
      </c>
    </row>
    <row r="176" spans="1:23">
      <c r="A176" s="4" t="s">
        <v>1319</v>
      </c>
      <c r="B176" s="4" t="s">
        <v>1399</v>
      </c>
      <c r="C176" s="4">
        <v>4.001296E-2</v>
      </c>
      <c r="D176" s="4">
        <v>0.21943027900000001</v>
      </c>
      <c r="F176" s="4" t="s">
        <v>2281</v>
      </c>
      <c r="G176" s="4">
        <v>2</v>
      </c>
      <c r="H176" s="4" t="s">
        <v>1280</v>
      </c>
      <c r="I176" s="4">
        <v>12</v>
      </c>
      <c r="J176" s="4" t="s">
        <v>1319</v>
      </c>
      <c r="K176" s="4" t="s">
        <v>2273</v>
      </c>
      <c r="L176" s="4">
        <v>2.7370449376133199</v>
      </c>
      <c r="M176" s="4">
        <v>30.412981665550301</v>
      </c>
      <c r="N176" s="4">
        <v>17.946755140387001</v>
      </c>
      <c r="O176" s="4">
        <v>10</v>
      </c>
      <c r="V176" s="4">
        <v>6.1522E-2</v>
      </c>
      <c r="W176" s="4">
        <v>4.5321856348648E-2</v>
      </c>
    </row>
    <row r="177" spans="1:23">
      <c r="A177" s="4" t="s">
        <v>1319</v>
      </c>
      <c r="B177" s="4" t="s">
        <v>1399</v>
      </c>
      <c r="C177" s="4">
        <v>2.8997246000000001E-2</v>
      </c>
      <c r="D177" s="4">
        <v>0.21727063399999999</v>
      </c>
      <c r="F177" s="4" t="s">
        <v>2281</v>
      </c>
      <c r="G177" s="4">
        <v>1</v>
      </c>
      <c r="H177" s="4" t="s">
        <v>1279</v>
      </c>
      <c r="I177" s="4">
        <v>13</v>
      </c>
      <c r="J177" s="4" t="s">
        <v>1319</v>
      </c>
      <c r="K177" s="4" t="s">
        <v>2274</v>
      </c>
      <c r="L177" s="4">
        <v>3.0770388647203801</v>
      </c>
      <c r="M177" s="4">
        <v>24.922813667987</v>
      </c>
      <c r="N177" s="4">
        <v>47.911723545468497</v>
      </c>
      <c r="O177" s="4">
        <v>2.5188594297148499</v>
      </c>
      <c r="V177" s="4">
        <v>0.66218100000000002</v>
      </c>
      <c r="W177" s="4">
        <v>1.51723005520495</v>
      </c>
    </row>
    <row r="178" spans="1:23">
      <c r="A178" s="4" t="s">
        <v>1319</v>
      </c>
      <c r="B178" s="4" t="s">
        <v>1399</v>
      </c>
      <c r="C178" s="4">
        <v>1.7333549E-2</v>
      </c>
      <c r="D178" s="4">
        <v>0.215469678</v>
      </c>
      <c r="F178" s="4" t="s">
        <v>2281</v>
      </c>
      <c r="G178" s="4">
        <v>2</v>
      </c>
      <c r="H178" s="4" t="s">
        <v>1280</v>
      </c>
      <c r="I178" s="4">
        <v>13</v>
      </c>
      <c r="J178" s="4" t="s">
        <v>1319</v>
      </c>
      <c r="K178" s="4" t="s">
        <v>2274</v>
      </c>
      <c r="L178" s="4">
        <v>2.7096612289131201</v>
      </c>
      <c r="M178" s="4">
        <v>30.270929042293702</v>
      </c>
      <c r="N178" s="4">
        <v>16.929162700182001</v>
      </c>
      <c r="O178" s="4">
        <v>10</v>
      </c>
      <c r="V178" s="4">
        <v>0.73084300000000002</v>
      </c>
      <c r="W178" s="4">
        <v>1.51723005520495</v>
      </c>
    </row>
    <row r="179" spans="1:23">
      <c r="A179" s="4" t="s">
        <v>1319</v>
      </c>
      <c r="B179" s="4" t="s">
        <v>1399</v>
      </c>
      <c r="C179" s="4">
        <v>1.4584480799999999</v>
      </c>
      <c r="D179" s="4">
        <v>1.4022786110000001</v>
      </c>
      <c r="F179" s="4" t="s">
        <v>2281</v>
      </c>
      <c r="G179" s="4">
        <v>1</v>
      </c>
      <c r="H179" s="4" t="s">
        <v>1279</v>
      </c>
      <c r="I179" s="4">
        <v>14</v>
      </c>
      <c r="J179" s="4" t="s">
        <v>1281</v>
      </c>
      <c r="K179" s="4" t="s">
        <v>2275</v>
      </c>
      <c r="L179" s="4">
        <v>3.4564384078271799</v>
      </c>
      <c r="M179" s="4">
        <v>17.1082910043061</v>
      </c>
      <c r="N179" s="4">
        <v>167.19826982443499</v>
      </c>
      <c r="O179" s="4">
        <v>1.95017508754377</v>
      </c>
      <c r="V179" s="4">
        <v>0.171931</v>
      </c>
      <c r="W179" s="4">
        <v>0.12563726824997601</v>
      </c>
    </row>
    <row r="180" spans="1:23">
      <c r="A180" s="4" t="s">
        <v>1319</v>
      </c>
      <c r="B180" s="4" t="s">
        <v>1399</v>
      </c>
      <c r="C180" s="4">
        <v>1.445488417</v>
      </c>
      <c r="D180" s="4">
        <v>1.3792282899999999</v>
      </c>
      <c r="F180" s="4" t="s">
        <v>2281</v>
      </c>
      <c r="G180" s="4">
        <v>2</v>
      </c>
      <c r="H180" s="4" t="s">
        <v>1280</v>
      </c>
      <c r="I180" s="4">
        <v>14</v>
      </c>
      <c r="J180" s="4" t="s">
        <v>1281</v>
      </c>
      <c r="K180" s="4" t="s">
        <v>2275</v>
      </c>
      <c r="L180" s="4">
        <v>2.5836879505430299</v>
      </c>
      <c r="M180" s="4">
        <v>30.8626547768338</v>
      </c>
      <c r="N180" s="4">
        <v>12.423806240762399</v>
      </c>
      <c r="O180" s="4">
        <v>10</v>
      </c>
      <c r="V180" s="4">
        <v>0.18429000000000001</v>
      </c>
      <c r="W180" s="4">
        <v>0.12563726824997601</v>
      </c>
    </row>
    <row r="181" spans="1:23">
      <c r="A181" s="4" t="s">
        <v>1319</v>
      </c>
      <c r="B181" s="4" t="s">
        <v>1399</v>
      </c>
      <c r="C181" s="4">
        <v>1.014579621</v>
      </c>
      <c r="D181" s="4">
        <v>0.61253200200000002</v>
      </c>
      <c r="F181" s="4" t="s">
        <v>2281</v>
      </c>
      <c r="G181" s="4">
        <v>1</v>
      </c>
      <c r="H181" s="4" t="s">
        <v>1279</v>
      </c>
      <c r="I181" s="4">
        <v>15</v>
      </c>
      <c r="J181" s="4" t="s">
        <v>2276</v>
      </c>
      <c r="K181" s="4" t="s">
        <v>2277</v>
      </c>
      <c r="L181" s="4">
        <v>3.32886562276635</v>
      </c>
      <c r="M181" s="4">
        <v>14.6060126933438</v>
      </c>
      <c r="N181" s="4">
        <v>145.99364411686901</v>
      </c>
      <c r="O181" s="4">
        <v>4.5974987493746804</v>
      </c>
      <c r="V181" s="4">
        <v>9.4204999999999997E-2</v>
      </c>
      <c r="W181" s="4">
        <v>7.7412996132247502E-2</v>
      </c>
    </row>
    <row r="182" spans="1:23">
      <c r="A182" s="4" t="s">
        <v>1319</v>
      </c>
      <c r="B182" s="4" t="s">
        <v>1399</v>
      </c>
      <c r="C182" s="4">
        <v>0.205248664</v>
      </c>
      <c r="D182" s="4">
        <v>0.239372798</v>
      </c>
      <c r="F182" s="4" t="s">
        <v>2281</v>
      </c>
      <c r="G182" s="4">
        <v>2</v>
      </c>
      <c r="H182" s="4" t="s">
        <v>1280</v>
      </c>
      <c r="I182" s="4">
        <v>15</v>
      </c>
      <c r="J182" s="4" t="s">
        <v>2276</v>
      </c>
      <c r="K182" s="4" t="s">
        <v>2277</v>
      </c>
      <c r="L182" s="4">
        <v>1.89086207033172</v>
      </c>
      <c r="M182" s="4">
        <v>24.333215736579699</v>
      </c>
      <c r="N182" s="4">
        <v>3.1964106114589601</v>
      </c>
      <c r="O182" s="4">
        <v>10</v>
      </c>
      <c r="V182" s="4">
        <v>0.108212</v>
      </c>
      <c r="W182" s="4">
        <v>7.7412996132247502E-2</v>
      </c>
    </row>
    <row r="183" spans="1:23">
      <c r="A183" s="4" t="s">
        <v>1319</v>
      </c>
      <c r="B183" s="4" t="s">
        <v>1399</v>
      </c>
      <c r="C183" s="4">
        <v>9.3471570000000004E-2</v>
      </c>
      <c r="D183" s="4">
        <v>0.21884891200000001</v>
      </c>
      <c r="F183" s="4" t="s">
        <v>2282</v>
      </c>
      <c r="G183" s="4">
        <v>1</v>
      </c>
      <c r="H183" s="4" t="s">
        <v>1279</v>
      </c>
      <c r="I183" s="4">
        <v>1</v>
      </c>
      <c r="J183" s="4" t="s">
        <v>196</v>
      </c>
      <c r="K183" s="4" t="s">
        <v>2255</v>
      </c>
      <c r="L183" s="4">
        <v>2.8975905828339998</v>
      </c>
      <c r="M183" s="4">
        <v>13.9014082676889</v>
      </c>
      <c r="N183" s="4">
        <v>56.823997767445903</v>
      </c>
      <c r="O183" s="4">
        <v>4.3131565782891403</v>
      </c>
      <c r="V183" s="4">
        <v>1.4916229999999999</v>
      </c>
      <c r="W183" s="4">
        <v>2.8694432893651598</v>
      </c>
    </row>
    <row r="184" spans="1:23">
      <c r="A184" s="4" t="s">
        <v>1319</v>
      </c>
      <c r="B184" s="4" t="s">
        <v>1399</v>
      </c>
      <c r="C184" s="4">
        <v>2.5433338999999999E-2</v>
      </c>
      <c r="D184" s="4">
        <v>0.208303139</v>
      </c>
      <c r="F184" s="4" t="s">
        <v>2282</v>
      </c>
      <c r="G184" s="4">
        <v>2</v>
      </c>
      <c r="H184" s="4" t="s">
        <v>1280</v>
      </c>
      <c r="I184" s="4">
        <v>1</v>
      </c>
      <c r="J184" s="4" t="s">
        <v>196</v>
      </c>
      <c r="K184" s="4" t="s">
        <v>2255</v>
      </c>
      <c r="L184" s="4">
        <v>1.8264473457695001</v>
      </c>
      <c r="M184" s="4">
        <v>22.8842031812068</v>
      </c>
      <c r="N184" s="4">
        <v>2.93029639435363</v>
      </c>
      <c r="O184" s="4">
        <v>10</v>
      </c>
      <c r="V184" s="4">
        <v>1.145564</v>
      </c>
      <c r="W184" s="4">
        <v>2.8694432893651598</v>
      </c>
    </row>
    <row r="185" spans="1:23">
      <c r="A185" s="4" t="s">
        <v>1319</v>
      </c>
      <c r="B185" s="4" t="s">
        <v>1399</v>
      </c>
      <c r="C185" s="4">
        <v>1.7981532000000001E-2</v>
      </c>
      <c r="D185" s="4">
        <v>0.207300925</v>
      </c>
      <c r="F185" s="4" t="s">
        <v>2282</v>
      </c>
      <c r="G185" s="4">
        <v>1</v>
      </c>
      <c r="H185" s="4" t="s">
        <v>1279</v>
      </c>
      <c r="I185" s="4">
        <v>2</v>
      </c>
      <c r="J185" s="4" t="s">
        <v>196</v>
      </c>
      <c r="K185" s="4" t="s">
        <v>2256</v>
      </c>
      <c r="L185" s="4">
        <v>3.04870469632744</v>
      </c>
      <c r="M185" s="4">
        <v>14.160875525167199</v>
      </c>
      <c r="N185" s="4">
        <v>78.997726176511804</v>
      </c>
      <c r="O185" s="4">
        <v>2.5188594297148499</v>
      </c>
      <c r="V185" s="4">
        <v>0.47541899999999998</v>
      </c>
      <c r="W185" s="4">
        <v>0.22938138080251499</v>
      </c>
    </row>
    <row r="186" spans="1:23">
      <c r="A186" s="4" t="s">
        <v>1319</v>
      </c>
      <c r="B186" s="4" t="s">
        <v>1399</v>
      </c>
      <c r="C186" s="4">
        <v>1.3121659000000001E-2</v>
      </c>
      <c r="D186" s="4">
        <v>0.20645199</v>
      </c>
      <c r="F186" s="4" t="s">
        <v>2282</v>
      </c>
      <c r="G186" s="4">
        <v>2</v>
      </c>
      <c r="H186" s="4" t="s">
        <v>1280</v>
      </c>
      <c r="I186" s="4">
        <v>2</v>
      </c>
      <c r="J186" s="4" t="s">
        <v>196</v>
      </c>
      <c r="K186" s="4" t="s">
        <v>2256</v>
      </c>
      <c r="L186" s="4">
        <v>2.1469310588619002</v>
      </c>
      <c r="M186" s="4">
        <v>26.9999884260796</v>
      </c>
      <c r="N186" s="4">
        <v>5.1947838401816604</v>
      </c>
      <c r="O186" s="4">
        <v>10</v>
      </c>
      <c r="V186" s="4">
        <v>0.52760200000000002</v>
      </c>
      <c r="W186" s="4">
        <v>0.22938138080251499</v>
      </c>
    </row>
    <row r="187" spans="1:23">
      <c r="A187" s="4" t="s">
        <v>1319</v>
      </c>
      <c r="B187" s="4" t="s">
        <v>1399</v>
      </c>
      <c r="C187" s="4">
        <v>1.3418111130000001</v>
      </c>
      <c r="D187" s="4">
        <v>1.4022786110000001</v>
      </c>
      <c r="F187" s="4" t="s">
        <v>2282</v>
      </c>
      <c r="G187" s="4">
        <v>1</v>
      </c>
      <c r="H187" s="4" t="s">
        <v>1279</v>
      </c>
      <c r="I187" s="4">
        <v>3</v>
      </c>
      <c r="J187" s="4" t="s">
        <v>2257</v>
      </c>
      <c r="K187" s="4" t="s">
        <v>724</v>
      </c>
      <c r="L187" s="4">
        <v>3.2524903650565</v>
      </c>
      <c r="M187" s="4">
        <v>19.171259057746699</v>
      </c>
      <c r="N187" s="4">
        <v>93.290995900801803</v>
      </c>
      <c r="O187" s="4">
        <v>0.51865932966483197</v>
      </c>
      <c r="V187" s="4">
        <v>0.24196599999999999</v>
      </c>
      <c r="W187" s="4">
        <v>0.13789264567852699</v>
      </c>
    </row>
    <row r="188" spans="1:23">
      <c r="A188" s="4" t="s">
        <v>1319</v>
      </c>
      <c r="B188" s="4" t="s">
        <v>1399</v>
      </c>
      <c r="C188" s="4">
        <v>1.315891787</v>
      </c>
      <c r="D188" s="4">
        <v>1.3792282899999999</v>
      </c>
      <c r="F188" s="4" t="s">
        <v>2282</v>
      </c>
      <c r="G188" s="4">
        <v>2</v>
      </c>
      <c r="H188" s="4" t="s">
        <v>1280</v>
      </c>
      <c r="I188" s="4">
        <v>3</v>
      </c>
      <c r="J188" s="4" t="s">
        <v>2257</v>
      </c>
      <c r="K188" s="4" t="s">
        <v>724</v>
      </c>
      <c r="L188" s="4">
        <v>2.8587207824083598</v>
      </c>
      <c r="M188" s="4">
        <v>23.204882579179099</v>
      </c>
      <c r="N188" s="4">
        <v>31.127296838714699</v>
      </c>
      <c r="O188" s="4">
        <v>5.2691345672836398</v>
      </c>
      <c r="V188" s="4">
        <v>0.24196599999999999</v>
      </c>
      <c r="W188" s="4">
        <v>0.13789264567852699</v>
      </c>
    </row>
    <row r="189" spans="1:23">
      <c r="A189" s="4" t="s">
        <v>1319</v>
      </c>
      <c r="B189" s="4" t="s">
        <v>1399</v>
      </c>
      <c r="C189" s="4">
        <v>1.014579621</v>
      </c>
      <c r="D189" s="4">
        <v>0.61253200200000002</v>
      </c>
      <c r="F189" s="4" t="s">
        <v>2282</v>
      </c>
      <c r="G189" s="4">
        <v>1</v>
      </c>
      <c r="H189" s="4" t="s">
        <v>1279</v>
      </c>
      <c r="I189" s="4">
        <v>4</v>
      </c>
      <c r="J189" s="4" t="s">
        <v>2258</v>
      </c>
      <c r="K189" s="4" t="s">
        <v>2259</v>
      </c>
      <c r="L189" s="4">
        <v>2.3466416323543902</v>
      </c>
      <c r="M189" s="4">
        <v>7.53955891181878</v>
      </c>
      <c r="N189" s="4">
        <v>29.464270526895898</v>
      </c>
      <c r="O189" s="4">
        <v>10</v>
      </c>
      <c r="V189" s="4">
        <v>1.755287</v>
      </c>
      <c r="W189" s="4">
        <v>3.1310789305856002</v>
      </c>
    </row>
    <row r="190" spans="1:23">
      <c r="A190" s="4" t="s">
        <v>1319</v>
      </c>
      <c r="B190" s="4" t="s">
        <v>1399</v>
      </c>
      <c r="C190" s="4">
        <v>0.18710513500000001</v>
      </c>
      <c r="D190" s="4">
        <v>0.239372798</v>
      </c>
      <c r="F190" s="4" t="s">
        <v>2282</v>
      </c>
      <c r="G190" s="4">
        <v>2</v>
      </c>
      <c r="H190" s="4" t="s">
        <v>1280</v>
      </c>
      <c r="I190" s="4">
        <v>4</v>
      </c>
      <c r="J190" s="4" t="s">
        <v>2258</v>
      </c>
      <c r="K190" s="4" t="s">
        <v>2259</v>
      </c>
      <c r="L190" s="4">
        <v>0.98038733439246295</v>
      </c>
      <c r="M190" s="4">
        <v>7.53955891181878</v>
      </c>
      <c r="N190" s="4">
        <v>1.2677726996337999</v>
      </c>
      <c r="O190" s="4">
        <v>10</v>
      </c>
      <c r="V190" s="4">
        <v>1.964021</v>
      </c>
      <c r="W190" s="4">
        <v>3.1310789305856002</v>
      </c>
    </row>
    <row r="191" spans="1:23">
      <c r="A191" s="4" t="s">
        <v>1319</v>
      </c>
      <c r="B191" s="4" t="s">
        <v>1399</v>
      </c>
      <c r="C191" s="4">
        <v>8.4399805999999994E-2</v>
      </c>
      <c r="D191" s="4">
        <v>0.21884891200000001</v>
      </c>
      <c r="F191" s="4" t="s">
        <v>2282</v>
      </c>
      <c r="G191" s="4">
        <v>1</v>
      </c>
      <c r="H191" s="4" t="s">
        <v>1279</v>
      </c>
      <c r="I191" s="4">
        <v>5</v>
      </c>
      <c r="J191" s="4" t="s">
        <v>2260</v>
      </c>
      <c r="K191" s="4" t="s">
        <v>2261</v>
      </c>
      <c r="L191" s="4">
        <v>2.7528054052797</v>
      </c>
      <c r="M191" s="4">
        <v>12.8644843560116</v>
      </c>
      <c r="N191" s="4">
        <v>43.995982649505997</v>
      </c>
      <c r="O191" s="4">
        <v>6.9555777888944403</v>
      </c>
      <c r="V191" s="4">
        <v>0.54682799999999998</v>
      </c>
      <c r="W191" s="4">
        <v>0.249454514776379</v>
      </c>
    </row>
    <row r="192" spans="1:23">
      <c r="A192" s="4" t="s">
        <v>1319</v>
      </c>
      <c r="B192" s="4" t="s">
        <v>1399</v>
      </c>
      <c r="C192" s="4">
        <v>1.7657540999999999E-2</v>
      </c>
      <c r="D192" s="4">
        <v>0.208303139</v>
      </c>
      <c r="F192" s="4" t="s">
        <v>2282</v>
      </c>
      <c r="G192" s="4">
        <v>2</v>
      </c>
      <c r="H192" s="4" t="s">
        <v>1280</v>
      </c>
      <c r="I192" s="4">
        <v>5</v>
      </c>
      <c r="J192" s="4" t="s">
        <v>2260</v>
      </c>
      <c r="K192" s="4" t="s">
        <v>2261</v>
      </c>
      <c r="L192" s="4">
        <v>1.5036008371291001</v>
      </c>
      <c r="M192" s="4">
        <v>16.7601725732587</v>
      </c>
      <c r="N192" s="4">
        <v>1.90248986141122</v>
      </c>
      <c r="O192" s="4">
        <v>10</v>
      </c>
      <c r="V192" s="4">
        <v>0.62098299999999995</v>
      </c>
      <c r="W192" s="4">
        <v>0.249454514776379</v>
      </c>
    </row>
    <row r="193" spans="1:23">
      <c r="A193" s="4" t="s">
        <v>1319</v>
      </c>
      <c r="B193" s="4" t="s">
        <v>1399</v>
      </c>
      <c r="C193" s="4">
        <v>1.2797667E-2</v>
      </c>
      <c r="D193" s="4">
        <v>0.207300925</v>
      </c>
      <c r="F193" s="4" t="s">
        <v>2282</v>
      </c>
      <c r="G193" s="4">
        <v>1</v>
      </c>
      <c r="H193" s="4" t="s">
        <v>1279</v>
      </c>
      <c r="I193" s="4">
        <v>6</v>
      </c>
      <c r="J193" s="4" t="s">
        <v>2262</v>
      </c>
      <c r="K193" s="4" t="s">
        <v>2263</v>
      </c>
      <c r="L193" s="4">
        <v>3.18796125426142</v>
      </c>
      <c r="M193" s="4">
        <v>15.328894021536099</v>
      </c>
      <c r="N193" s="4">
        <v>100.565827747132</v>
      </c>
      <c r="O193" s="4">
        <v>1.30795397698849</v>
      </c>
      <c r="V193" s="4">
        <v>0.274924</v>
      </c>
      <c r="W193" s="4">
        <v>0.14959466980466701</v>
      </c>
    </row>
    <row r="194" spans="1:23">
      <c r="A194" s="4" t="s">
        <v>1319</v>
      </c>
      <c r="B194" s="4" t="s">
        <v>1399</v>
      </c>
      <c r="C194" s="4">
        <v>1.4579619999999999E-3</v>
      </c>
      <c r="D194" s="4">
        <v>0.20645199</v>
      </c>
      <c r="F194" s="4" t="s">
        <v>2282</v>
      </c>
      <c r="G194" s="4">
        <v>2</v>
      </c>
      <c r="H194" s="4" t="s">
        <v>1280</v>
      </c>
      <c r="I194" s="4">
        <v>6</v>
      </c>
      <c r="J194" s="4" t="s">
        <v>2262</v>
      </c>
      <c r="K194" s="4" t="s">
        <v>2263</v>
      </c>
      <c r="L194" s="4">
        <v>2.5325752514131499</v>
      </c>
      <c r="M194" s="4">
        <v>26.807620848517502</v>
      </c>
      <c r="N194" s="4">
        <v>12.7150179892202</v>
      </c>
      <c r="O194" s="4">
        <v>10</v>
      </c>
      <c r="V194" s="4">
        <v>0.28316400000000003</v>
      </c>
      <c r="W194" s="4">
        <v>0.14959466980466701</v>
      </c>
    </row>
    <row r="195" spans="1:23">
      <c r="A195" s="4" t="s">
        <v>1319</v>
      </c>
      <c r="B195" s="4" t="s">
        <v>1399</v>
      </c>
      <c r="C195" s="4">
        <v>1.512171989</v>
      </c>
      <c r="D195" s="4">
        <v>1.7667142229999999</v>
      </c>
      <c r="F195" s="4" t="s">
        <v>2282</v>
      </c>
      <c r="G195" s="4">
        <v>1</v>
      </c>
      <c r="H195" s="4" t="s">
        <v>1279</v>
      </c>
      <c r="I195" s="4">
        <v>7</v>
      </c>
      <c r="J195" s="4" t="s">
        <v>2264</v>
      </c>
      <c r="K195" s="4" t="s">
        <v>2265</v>
      </c>
      <c r="L195" s="4">
        <v>3.0404141596114398</v>
      </c>
      <c r="M195" s="4">
        <v>13.6014004039742</v>
      </c>
      <c r="N195" s="4">
        <v>80.692010034526504</v>
      </c>
      <c r="O195" s="4">
        <v>2.6463231615807898</v>
      </c>
      <c r="V195" s="4">
        <v>4.2845000000000001E-2</v>
      </c>
      <c r="W195" s="4">
        <v>0.10040464617032401</v>
      </c>
    </row>
    <row r="196" spans="1:23">
      <c r="A196" s="4" t="s">
        <v>1319</v>
      </c>
      <c r="B196" s="4" t="s">
        <v>1399</v>
      </c>
      <c r="C196" s="4">
        <v>1.5026873220000001</v>
      </c>
      <c r="D196" s="4">
        <v>1.7667141260000001</v>
      </c>
      <c r="F196" s="4" t="s">
        <v>2282</v>
      </c>
      <c r="G196" s="4">
        <v>2</v>
      </c>
      <c r="H196" s="4" t="s">
        <v>1280</v>
      </c>
      <c r="I196" s="4">
        <v>7</v>
      </c>
      <c r="J196" s="4" t="s">
        <v>2264</v>
      </c>
      <c r="K196" s="4" t="s">
        <v>2265</v>
      </c>
      <c r="L196" s="4">
        <v>2.0936763822623998</v>
      </c>
      <c r="M196" s="4">
        <v>26.523681434055099</v>
      </c>
      <c r="N196" s="4">
        <v>4.6778100126590401</v>
      </c>
      <c r="O196" s="4">
        <v>10</v>
      </c>
      <c r="V196" s="4">
        <v>4.2021000000000003E-2</v>
      </c>
      <c r="W196" s="4">
        <v>0.10040464617032401</v>
      </c>
    </row>
    <row r="197" spans="1:23">
      <c r="A197" s="4" t="s">
        <v>1319</v>
      </c>
      <c r="B197" s="4" t="s">
        <v>1399</v>
      </c>
      <c r="C197" s="4">
        <v>1.4963642109999999</v>
      </c>
      <c r="D197" s="4">
        <v>1.7667044599999999</v>
      </c>
      <c r="F197" s="4" t="s">
        <v>2282</v>
      </c>
      <c r="G197" s="4">
        <v>1</v>
      </c>
      <c r="H197" s="4" t="s">
        <v>1279</v>
      </c>
      <c r="I197" s="4">
        <v>8</v>
      </c>
      <c r="J197" s="4" t="s">
        <v>2266</v>
      </c>
      <c r="K197" s="4" t="s">
        <v>2267</v>
      </c>
      <c r="L197" s="4">
        <v>2.9830627567347001</v>
      </c>
      <c r="M197" s="4">
        <v>13.4544424284438</v>
      </c>
      <c r="N197" s="4">
        <v>71.482058742339106</v>
      </c>
      <c r="O197" s="4">
        <v>3.27383691845922</v>
      </c>
      <c r="V197" s="4">
        <v>3.2958000000000001E-2</v>
      </c>
      <c r="W197" s="4">
        <v>1.6935999109187298E-2</v>
      </c>
    </row>
    <row r="198" spans="1:23">
      <c r="A198" s="4" t="s">
        <v>1319</v>
      </c>
      <c r="B198" s="4" t="s">
        <v>1399</v>
      </c>
      <c r="C198" s="4">
        <v>1.6323110970000001</v>
      </c>
      <c r="D198" s="4">
        <v>1.7664753529999999</v>
      </c>
      <c r="F198" s="4" t="s">
        <v>2282</v>
      </c>
      <c r="G198" s="4">
        <v>2</v>
      </c>
      <c r="H198" s="4" t="s">
        <v>1280</v>
      </c>
      <c r="I198" s="4">
        <v>8</v>
      </c>
      <c r="J198" s="4" t="s">
        <v>2266</v>
      </c>
      <c r="K198" s="4" t="s">
        <v>2267</v>
      </c>
      <c r="L198" s="4">
        <v>1.9638851064724201</v>
      </c>
      <c r="M198" s="4">
        <v>24.990654277015398</v>
      </c>
      <c r="N198" s="4">
        <v>3.68220090146928</v>
      </c>
      <c r="O198" s="4">
        <v>10</v>
      </c>
      <c r="V198" s="4">
        <v>3.9274999999999997E-2</v>
      </c>
      <c r="W198" s="4">
        <v>1.6935999109187298E-2</v>
      </c>
    </row>
    <row r="199" spans="1:23">
      <c r="A199" s="4" t="s">
        <v>1319</v>
      </c>
      <c r="B199" s="4" t="s">
        <v>1399</v>
      </c>
      <c r="C199" s="4">
        <v>1.550110654</v>
      </c>
      <c r="D199" s="4">
        <v>1.7657873610000001</v>
      </c>
      <c r="F199" s="4" t="s">
        <v>2282</v>
      </c>
      <c r="G199" s="4">
        <v>1</v>
      </c>
      <c r="H199" s="4" t="s">
        <v>1279</v>
      </c>
      <c r="I199" s="4">
        <v>9</v>
      </c>
      <c r="J199" s="4" t="s">
        <v>2268</v>
      </c>
      <c r="K199" s="4" t="s">
        <v>2269</v>
      </c>
      <c r="L199" s="4">
        <v>2.8874327377214102</v>
      </c>
      <c r="M199" s="4">
        <v>12.9646289690491</v>
      </c>
      <c r="N199" s="4">
        <v>59.521332529921402</v>
      </c>
      <c r="O199" s="4">
        <v>4.5631815907953897</v>
      </c>
      <c r="V199" s="4">
        <v>2.3619999999999999E-2</v>
      </c>
      <c r="W199" s="4">
        <v>1.4043475673518499E-2</v>
      </c>
    </row>
    <row r="200" spans="1:23">
      <c r="A200" s="4" t="s">
        <v>1319</v>
      </c>
      <c r="B200" s="4" t="s">
        <v>1399</v>
      </c>
      <c r="C200" s="4">
        <v>1.6259879859999999</v>
      </c>
      <c r="D200" s="4">
        <v>1.749870915</v>
      </c>
      <c r="F200" s="4" t="s">
        <v>2282</v>
      </c>
      <c r="G200" s="4">
        <v>2</v>
      </c>
      <c r="H200" s="4" t="s">
        <v>1280</v>
      </c>
      <c r="I200" s="4">
        <v>9</v>
      </c>
      <c r="J200" s="4" t="s">
        <v>2268</v>
      </c>
      <c r="K200" s="4" t="s">
        <v>2269</v>
      </c>
      <c r="L200" s="4">
        <v>1.7477908342839501</v>
      </c>
      <c r="M200" s="4">
        <v>21.504099763831299</v>
      </c>
      <c r="N200" s="4">
        <v>2.60177399218199</v>
      </c>
      <c r="O200" s="4">
        <v>10</v>
      </c>
      <c r="V200" s="4">
        <v>1.7302999999999999E-2</v>
      </c>
      <c r="W200" s="4">
        <v>1.4043475673518499E-2</v>
      </c>
    </row>
    <row r="201" spans="1:23">
      <c r="A201" s="4" t="s">
        <v>1319</v>
      </c>
      <c r="B201" s="4" t="s">
        <v>1399</v>
      </c>
      <c r="C201" s="4">
        <v>1.815681315</v>
      </c>
      <c r="D201" s="4">
        <v>1.723727257</v>
      </c>
      <c r="F201" s="4" t="s">
        <v>2282</v>
      </c>
      <c r="G201" s="4">
        <v>1</v>
      </c>
      <c r="H201" s="4" t="s">
        <v>1279</v>
      </c>
      <c r="I201" s="4">
        <v>10</v>
      </c>
      <c r="J201" s="4" t="s">
        <v>2270</v>
      </c>
      <c r="K201" s="4" t="s">
        <v>2271</v>
      </c>
      <c r="L201" s="4">
        <v>3.1857027595419298</v>
      </c>
      <c r="M201" s="4">
        <v>15.147107407308599</v>
      </c>
      <c r="N201" s="4">
        <v>101.244876406739</v>
      </c>
      <c r="O201" s="4">
        <v>1.3373686843421699</v>
      </c>
      <c r="V201" s="4">
        <v>2.6561379999999999</v>
      </c>
      <c r="W201" s="4">
        <v>10.7805501111892</v>
      </c>
    </row>
    <row r="202" spans="1:23">
      <c r="A202" s="4" t="s">
        <v>1319</v>
      </c>
      <c r="B202" s="4" t="s">
        <v>1399</v>
      </c>
      <c r="C202" s="4">
        <v>1.834650648</v>
      </c>
      <c r="D202" s="4">
        <v>1.6255049029999999</v>
      </c>
      <c r="F202" s="4" t="s">
        <v>2282</v>
      </c>
      <c r="G202" s="4">
        <v>2</v>
      </c>
      <c r="H202" s="4" t="s">
        <v>1280</v>
      </c>
      <c r="I202" s="4">
        <v>10</v>
      </c>
      <c r="J202" s="4" t="s">
        <v>2270</v>
      </c>
      <c r="K202" s="4" t="s">
        <v>2271</v>
      </c>
      <c r="L202" s="4">
        <v>2.5170769277374401</v>
      </c>
      <c r="M202" s="4">
        <v>26.992079202215301</v>
      </c>
      <c r="N202" s="4">
        <v>12.185422395060201</v>
      </c>
      <c r="O202" s="4">
        <v>10</v>
      </c>
      <c r="V202" s="4">
        <v>2.793463</v>
      </c>
      <c r="W202" s="4">
        <v>10.7805501111892</v>
      </c>
    </row>
    <row r="203" spans="1:23">
      <c r="A203" s="4" t="s">
        <v>1319</v>
      </c>
      <c r="B203" s="4" t="s">
        <v>1399</v>
      </c>
      <c r="C203" s="4">
        <v>1.6481188739999999</v>
      </c>
      <c r="D203" s="4">
        <v>1.7667142229999999</v>
      </c>
      <c r="F203" s="4" t="s">
        <v>2282</v>
      </c>
      <c r="G203" s="4">
        <v>1</v>
      </c>
      <c r="H203" s="4" t="s">
        <v>1279</v>
      </c>
      <c r="I203" s="4">
        <v>11</v>
      </c>
      <c r="J203" s="4" t="s">
        <v>1319</v>
      </c>
      <c r="K203" s="4" t="s">
        <v>2272</v>
      </c>
      <c r="L203" s="4">
        <v>3.0916148475046401</v>
      </c>
      <c r="M203" s="4">
        <v>21.9055944536087</v>
      </c>
      <c r="N203" s="4">
        <v>56.371527667293599</v>
      </c>
      <c r="O203" s="4">
        <v>0.74417208604302099</v>
      </c>
      <c r="V203" s="4">
        <v>0.55506699999999998</v>
      </c>
      <c r="W203" s="4">
        <v>0.83633502968333795</v>
      </c>
    </row>
    <row r="204" spans="1:23">
      <c r="A204" s="4" t="s">
        <v>1319</v>
      </c>
      <c r="B204" s="4" t="s">
        <v>1399</v>
      </c>
      <c r="C204" s="4">
        <v>1.6101802089999999</v>
      </c>
      <c r="D204" s="4">
        <v>1.7667141260000001</v>
      </c>
      <c r="F204" s="4" t="s">
        <v>2282</v>
      </c>
      <c r="G204" s="4">
        <v>2</v>
      </c>
      <c r="H204" s="4" t="s">
        <v>1280</v>
      </c>
      <c r="I204" s="4">
        <v>11</v>
      </c>
      <c r="J204" s="4" t="s">
        <v>1319</v>
      </c>
      <c r="K204" s="4" t="s">
        <v>2272</v>
      </c>
      <c r="L204" s="4">
        <v>2.7722247704622598</v>
      </c>
      <c r="M204" s="4">
        <v>24.118361239056298</v>
      </c>
      <c r="N204" s="4">
        <v>24.540136542355</v>
      </c>
      <c r="O204" s="4">
        <v>5.7152576288143999</v>
      </c>
      <c r="V204" s="4">
        <v>0.45894000000000001</v>
      </c>
      <c r="W204" s="4">
        <v>0.83633502968333795</v>
      </c>
    </row>
    <row r="205" spans="1:23">
      <c r="A205" s="4" t="s">
        <v>1319</v>
      </c>
      <c r="B205" s="4" t="s">
        <v>1399</v>
      </c>
      <c r="C205" s="4">
        <v>1.534302877</v>
      </c>
      <c r="D205" s="4">
        <v>1.7667044599999999</v>
      </c>
      <c r="F205" s="4" t="s">
        <v>2282</v>
      </c>
      <c r="G205" s="4">
        <v>1</v>
      </c>
      <c r="H205" s="4" t="s">
        <v>1279</v>
      </c>
      <c r="I205" s="4">
        <v>12</v>
      </c>
      <c r="J205" s="4" t="s">
        <v>1319</v>
      </c>
      <c r="K205" s="4" t="s">
        <v>2273</v>
      </c>
      <c r="L205" s="4">
        <v>3.0364444023628399</v>
      </c>
      <c r="M205" s="4">
        <v>20.859014518423599</v>
      </c>
      <c r="N205" s="4">
        <v>52.137549595886</v>
      </c>
      <c r="O205" s="4">
        <v>1.2981490745372599</v>
      </c>
      <c r="V205" s="4">
        <v>0.19527600000000001</v>
      </c>
      <c r="W205" s="4">
        <v>0.49172808821082398</v>
      </c>
    </row>
    <row r="206" spans="1:23">
      <c r="A206" s="4" t="s">
        <v>1319</v>
      </c>
      <c r="B206" s="4" t="s">
        <v>1399</v>
      </c>
      <c r="C206" s="4">
        <v>1.619664875</v>
      </c>
      <c r="D206" s="4">
        <v>1.7664753529999999</v>
      </c>
      <c r="F206" s="4" t="s">
        <v>2282</v>
      </c>
      <c r="G206" s="4">
        <v>2</v>
      </c>
      <c r="H206" s="4" t="s">
        <v>1280</v>
      </c>
      <c r="I206" s="4">
        <v>12</v>
      </c>
      <c r="J206" s="4" t="s">
        <v>1319</v>
      </c>
      <c r="K206" s="4" t="s">
        <v>2273</v>
      </c>
      <c r="L206" s="4">
        <v>2.6349638469975498</v>
      </c>
      <c r="M206" s="4">
        <v>23.931869040145902</v>
      </c>
      <c r="N206" s="4">
        <v>18.029647230487399</v>
      </c>
      <c r="O206" s="4">
        <v>9.6421210605302594</v>
      </c>
      <c r="V206" s="4">
        <v>0.211755</v>
      </c>
      <c r="W206" s="4">
        <v>0.49172808821082398</v>
      </c>
    </row>
    <row r="207" spans="1:23">
      <c r="A207" s="4" t="s">
        <v>1319</v>
      </c>
      <c r="B207" s="4" t="s">
        <v>1399</v>
      </c>
      <c r="C207" s="4">
        <v>1.6165033200000001</v>
      </c>
      <c r="D207" s="4">
        <v>1.7657873610000001</v>
      </c>
      <c r="F207" s="4" t="s">
        <v>2282</v>
      </c>
      <c r="G207" s="4">
        <v>1</v>
      </c>
      <c r="H207" s="4" t="s">
        <v>1279</v>
      </c>
      <c r="I207" s="4">
        <v>13</v>
      </c>
      <c r="J207" s="4" t="s">
        <v>1319</v>
      </c>
      <c r="K207" s="4" t="s">
        <v>2274</v>
      </c>
      <c r="L207" s="4">
        <v>2.92246456752975</v>
      </c>
      <c r="M207" s="4">
        <v>22.613345689497599</v>
      </c>
      <c r="N207" s="4">
        <v>36.991312906668</v>
      </c>
      <c r="O207" s="4">
        <v>1.47953976988494</v>
      </c>
      <c r="V207" s="4">
        <v>8.8687170000000002</v>
      </c>
      <c r="W207" s="4">
        <v>24.351922648710701</v>
      </c>
    </row>
    <row r="208" spans="1:23">
      <c r="A208" s="4" t="s">
        <v>1319</v>
      </c>
      <c r="B208" s="4" t="s">
        <v>1399</v>
      </c>
      <c r="C208" s="4">
        <v>1.6101802089999999</v>
      </c>
      <c r="D208" s="4">
        <v>1.749870915</v>
      </c>
      <c r="F208" s="4" t="s">
        <v>2282</v>
      </c>
      <c r="G208" s="4">
        <v>2</v>
      </c>
      <c r="H208" s="4" t="s">
        <v>1280</v>
      </c>
      <c r="I208" s="4">
        <v>13</v>
      </c>
      <c r="J208" s="4" t="s">
        <v>1319</v>
      </c>
      <c r="K208" s="4" t="s">
        <v>2274</v>
      </c>
      <c r="L208" s="4">
        <v>2.5982357718597702</v>
      </c>
      <c r="M208" s="4">
        <v>24.488280142801699</v>
      </c>
      <c r="N208" s="4">
        <v>16.191142197799699</v>
      </c>
      <c r="O208" s="4">
        <v>9.0979489744872399</v>
      </c>
      <c r="V208" s="4">
        <v>9.0060420000000008</v>
      </c>
      <c r="W208" s="4">
        <v>24.351922648710701</v>
      </c>
    </row>
    <row r="209" spans="1:23">
      <c r="A209" s="4" t="s">
        <v>1319</v>
      </c>
      <c r="B209" s="4" t="s">
        <v>1399</v>
      </c>
      <c r="C209" s="4">
        <v>1.600695542</v>
      </c>
      <c r="D209" s="4">
        <v>1.723727257</v>
      </c>
      <c r="F209" s="4" t="s">
        <v>2282</v>
      </c>
      <c r="G209" s="4">
        <v>1</v>
      </c>
      <c r="H209" s="4" t="s">
        <v>1279</v>
      </c>
      <c r="I209" s="4">
        <v>14</v>
      </c>
      <c r="J209" s="4" t="s">
        <v>1281</v>
      </c>
      <c r="K209" s="4" t="s">
        <v>2275</v>
      </c>
      <c r="L209" s="4">
        <v>3.2005353280851101</v>
      </c>
      <c r="M209" s="4">
        <v>15.490756928478399</v>
      </c>
      <c r="N209" s="4">
        <v>102.438376939338</v>
      </c>
      <c r="O209" s="4">
        <v>1.20990495247623</v>
      </c>
      <c r="V209" s="4">
        <v>2.2826149999999998</v>
      </c>
      <c r="W209" s="4">
        <v>1.87755394727474</v>
      </c>
    </row>
    <row r="210" spans="1:23">
      <c r="A210" s="4" t="s">
        <v>1319</v>
      </c>
      <c r="B210" s="4" t="s">
        <v>1399</v>
      </c>
      <c r="C210" s="4">
        <v>1.948466646</v>
      </c>
      <c r="D210" s="4">
        <v>1.6255049029999999</v>
      </c>
      <c r="F210" s="4" t="s">
        <v>2282</v>
      </c>
      <c r="G210" s="4">
        <v>2</v>
      </c>
      <c r="H210" s="4" t="s">
        <v>1280</v>
      </c>
      <c r="I210" s="4">
        <v>14</v>
      </c>
      <c r="J210" s="4" t="s">
        <v>1281</v>
      </c>
      <c r="K210" s="4" t="s">
        <v>2275</v>
      </c>
      <c r="L210" s="4">
        <v>2.5705841554732101</v>
      </c>
      <c r="M210" s="4">
        <v>26.259248501608202</v>
      </c>
      <c r="N210" s="4">
        <v>14.167781890162001</v>
      </c>
      <c r="O210" s="4">
        <v>10</v>
      </c>
      <c r="V210" s="4">
        <v>2.167262</v>
      </c>
      <c r="W210" s="4">
        <v>1.87755394727474</v>
      </c>
    </row>
    <row r="211" spans="1:23">
      <c r="A211" s="4" t="s">
        <v>1319</v>
      </c>
      <c r="B211" s="4" t="s">
        <v>1399</v>
      </c>
      <c r="C211" s="4">
        <v>1.550110654</v>
      </c>
      <c r="D211" s="4">
        <v>1.7665907199999999</v>
      </c>
      <c r="F211" s="4" t="s">
        <v>2282</v>
      </c>
      <c r="G211" s="4">
        <v>1</v>
      </c>
      <c r="H211" s="4" t="s">
        <v>1279</v>
      </c>
      <c r="I211" s="4">
        <v>15</v>
      </c>
      <c r="J211" s="4" t="s">
        <v>2276</v>
      </c>
      <c r="K211" s="4" t="s">
        <v>2277</v>
      </c>
      <c r="L211" s="4">
        <v>3.0196485560588302</v>
      </c>
      <c r="M211" s="4">
        <v>12.743442547551201</v>
      </c>
      <c r="N211" s="4">
        <v>82.103522616953299</v>
      </c>
      <c r="O211" s="4">
        <v>2.9159579789894901</v>
      </c>
      <c r="V211" s="4">
        <v>1.1400710000000001</v>
      </c>
      <c r="W211" s="4">
        <v>1.09872692108429</v>
      </c>
    </row>
    <row r="212" spans="1:23">
      <c r="A212" s="4" t="s">
        <v>1319</v>
      </c>
      <c r="B212" s="4" t="s">
        <v>1399</v>
      </c>
      <c r="C212" s="4">
        <v>1.5912108760000001</v>
      </c>
      <c r="D212" s="4">
        <v>1.766580204</v>
      </c>
      <c r="F212" s="4" t="s">
        <v>2282</v>
      </c>
      <c r="G212" s="4">
        <v>2</v>
      </c>
      <c r="H212" s="4" t="s">
        <v>1280</v>
      </c>
      <c r="I212" s="4">
        <v>15</v>
      </c>
      <c r="J212" s="4" t="s">
        <v>2276</v>
      </c>
      <c r="K212" s="4" t="s">
        <v>2277</v>
      </c>
      <c r="L212" s="4">
        <v>1.9971417441791799</v>
      </c>
      <c r="M212" s="4">
        <v>25.430565449912201</v>
      </c>
      <c r="N212" s="4">
        <v>3.9064810986662799</v>
      </c>
      <c r="O212" s="4">
        <v>10</v>
      </c>
      <c r="V212" s="4">
        <v>0.90387300000000004</v>
      </c>
      <c r="W212" s="4">
        <v>1.09872692108429</v>
      </c>
    </row>
    <row r="213" spans="1:23">
      <c r="A213" s="4" t="s">
        <v>1319</v>
      </c>
      <c r="B213" s="4" t="s">
        <v>1399</v>
      </c>
      <c r="C213" s="4">
        <v>1.578564654</v>
      </c>
      <c r="D213" s="4">
        <v>1.7655298109999999</v>
      </c>
      <c r="F213" s="4" t="s">
        <v>2283</v>
      </c>
      <c r="G213" s="4">
        <v>1</v>
      </c>
      <c r="H213" s="4" t="s">
        <v>1279</v>
      </c>
      <c r="I213" s="4">
        <v>1</v>
      </c>
      <c r="J213" s="4" t="s">
        <v>196</v>
      </c>
      <c r="K213" s="4" t="s">
        <v>2255</v>
      </c>
      <c r="L213" s="4">
        <v>2.8905760413146502</v>
      </c>
      <c r="M213" s="4">
        <v>15.5206196150203</v>
      </c>
      <c r="N213" s="4">
        <v>50.080307416956302</v>
      </c>
      <c r="O213" s="4">
        <v>8.3821910955477694</v>
      </c>
      <c r="V213" s="4">
        <v>16.844550000000002</v>
      </c>
      <c r="W213" s="4">
        <v>26.2666245158942</v>
      </c>
    </row>
    <row r="214" spans="1:23">
      <c r="A214" s="4" t="s">
        <v>1319</v>
      </c>
      <c r="B214" s="4" t="s">
        <v>1399</v>
      </c>
      <c r="C214" s="4">
        <v>1.641795764</v>
      </c>
      <c r="D214" s="4">
        <v>1.7414128120000001</v>
      </c>
      <c r="F214" s="4" t="s">
        <v>2283</v>
      </c>
      <c r="G214" s="4">
        <v>2</v>
      </c>
      <c r="H214" s="4" t="s">
        <v>1280</v>
      </c>
      <c r="I214" s="4">
        <v>1</v>
      </c>
      <c r="J214" s="4" t="s">
        <v>196</v>
      </c>
      <c r="K214" s="4" t="s">
        <v>2255</v>
      </c>
      <c r="L214" s="4">
        <v>1.55746776566161</v>
      </c>
      <c r="M214" s="4">
        <v>17.885588231720298</v>
      </c>
      <c r="N214" s="4">
        <v>2.0182015603604202</v>
      </c>
      <c r="O214" s="4">
        <v>10</v>
      </c>
      <c r="V214" s="4">
        <v>17.852509999999999</v>
      </c>
      <c r="W214" s="4">
        <v>26.2666245158942</v>
      </c>
    </row>
    <row r="215" spans="1:23">
      <c r="A215" s="4" t="s">
        <v>1319</v>
      </c>
      <c r="B215" s="4" t="s">
        <v>1399</v>
      </c>
      <c r="C215" s="4">
        <v>1.682895985</v>
      </c>
      <c r="D215" s="4">
        <v>1.676915038</v>
      </c>
      <c r="F215" s="4" t="s">
        <v>2283</v>
      </c>
      <c r="G215" s="4">
        <v>1</v>
      </c>
      <c r="H215" s="4" t="s">
        <v>1279</v>
      </c>
      <c r="I215" s="4">
        <v>2</v>
      </c>
      <c r="J215" s="4" t="s">
        <v>196</v>
      </c>
      <c r="K215" s="4" t="s">
        <v>2256</v>
      </c>
      <c r="L215" s="4">
        <v>2.9898970127758902</v>
      </c>
      <c r="M215" s="4">
        <v>15.6640117176907</v>
      </c>
      <c r="N215" s="4">
        <v>62.372623762391001</v>
      </c>
      <c r="O215" s="4">
        <v>5.1367683841920897</v>
      </c>
      <c r="V215" s="4">
        <v>3.257622</v>
      </c>
      <c r="W215" s="4">
        <v>2.0244531500007099</v>
      </c>
    </row>
    <row r="216" spans="1:23">
      <c r="A216" s="4" t="s">
        <v>1319</v>
      </c>
      <c r="B216" s="4" t="s">
        <v>1399</v>
      </c>
      <c r="C216" s="4">
        <v>1.2624091049999999</v>
      </c>
      <c r="D216" s="4">
        <v>1.1725207820000001</v>
      </c>
      <c r="F216" s="4" t="s">
        <v>2283</v>
      </c>
      <c r="G216" s="4">
        <v>2</v>
      </c>
      <c r="H216" s="4" t="s">
        <v>1280</v>
      </c>
      <c r="I216" s="4">
        <v>2</v>
      </c>
      <c r="J216" s="4" t="s">
        <v>196</v>
      </c>
      <c r="K216" s="4" t="s">
        <v>2256</v>
      </c>
      <c r="L216" s="4">
        <v>1.89910578328174</v>
      </c>
      <c r="M216" s="4">
        <v>24.261673756890399</v>
      </c>
      <c r="N216" s="4">
        <v>3.26726999733041</v>
      </c>
      <c r="O216" s="4">
        <v>10</v>
      </c>
      <c r="V216" s="4">
        <v>3.010437</v>
      </c>
      <c r="W216" s="4">
        <v>2.0244531500007099</v>
      </c>
    </row>
    <row r="217" spans="1:23">
      <c r="A217" s="4" t="s">
        <v>1319</v>
      </c>
      <c r="B217" s="4" t="s">
        <v>1399</v>
      </c>
      <c r="C217" s="4">
        <v>1.214985773</v>
      </c>
      <c r="D217" s="4">
        <v>0.98956727300000003</v>
      </c>
      <c r="F217" s="4" t="s">
        <v>2283</v>
      </c>
      <c r="G217" s="4">
        <v>1</v>
      </c>
      <c r="H217" s="4" t="s">
        <v>1279</v>
      </c>
      <c r="I217" s="4">
        <v>3</v>
      </c>
      <c r="J217" s="4" t="s">
        <v>2257</v>
      </c>
      <c r="K217" s="4" t="s">
        <v>724</v>
      </c>
      <c r="L217" s="4">
        <v>3.09749117065512</v>
      </c>
      <c r="M217" s="4">
        <v>18.9512630970254</v>
      </c>
      <c r="N217" s="4">
        <v>66.046986917865397</v>
      </c>
      <c r="O217" s="4">
        <v>1.0726363181590699</v>
      </c>
      <c r="V217" s="4">
        <v>1.48613</v>
      </c>
      <c r="W217" s="4">
        <v>1.1843646703589299</v>
      </c>
    </row>
    <row r="218" spans="1:23">
      <c r="A218" s="4" t="s">
        <v>1319</v>
      </c>
      <c r="B218" s="4" t="s">
        <v>1399</v>
      </c>
      <c r="C218" s="4">
        <v>0.69965222900000001</v>
      </c>
      <c r="D218" s="4">
        <v>0.81115595600000001</v>
      </c>
      <c r="F218" s="4" t="s">
        <v>2283</v>
      </c>
      <c r="G218" s="4">
        <v>2</v>
      </c>
      <c r="H218" s="4" t="s">
        <v>1280</v>
      </c>
      <c r="I218" s="4">
        <v>3</v>
      </c>
      <c r="J218" s="4" t="s">
        <v>2257</v>
      </c>
      <c r="K218" s="4" t="s">
        <v>724</v>
      </c>
      <c r="L218" s="4">
        <v>2.8670009661954401</v>
      </c>
      <c r="M218" s="4">
        <v>21.871857177358098</v>
      </c>
      <c r="N218" s="4">
        <v>33.660092483293397</v>
      </c>
      <c r="O218" s="4">
        <v>9.7401700850425197</v>
      </c>
      <c r="V218" s="4">
        <v>1.7333149999999999</v>
      </c>
      <c r="W218" s="4">
        <v>1.1843646703589299</v>
      </c>
    </row>
    <row r="219" spans="1:23">
      <c r="A219" s="4" t="s">
        <v>1319</v>
      </c>
      <c r="B219" s="4" t="s">
        <v>1399</v>
      </c>
      <c r="C219" s="4">
        <v>1.6259879859999999</v>
      </c>
      <c r="D219" s="4">
        <v>1.7665907199999999</v>
      </c>
      <c r="F219" s="4" t="s">
        <v>2283</v>
      </c>
      <c r="G219" s="4">
        <v>1</v>
      </c>
      <c r="H219" s="4" t="s">
        <v>1279</v>
      </c>
      <c r="I219" s="4">
        <v>4</v>
      </c>
      <c r="J219" s="4" t="s">
        <v>2258</v>
      </c>
      <c r="K219" s="4" t="s">
        <v>2259</v>
      </c>
      <c r="L219" s="4">
        <v>2.0770661294688799</v>
      </c>
      <c r="M219" s="4">
        <v>4.3606092266111096</v>
      </c>
      <c r="N219" s="4">
        <v>27.385391886771501</v>
      </c>
      <c r="O219" s="4">
        <v>10</v>
      </c>
      <c r="V219" s="4">
        <v>16.844550000000002</v>
      </c>
      <c r="W219" s="4">
        <v>27.6838966727605</v>
      </c>
    </row>
    <row r="220" spans="1:23">
      <c r="A220" s="4" t="s">
        <v>1319</v>
      </c>
      <c r="B220" s="4" t="s">
        <v>1399</v>
      </c>
      <c r="C220" s="4">
        <v>1.6323110970000001</v>
      </c>
      <c r="D220" s="4">
        <v>1.766580204</v>
      </c>
      <c r="F220" s="4" t="s">
        <v>2283</v>
      </c>
      <c r="G220" s="4">
        <v>2</v>
      </c>
      <c r="H220" s="4" t="s">
        <v>1280</v>
      </c>
      <c r="I220" s="4">
        <v>4</v>
      </c>
      <c r="J220" s="4" t="s">
        <v>2258</v>
      </c>
      <c r="K220" s="4" t="s">
        <v>2259</v>
      </c>
      <c r="L220" s="4">
        <v>0.69596325309381801</v>
      </c>
      <c r="M220" s="4">
        <v>4.3606092266111096</v>
      </c>
      <c r="N220" s="4">
        <v>1.1387177325864499</v>
      </c>
      <c r="O220" s="4">
        <v>10</v>
      </c>
      <c r="V220" s="4">
        <v>17.852509999999999</v>
      </c>
      <c r="W220" s="4">
        <v>27.6838966727605</v>
      </c>
    </row>
    <row r="221" spans="1:23">
      <c r="A221" s="4" t="s">
        <v>1319</v>
      </c>
      <c r="B221" s="4" t="s">
        <v>1399</v>
      </c>
      <c r="C221" s="4">
        <v>1.7208346510000001</v>
      </c>
      <c r="D221" s="4">
        <v>1.7655298109999999</v>
      </c>
      <c r="F221" s="4" t="s">
        <v>2283</v>
      </c>
      <c r="G221" s="4">
        <v>1</v>
      </c>
      <c r="H221" s="4" t="s">
        <v>1279</v>
      </c>
      <c r="I221" s="4">
        <v>5</v>
      </c>
      <c r="J221" s="4" t="s">
        <v>2260</v>
      </c>
      <c r="K221" s="4" t="s">
        <v>2261</v>
      </c>
      <c r="L221" s="4">
        <v>2.7634343645075998</v>
      </c>
      <c r="M221" s="4">
        <v>11.415203098286099</v>
      </c>
      <c r="N221" s="4">
        <v>50.810178624152499</v>
      </c>
      <c r="O221" s="4">
        <v>10</v>
      </c>
      <c r="V221" s="4">
        <v>6.5341940000000003</v>
      </c>
      <c r="W221" s="4">
        <v>2.1331886943993998</v>
      </c>
    </row>
    <row r="222" spans="1:23">
      <c r="A222" s="4" t="s">
        <v>1319</v>
      </c>
      <c r="B222" s="4" t="s">
        <v>1399</v>
      </c>
      <c r="C222" s="4">
        <v>1.8220044259999999</v>
      </c>
      <c r="D222" s="4">
        <v>1.7414128120000001</v>
      </c>
      <c r="F222" s="4" t="s">
        <v>2283</v>
      </c>
      <c r="G222" s="4">
        <v>2</v>
      </c>
      <c r="H222" s="4" t="s">
        <v>1280</v>
      </c>
      <c r="I222" s="4">
        <v>5</v>
      </c>
      <c r="J222" s="4" t="s">
        <v>2260</v>
      </c>
      <c r="K222" s="4" t="s">
        <v>2261</v>
      </c>
      <c r="L222" s="4">
        <v>1.2250130315349701</v>
      </c>
      <c r="M222" s="4">
        <v>11.415203098286099</v>
      </c>
      <c r="N222" s="4">
        <v>1.47071793553109</v>
      </c>
      <c r="O222" s="4">
        <v>10</v>
      </c>
      <c r="V222" s="4">
        <v>6.4545450000000004</v>
      </c>
      <c r="W222" s="4">
        <v>2.1331886943993998</v>
      </c>
    </row>
    <row r="223" spans="1:23">
      <c r="A223" s="4" t="s">
        <v>1319</v>
      </c>
      <c r="B223" s="4" t="s">
        <v>1399</v>
      </c>
      <c r="C223" s="4">
        <v>1.7872273160000001</v>
      </c>
      <c r="D223" s="4">
        <v>1.676915038</v>
      </c>
      <c r="F223" s="4" t="s">
        <v>2283</v>
      </c>
      <c r="G223" s="4">
        <v>1</v>
      </c>
      <c r="H223" s="4" t="s">
        <v>1279</v>
      </c>
      <c r="I223" s="4">
        <v>6</v>
      </c>
      <c r="J223" s="4" t="s">
        <v>2262</v>
      </c>
      <c r="K223" s="4" t="s">
        <v>2263</v>
      </c>
      <c r="L223" s="4">
        <v>3.0723965456642701</v>
      </c>
      <c r="M223" s="4">
        <v>16.4538220349604</v>
      </c>
      <c r="N223" s="4">
        <v>71.800877184806794</v>
      </c>
      <c r="O223" s="4">
        <v>2.7590795397698802</v>
      </c>
      <c r="V223" s="4">
        <v>3.205438</v>
      </c>
      <c r="W223" s="4">
        <v>1.2477541722463401</v>
      </c>
    </row>
    <row r="224" spans="1:23">
      <c r="A224" s="4" t="s">
        <v>1319</v>
      </c>
      <c r="B224" s="4" t="s">
        <v>1399</v>
      </c>
      <c r="C224" s="4">
        <v>1.660765096</v>
      </c>
      <c r="D224" s="4">
        <v>1.1725207820000001</v>
      </c>
      <c r="F224" s="4" t="s">
        <v>2283</v>
      </c>
      <c r="G224" s="4">
        <v>2</v>
      </c>
      <c r="H224" s="4" t="s">
        <v>1280</v>
      </c>
      <c r="I224" s="4">
        <v>6</v>
      </c>
      <c r="J224" s="4" t="s">
        <v>2262</v>
      </c>
      <c r="K224" s="4" t="s">
        <v>2263</v>
      </c>
      <c r="L224" s="4">
        <v>2.35958129486984</v>
      </c>
      <c r="M224" s="4">
        <v>28.951466964260099</v>
      </c>
      <c r="N224" s="4">
        <v>7.9051610228351104</v>
      </c>
      <c r="O224" s="4">
        <v>10</v>
      </c>
      <c r="V224" s="4">
        <v>3.3400159999999999</v>
      </c>
      <c r="W224" s="4">
        <v>1.2477541722463401</v>
      </c>
    </row>
    <row r="225" spans="1:23">
      <c r="A225" s="4" t="s">
        <v>1319</v>
      </c>
      <c r="B225" s="4" t="s">
        <v>1399</v>
      </c>
      <c r="C225" s="4">
        <v>1.2086626620000001</v>
      </c>
      <c r="D225" s="4">
        <v>0.98956727300000003</v>
      </c>
      <c r="F225" s="4" t="s">
        <v>2283</v>
      </c>
      <c r="G225" s="4">
        <v>1</v>
      </c>
      <c r="H225" s="4" t="s">
        <v>1279</v>
      </c>
      <c r="I225" s="4">
        <v>7</v>
      </c>
      <c r="J225" s="4" t="s">
        <v>2264</v>
      </c>
      <c r="K225" s="4" t="s">
        <v>2265</v>
      </c>
      <c r="L225" s="4">
        <v>2.9858143195050602</v>
      </c>
      <c r="M225" s="4">
        <v>15.265421105858399</v>
      </c>
      <c r="N225" s="4">
        <v>63.402375574426102</v>
      </c>
      <c r="O225" s="4">
        <v>5.43581790895447</v>
      </c>
      <c r="V225" s="4">
        <v>19.1571</v>
      </c>
      <c r="W225" s="4">
        <v>27.8520117422553</v>
      </c>
    </row>
    <row r="226" spans="1:23">
      <c r="A226" s="4" t="s">
        <v>1319</v>
      </c>
      <c r="B226" s="4" t="s">
        <v>1399</v>
      </c>
      <c r="C226" s="4">
        <v>0.69965222900000001</v>
      </c>
      <c r="D226" s="4">
        <v>0.81115595600000001</v>
      </c>
      <c r="F226" s="4" t="s">
        <v>2283</v>
      </c>
      <c r="G226" s="4">
        <v>2</v>
      </c>
      <c r="H226" s="4" t="s">
        <v>1280</v>
      </c>
      <c r="I226" s="4">
        <v>7</v>
      </c>
      <c r="J226" s="4" t="s">
        <v>2264</v>
      </c>
      <c r="K226" s="4" t="s">
        <v>2265</v>
      </c>
      <c r="L226" s="4">
        <v>1.8408016410239301</v>
      </c>
      <c r="M226" s="4">
        <v>23.290151201475101</v>
      </c>
      <c r="N226" s="4">
        <v>2.97597537315028</v>
      </c>
      <c r="O226" s="4">
        <v>10</v>
      </c>
      <c r="V226" s="4">
        <v>18.69294</v>
      </c>
      <c r="W226" s="4">
        <v>27.8520117422553</v>
      </c>
    </row>
    <row r="227" spans="1:23">
      <c r="A227" s="4" t="s">
        <v>1319</v>
      </c>
      <c r="B227" s="4" t="s">
        <v>1399</v>
      </c>
      <c r="C227" s="4">
        <v>1.6259879859999999</v>
      </c>
      <c r="D227" s="4">
        <v>1.761740109</v>
      </c>
      <c r="F227" s="4" t="s">
        <v>2283</v>
      </c>
      <c r="G227" s="4">
        <v>1</v>
      </c>
      <c r="H227" s="4" t="s">
        <v>1279</v>
      </c>
      <c r="I227" s="4">
        <v>8</v>
      </c>
      <c r="J227" s="4" t="s">
        <v>2266</v>
      </c>
      <c r="K227" s="4" t="s">
        <v>2267</v>
      </c>
      <c r="L227" s="4">
        <v>2.9492756783224801</v>
      </c>
      <c r="M227" s="4">
        <v>15.1418705785682</v>
      </c>
      <c r="N227" s="4">
        <v>58.761943123503499</v>
      </c>
      <c r="O227" s="4">
        <v>6.5927963981991002</v>
      </c>
      <c r="V227" s="4">
        <v>7.4844819999999999</v>
      </c>
      <c r="W227" s="4">
        <v>2.1460867701250601</v>
      </c>
    </row>
    <row r="228" spans="1:23">
      <c r="A228" s="4" t="s">
        <v>1319</v>
      </c>
      <c r="B228" s="4" t="s">
        <v>1399</v>
      </c>
      <c r="C228" s="4">
        <v>1.515333544</v>
      </c>
      <c r="D228" s="4">
        <v>1.76132198</v>
      </c>
      <c r="F228" s="4" t="s">
        <v>2283</v>
      </c>
      <c r="G228" s="4">
        <v>2</v>
      </c>
      <c r="H228" s="4" t="s">
        <v>1280</v>
      </c>
      <c r="I228" s="4">
        <v>8</v>
      </c>
      <c r="J228" s="4" t="s">
        <v>2266</v>
      </c>
      <c r="K228" s="4" t="s">
        <v>2267</v>
      </c>
      <c r="L228" s="4">
        <v>1.70171661226111</v>
      </c>
      <c r="M228" s="4">
        <v>20.743076291986899</v>
      </c>
      <c r="N228" s="4">
        <v>2.4257355198905701</v>
      </c>
      <c r="O228" s="4">
        <v>10</v>
      </c>
      <c r="V228" s="4">
        <v>7.2592689999999997</v>
      </c>
      <c r="W228" s="4">
        <v>2.1460867701250601</v>
      </c>
    </row>
    <row r="229" spans="1:23">
      <c r="A229" s="4" t="s">
        <v>1319</v>
      </c>
      <c r="B229" s="4" t="s">
        <v>1399</v>
      </c>
      <c r="C229" s="4">
        <v>1.5690799870000001</v>
      </c>
      <c r="D229" s="4">
        <v>1.7207761239999999</v>
      </c>
      <c r="F229" s="4" t="s">
        <v>2283</v>
      </c>
      <c r="G229" s="4">
        <v>1</v>
      </c>
      <c r="H229" s="4" t="s">
        <v>1279</v>
      </c>
      <c r="I229" s="4">
        <v>9</v>
      </c>
      <c r="J229" s="4" t="s">
        <v>2268</v>
      </c>
      <c r="K229" s="4" t="s">
        <v>2269</v>
      </c>
      <c r="L229" s="4">
        <v>2.8865519608392098</v>
      </c>
      <c r="M229" s="4">
        <v>14.7683354277088</v>
      </c>
      <c r="N229" s="4">
        <v>52.145929490901601</v>
      </c>
      <c r="O229" s="4">
        <v>8.9557778889444695</v>
      </c>
      <c r="V229" s="4">
        <v>4.029388</v>
      </c>
      <c r="W229" s="4">
        <v>1.25527335652115</v>
      </c>
    </row>
    <row r="230" spans="1:23">
      <c r="A230" s="4" t="s">
        <v>1319</v>
      </c>
      <c r="B230" s="4" t="s">
        <v>1399</v>
      </c>
      <c r="C230" s="4">
        <v>1.445779323</v>
      </c>
      <c r="D230" s="4">
        <v>1.176480285</v>
      </c>
      <c r="F230" s="4" t="s">
        <v>2283</v>
      </c>
      <c r="G230" s="4">
        <v>2</v>
      </c>
      <c r="H230" s="4" t="s">
        <v>1280</v>
      </c>
      <c r="I230" s="4">
        <v>9</v>
      </c>
      <c r="J230" s="4" t="s">
        <v>2268</v>
      </c>
      <c r="K230" s="4" t="s">
        <v>2269</v>
      </c>
      <c r="L230" s="4">
        <v>1.4755889568340801</v>
      </c>
      <c r="M230" s="4">
        <v>16.232783100072901</v>
      </c>
      <c r="N230" s="4">
        <v>1.84160281918614</v>
      </c>
      <c r="O230" s="4">
        <v>10</v>
      </c>
      <c r="V230" s="4">
        <v>3.7025540000000001</v>
      </c>
      <c r="W230" s="4">
        <v>1.25527335652115</v>
      </c>
    </row>
    <row r="231" spans="1:23">
      <c r="A231" s="4" t="s">
        <v>1319</v>
      </c>
      <c r="B231" s="4" t="s">
        <v>1399</v>
      </c>
      <c r="C231" s="4">
        <v>1.1580777739999999</v>
      </c>
      <c r="D231" s="4">
        <v>0.74640353500000001</v>
      </c>
      <c r="F231" s="4" t="s">
        <v>2283</v>
      </c>
      <c r="G231" s="4">
        <v>1</v>
      </c>
      <c r="H231" s="4" t="s">
        <v>1279</v>
      </c>
      <c r="I231" s="4">
        <v>10</v>
      </c>
      <c r="J231" s="4" t="s">
        <v>2270</v>
      </c>
      <c r="K231" s="4" t="s">
        <v>2271</v>
      </c>
      <c r="L231" s="4">
        <v>3.0714267506483699</v>
      </c>
      <c r="M231" s="4">
        <v>16.335314632971699</v>
      </c>
      <c r="N231" s="4">
        <v>72.160452326741606</v>
      </c>
      <c r="O231" s="4">
        <v>2.8277138569284599</v>
      </c>
      <c r="V231" s="4">
        <v>2.9936999999999998E-2</v>
      </c>
      <c r="W231" s="4">
        <v>1.02516716568714E-2</v>
      </c>
    </row>
    <row r="232" spans="1:23">
      <c r="A232" s="4" t="s">
        <v>1319</v>
      </c>
      <c r="B232" s="4" t="s">
        <v>1399</v>
      </c>
      <c r="C232" s="4">
        <v>0.54157445500000001</v>
      </c>
      <c r="D232" s="4">
        <v>0.38006392</v>
      </c>
      <c r="F232" s="4" t="s">
        <v>2283</v>
      </c>
      <c r="G232" s="4">
        <v>2</v>
      </c>
      <c r="H232" s="4" t="s">
        <v>1280</v>
      </c>
      <c r="I232" s="4">
        <v>10</v>
      </c>
      <c r="J232" s="4" t="s">
        <v>2270</v>
      </c>
      <c r="K232" s="4" t="s">
        <v>2271</v>
      </c>
      <c r="L232" s="4">
        <v>2.33843431006221</v>
      </c>
      <c r="M232" s="4">
        <v>28.875499598715599</v>
      </c>
      <c r="N232" s="4">
        <v>7.5492673021799197</v>
      </c>
      <c r="O232" s="4">
        <v>10</v>
      </c>
      <c r="V232" s="4">
        <v>4.1746999999999999E-2</v>
      </c>
      <c r="W232" s="4">
        <v>1.02516716568714E-2</v>
      </c>
    </row>
    <row r="233" spans="1:23">
      <c r="A233" s="4" t="s">
        <v>1319</v>
      </c>
      <c r="B233" s="4" t="s">
        <v>1399</v>
      </c>
      <c r="C233" s="4">
        <v>0.294973127</v>
      </c>
      <c r="D233" s="4">
        <v>0.348815812</v>
      </c>
      <c r="F233" s="4" t="s">
        <v>2283</v>
      </c>
      <c r="G233" s="4">
        <v>1</v>
      </c>
      <c r="H233" s="4" t="s">
        <v>1279</v>
      </c>
      <c r="I233" s="4">
        <v>11</v>
      </c>
      <c r="J233" s="4" t="s">
        <v>1319</v>
      </c>
      <c r="K233" s="4" t="s">
        <v>2272</v>
      </c>
      <c r="L233" s="4">
        <v>2.97839421543117</v>
      </c>
      <c r="M233" s="4">
        <v>21.441931067709699</v>
      </c>
      <c r="N233" s="4">
        <v>44.3741778769894</v>
      </c>
      <c r="O233" s="4">
        <v>1.4844422211105499</v>
      </c>
      <c r="V233" s="4">
        <v>0.73633599999999999</v>
      </c>
      <c r="W233" s="4">
        <v>1.1581514821849499</v>
      </c>
    </row>
    <row r="234" spans="1:23">
      <c r="A234" s="4" t="s">
        <v>1319</v>
      </c>
      <c r="B234" s="4" t="s">
        <v>1399</v>
      </c>
      <c r="C234" s="4">
        <v>0.13057224200000001</v>
      </c>
      <c r="D234" s="4">
        <v>0.32445338299999998</v>
      </c>
      <c r="F234" s="4" t="s">
        <v>2283</v>
      </c>
      <c r="G234" s="4">
        <v>2</v>
      </c>
      <c r="H234" s="4" t="s">
        <v>1280</v>
      </c>
      <c r="I234" s="4">
        <v>11</v>
      </c>
      <c r="J234" s="4" t="s">
        <v>1319</v>
      </c>
      <c r="K234" s="4" t="s">
        <v>2272</v>
      </c>
      <c r="L234" s="4">
        <v>2.7842881221310201</v>
      </c>
      <c r="M234" s="4">
        <v>23.679516787579001</v>
      </c>
      <c r="N234" s="4">
        <v>25.6989444928751</v>
      </c>
      <c r="O234" s="4">
        <v>10</v>
      </c>
      <c r="V234" s="4">
        <v>0.79950600000000005</v>
      </c>
      <c r="W234" s="4">
        <v>1.1581514821849499</v>
      </c>
    </row>
    <row r="235" spans="1:23">
      <c r="A235" s="4" t="s">
        <v>1319</v>
      </c>
      <c r="B235" s="4" t="s">
        <v>1399</v>
      </c>
      <c r="C235" s="4">
        <v>1.619664875</v>
      </c>
      <c r="D235" s="4">
        <v>1.761740109</v>
      </c>
      <c r="F235" s="4" t="s">
        <v>2283</v>
      </c>
      <c r="G235" s="4">
        <v>1</v>
      </c>
      <c r="H235" s="4" t="s">
        <v>1279</v>
      </c>
      <c r="I235" s="4">
        <v>12</v>
      </c>
      <c r="J235" s="4" t="s">
        <v>1319</v>
      </c>
      <c r="K235" s="4" t="s">
        <v>2273</v>
      </c>
      <c r="L235" s="4">
        <v>2.94836485334414</v>
      </c>
      <c r="M235" s="4">
        <v>20.8143544622937</v>
      </c>
      <c r="N235" s="4">
        <v>42.6581392075447</v>
      </c>
      <c r="O235" s="4">
        <v>2.54827413706853</v>
      </c>
      <c r="V235" s="4">
        <v>1.480637</v>
      </c>
      <c r="W235" s="4">
        <v>2.38752119379068</v>
      </c>
    </row>
    <row r="236" spans="1:23">
      <c r="A236" s="4" t="s">
        <v>1319</v>
      </c>
      <c r="B236" s="4" t="s">
        <v>1399</v>
      </c>
      <c r="C236" s="4">
        <v>1.600695542</v>
      </c>
      <c r="D236" s="4">
        <v>1.76132198</v>
      </c>
      <c r="F236" s="4" t="s">
        <v>2283</v>
      </c>
      <c r="G236" s="4">
        <v>2</v>
      </c>
      <c r="H236" s="4" t="s">
        <v>1280</v>
      </c>
      <c r="I236" s="4">
        <v>12</v>
      </c>
      <c r="J236" s="4" t="s">
        <v>1319</v>
      </c>
      <c r="K236" s="4" t="s">
        <v>2273</v>
      </c>
      <c r="L236" s="4">
        <v>2.5625791551798902</v>
      </c>
      <c r="M236" s="4">
        <v>28.562103689825399</v>
      </c>
      <c r="N236" s="4">
        <v>12.7875976673427</v>
      </c>
      <c r="O236" s="4">
        <v>10</v>
      </c>
      <c r="V236" s="4">
        <v>1.4531719999999999</v>
      </c>
      <c r="W236" s="4">
        <v>2.38752119379068</v>
      </c>
    </row>
    <row r="237" spans="1:23">
      <c r="A237" s="4" t="s">
        <v>1319</v>
      </c>
      <c r="B237" s="4" t="s">
        <v>1399</v>
      </c>
      <c r="C237" s="4">
        <v>1.6354726530000001</v>
      </c>
      <c r="D237" s="4">
        <v>1.7207761239999999</v>
      </c>
      <c r="F237" s="4" t="s">
        <v>2283</v>
      </c>
      <c r="G237" s="4">
        <v>1</v>
      </c>
      <c r="H237" s="4" t="s">
        <v>1279</v>
      </c>
      <c r="I237" s="4">
        <v>13</v>
      </c>
      <c r="J237" s="4" t="s">
        <v>1319</v>
      </c>
      <c r="K237" s="4" t="s">
        <v>2274</v>
      </c>
      <c r="L237" s="4">
        <v>2.8525517293378502</v>
      </c>
      <c r="M237" s="4">
        <v>22.436896147495201</v>
      </c>
      <c r="N237" s="4">
        <v>31.738686645955799</v>
      </c>
      <c r="O237" s="4">
        <v>2.8473236618309099</v>
      </c>
      <c r="V237" s="4">
        <v>3.8450999999999999E-2</v>
      </c>
      <c r="W237" s="4">
        <v>1.00595511901622E-2</v>
      </c>
    </row>
    <row r="238" spans="1:23">
      <c r="A238" s="4" t="s">
        <v>1319</v>
      </c>
      <c r="B238" s="4" t="s">
        <v>1399</v>
      </c>
      <c r="C238" s="4">
        <v>1.4837179890000001</v>
      </c>
      <c r="D238" s="4">
        <v>1.176480285</v>
      </c>
      <c r="F238" s="4" t="s">
        <v>2283</v>
      </c>
      <c r="G238" s="4">
        <v>2</v>
      </c>
      <c r="H238" s="4" t="s">
        <v>1280</v>
      </c>
      <c r="I238" s="4">
        <v>13</v>
      </c>
      <c r="J238" s="4" t="s">
        <v>1319</v>
      </c>
      <c r="K238" s="4" t="s">
        <v>2274</v>
      </c>
      <c r="L238" s="4">
        <v>2.54311170855236</v>
      </c>
      <c r="M238" s="4">
        <v>28.421318509904001</v>
      </c>
      <c r="N238" s="4">
        <v>12.2876119289666</v>
      </c>
      <c r="O238" s="4">
        <v>10</v>
      </c>
      <c r="V238" s="4">
        <v>4.2021000000000003E-2</v>
      </c>
      <c r="W238" s="4">
        <v>1.00595511901622E-2</v>
      </c>
    </row>
    <row r="239" spans="1:23">
      <c r="A239" s="4" t="s">
        <v>1319</v>
      </c>
      <c r="B239" s="4" t="s">
        <v>1399</v>
      </c>
      <c r="C239" s="4">
        <v>1.0916851089999999</v>
      </c>
      <c r="D239" s="4">
        <v>0.74640353500000001</v>
      </c>
      <c r="F239" s="4" t="s">
        <v>2283</v>
      </c>
      <c r="G239" s="4">
        <v>1</v>
      </c>
      <c r="H239" s="4" t="s">
        <v>1279</v>
      </c>
      <c r="I239" s="4">
        <v>14</v>
      </c>
      <c r="J239" s="4" t="s">
        <v>1281</v>
      </c>
      <c r="K239" s="4" t="s">
        <v>2275</v>
      </c>
      <c r="L239" s="4">
        <v>3.0793572463963099</v>
      </c>
      <c r="M239" s="4">
        <v>16.554148280960899</v>
      </c>
      <c r="N239" s="4">
        <v>72.518765998275796</v>
      </c>
      <c r="O239" s="4">
        <v>2.5580790395197601</v>
      </c>
      <c r="V239" s="4">
        <v>0.48091200000000001</v>
      </c>
      <c r="W239" s="4">
        <v>0.28167853583748498</v>
      </c>
    </row>
    <row r="240" spans="1:23">
      <c r="A240" s="4" t="s">
        <v>1319</v>
      </c>
      <c r="B240" s="4" t="s">
        <v>1399</v>
      </c>
      <c r="C240" s="4">
        <v>0.40562756900000002</v>
      </c>
      <c r="D240" s="4">
        <v>0.38006392</v>
      </c>
      <c r="F240" s="4" t="s">
        <v>2283</v>
      </c>
      <c r="G240" s="4">
        <v>2</v>
      </c>
      <c r="H240" s="4" t="s">
        <v>1280</v>
      </c>
      <c r="I240" s="4">
        <v>14</v>
      </c>
      <c r="J240" s="4" t="s">
        <v>1281</v>
      </c>
      <c r="K240" s="4" t="s">
        <v>2275</v>
      </c>
      <c r="L240" s="4">
        <v>2.4129359304520999</v>
      </c>
      <c r="M240" s="4">
        <v>29.073253681551801</v>
      </c>
      <c r="N240" s="4">
        <v>8.9010715623195598</v>
      </c>
      <c r="O240" s="4">
        <v>10</v>
      </c>
      <c r="V240" s="4">
        <v>0.43971399999999999</v>
      </c>
      <c r="W240" s="4">
        <v>0.28167853583748498</v>
      </c>
    </row>
    <row r="241" spans="1:23">
      <c r="A241" s="4" t="s">
        <v>1319</v>
      </c>
      <c r="B241" s="4" t="s">
        <v>1399</v>
      </c>
      <c r="C241" s="4">
        <v>0.31710401500000002</v>
      </c>
      <c r="D241" s="4">
        <v>0.348815812</v>
      </c>
      <c r="F241" s="4" t="s">
        <v>2283</v>
      </c>
      <c r="G241" s="4">
        <v>1</v>
      </c>
      <c r="H241" s="4" t="s">
        <v>1279</v>
      </c>
      <c r="I241" s="4">
        <v>15</v>
      </c>
      <c r="J241" s="4" t="s">
        <v>2276</v>
      </c>
      <c r="K241" s="4" t="s">
        <v>2277</v>
      </c>
      <c r="L241" s="4">
        <v>2.9740593702754601</v>
      </c>
      <c r="M241" s="4">
        <v>14.6284951926293</v>
      </c>
      <c r="N241" s="4">
        <v>64.396122365417199</v>
      </c>
      <c r="O241" s="4">
        <v>6.0388194097048498</v>
      </c>
      <c r="V241" s="4">
        <v>0.71711100000000005</v>
      </c>
      <c r="W241" s="4">
        <v>0.57257513653376402</v>
      </c>
    </row>
    <row r="242" spans="1:23">
      <c r="A242" s="4" t="s">
        <v>1319</v>
      </c>
      <c r="B242" s="4" t="s">
        <v>1399</v>
      </c>
      <c r="C242" s="4">
        <v>0.126146064</v>
      </c>
      <c r="D242" s="4">
        <v>0.32445338299999998</v>
      </c>
      <c r="F242" s="4" t="s">
        <v>2283</v>
      </c>
      <c r="G242" s="4">
        <v>2</v>
      </c>
      <c r="H242" s="4" t="s">
        <v>1280</v>
      </c>
      <c r="I242" s="4">
        <v>15</v>
      </c>
      <c r="J242" s="4" t="s">
        <v>2276</v>
      </c>
      <c r="K242" s="4" t="s">
        <v>2277</v>
      </c>
      <c r="L242" s="4">
        <v>1.7368783414140301</v>
      </c>
      <c r="M242" s="4">
        <v>21.412581238047402</v>
      </c>
      <c r="N242" s="4">
        <v>2.5480580491383402</v>
      </c>
      <c r="O242" s="4">
        <v>10</v>
      </c>
      <c r="V242" s="4">
        <v>0.70063200000000003</v>
      </c>
      <c r="W242" s="4">
        <v>0.57257513653376402</v>
      </c>
    </row>
    <row r="243" spans="1:23">
      <c r="A243" s="4" t="s">
        <v>1319</v>
      </c>
      <c r="B243" s="4" t="s">
        <v>1399</v>
      </c>
      <c r="C243" s="4">
        <v>1.6481188739999999</v>
      </c>
      <c r="D243" s="4">
        <v>1.733678866</v>
      </c>
      <c r="F243" s="4" t="s">
        <v>2284</v>
      </c>
      <c r="G243" s="4">
        <v>1</v>
      </c>
      <c r="H243" s="4" t="s">
        <v>1279</v>
      </c>
      <c r="I243" s="4">
        <v>1</v>
      </c>
      <c r="J243" s="4" t="s">
        <v>196</v>
      </c>
      <c r="K243" s="4" t="s">
        <v>2255</v>
      </c>
      <c r="L243" s="4">
        <v>1.3642524425566001</v>
      </c>
      <c r="M243" s="4">
        <v>1.1245065523367099</v>
      </c>
      <c r="N243" s="4">
        <v>20.5726601683272</v>
      </c>
      <c r="O243" s="4">
        <v>10</v>
      </c>
      <c r="V243" s="4">
        <v>2.4719999999999998E-3</v>
      </c>
      <c r="W243" s="4">
        <v>1.00007983016639E-2</v>
      </c>
    </row>
    <row r="244" spans="1:23">
      <c r="A244" s="4" t="s">
        <v>1319</v>
      </c>
      <c r="B244" s="4" t="s">
        <v>1399</v>
      </c>
      <c r="C244" s="4">
        <v>1.641795764</v>
      </c>
      <c r="D244" s="4">
        <v>1.730958701</v>
      </c>
      <c r="F244" s="4" t="s">
        <v>2284</v>
      </c>
      <c r="G244" s="4">
        <v>2</v>
      </c>
      <c r="H244" s="4" t="s">
        <v>1280</v>
      </c>
      <c r="I244" s="4">
        <v>1</v>
      </c>
      <c r="J244" s="4" t="s">
        <v>196</v>
      </c>
      <c r="K244" s="4" t="s">
        <v>2255</v>
      </c>
      <c r="L244" s="4">
        <v>6.48115382926088E-2</v>
      </c>
      <c r="M244" s="4">
        <v>1.1245065523367099</v>
      </c>
      <c r="N244" s="4">
        <v>1.03240368957186</v>
      </c>
      <c r="O244" s="4">
        <v>10</v>
      </c>
      <c r="V244" s="4">
        <v>7.9649999999999999E-3</v>
      </c>
      <c r="W244" s="4">
        <v>1.00007983016639E-2</v>
      </c>
    </row>
    <row r="245" spans="1:23">
      <c r="A245" s="4" t="s">
        <v>1319</v>
      </c>
      <c r="B245" s="4" t="s">
        <v>1399</v>
      </c>
      <c r="C245" s="4">
        <v>1.6165033200000001</v>
      </c>
      <c r="D245" s="4">
        <v>1.502418375</v>
      </c>
      <c r="F245" s="4" t="s">
        <v>2284</v>
      </c>
      <c r="G245" s="4">
        <v>1</v>
      </c>
      <c r="H245" s="4" t="s">
        <v>1279</v>
      </c>
      <c r="I245" s="4">
        <v>2</v>
      </c>
      <c r="J245" s="4" t="s">
        <v>196</v>
      </c>
      <c r="K245" s="4" t="s">
        <v>2256</v>
      </c>
      <c r="L245" s="4">
        <v>1.9622566822932801</v>
      </c>
      <c r="M245" s="4">
        <v>2.4389255024260401</v>
      </c>
      <c r="N245" s="4">
        <v>37.588772828467903</v>
      </c>
      <c r="O245" s="4">
        <v>10</v>
      </c>
      <c r="V245" s="4">
        <v>3.7901999999999998E-2</v>
      </c>
      <c r="W245" s="4">
        <v>1.3641932707377701E-2</v>
      </c>
    </row>
    <row r="246" spans="1:23">
      <c r="A246" s="4" t="s">
        <v>1319</v>
      </c>
      <c r="B246" s="4" t="s">
        <v>1399</v>
      </c>
      <c r="C246" s="4">
        <v>1.0474233319999999</v>
      </c>
      <c r="D246" s="4">
        <v>0.54018238399999996</v>
      </c>
      <c r="F246" s="4" t="s">
        <v>2284</v>
      </c>
      <c r="G246" s="4">
        <v>2</v>
      </c>
      <c r="H246" s="4" t="s">
        <v>1280</v>
      </c>
      <c r="I246" s="4">
        <v>2</v>
      </c>
      <c r="J246" s="4" t="s">
        <v>196</v>
      </c>
      <c r="K246" s="4" t="s">
        <v>2256</v>
      </c>
      <c r="L246" s="4">
        <v>0.417842114883758</v>
      </c>
      <c r="M246" s="4">
        <v>2.4389255024260401</v>
      </c>
      <c r="N246" s="4">
        <v>1.0731083643630901</v>
      </c>
      <c r="O246" s="4">
        <v>10</v>
      </c>
      <c r="V246" s="4">
        <v>3.0485999999999999E-2</v>
      </c>
      <c r="W246" s="4">
        <v>1.3641932707377701E-2</v>
      </c>
    </row>
    <row r="247" spans="1:23">
      <c r="A247" s="4" t="s">
        <v>1319</v>
      </c>
      <c r="B247" s="4" t="s">
        <v>1399</v>
      </c>
      <c r="C247" s="4">
        <v>0.72810622800000002</v>
      </c>
      <c r="D247" s="4">
        <v>0.35230022900000002</v>
      </c>
      <c r="F247" s="4" t="s">
        <v>2284</v>
      </c>
      <c r="G247" s="4">
        <v>1</v>
      </c>
      <c r="H247" s="4" t="s">
        <v>1279</v>
      </c>
      <c r="I247" s="4">
        <v>3</v>
      </c>
      <c r="J247" s="4" t="s">
        <v>2257</v>
      </c>
      <c r="K247" s="4" t="s">
        <v>724</v>
      </c>
      <c r="L247" s="4">
        <v>2.6470769723952801</v>
      </c>
      <c r="M247" s="4">
        <v>17.879888133211001</v>
      </c>
      <c r="N247" s="4">
        <v>24.814879757020499</v>
      </c>
      <c r="O247" s="4">
        <v>7.6615307653826896</v>
      </c>
      <c r="V247" s="4">
        <v>5.5753999999999998E-2</v>
      </c>
      <c r="W247" s="4">
        <v>1.75414893700893E-2</v>
      </c>
    </row>
    <row r="248" spans="1:23">
      <c r="A248" s="4" t="s">
        <v>1319</v>
      </c>
      <c r="B248" s="4" t="s">
        <v>1399</v>
      </c>
      <c r="C248" s="4">
        <v>0.14416693</v>
      </c>
      <c r="D248" s="4">
        <v>0.25837080000000001</v>
      </c>
      <c r="F248" s="4" t="s">
        <v>2284</v>
      </c>
      <c r="G248" s="4">
        <v>2</v>
      </c>
      <c r="H248" s="4" t="s">
        <v>1280</v>
      </c>
      <c r="I248" s="4">
        <v>3</v>
      </c>
      <c r="J248" s="4" t="s">
        <v>2257</v>
      </c>
      <c r="K248" s="4" t="s">
        <v>724</v>
      </c>
      <c r="L248" s="4">
        <v>1.7782869824927701</v>
      </c>
      <c r="M248" s="4">
        <v>21.9666768274116</v>
      </c>
      <c r="N248" s="4">
        <v>2.7322637596058699</v>
      </c>
      <c r="O248" s="4">
        <v>10</v>
      </c>
      <c r="V248" s="4">
        <v>4.6690000000000002E-2</v>
      </c>
      <c r="W248" s="4">
        <v>1.75414893700893E-2</v>
      </c>
    </row>
    <row r="249" spans="1:23">
      <c r="A249" s="4" t="s">
        <v>1319</v>
      </c>
      <c r="B249" s="4" t="s">
        <v>1399</v>
      </c>
      <c r="C249" s="4">
        <v>0.10812519800000001</v>
      </c>
      <c r="D249" s="4">
        <v>0.25074776399999998</v>
      </c>
      <c r="F249" s="4" t="s">
        <v>2284</v>
      </c>
      <c r="G249" s="4">
        <v>1</v>
      </c>
      <c r="H249" s="4" t="s">
        <v>1279</v>
      </c>
      <c r="I249" s="4">
        <v>4</v>
      </c>
      <c r="J249" s="4" t="s">
        <v>2258</v>
      </c>
      <c r="K249" s="4" t="s">
        <v>2259</v>
      </c>
      <c r="L249" s="4">
        <v>-0.43229657820679401</v>
      </c>
      <c r="M249" s="4">
        <v>0.15604202718369301</v>
      </c>
      <c r="N249" s="4">
        <v>2.3684370055565802</v>
      </c>
      <c r="O249" s="4">
        <v>10</v>
      </c>
      <c r="V249" s="4">
        <v>0.01</v>
      </c>
      <c r="W249" s="4">
        <v>1.00002000889304E-2</v>
      </c>
    </row>
    <row r="250" spans="1:23">
      <c r="A250" s="4" t="s">
        <v>1319</v>
      </c>
      <c r="B250" s="4" t="s">
        <v>1399</v>
      </c>
      <c r="C250" s="4">
        <v>5.7224153999999999E-2</v>
      </c>
      <c r="D250" s="4">
        <v>0.244589324</v>
      </c>
      <c r="F250" s="4" t="s">
        <v>2284</v>
      </c>
      <c r="G250" s="4">
        <v>2</v>
      </c>
      <c r="H250" s="4" t="s">
        <v>1280</v>
      </c>
      <c r="I250" s="4">
        <v>4</v>
      </c>
      <c r="J250" s="4" t="s">
        <v>2258</v>
      </c>
      <c r="K250" s="4" t="s">
        <v>2259</v>
      </c>
      <c r="L250" s="4">
        <v>-0.80486380379353495</v>
      </c>
      <c r="M250" s="4">
        <v>0.156042027183694</v>
      </c>
      <c r="N250" s="4">
        <v>1.00437203607046</v>
      </c>
      <c r="O250" s="4">
        <v>10</v>
      </c>
      <c r="V250" s="4">
        <v>0.01</v>
      </c>
      <c r="W250" s="4">
        <v>1.00002000889304E-2</v>
      </c>
    </row>
    <row r="251" spans="1:23">
      <c r="A251" s="4" t="s">
        <v>1319</v>
      </c>
      <c r="B251" s="4" t="s">
        <v>1399</v>
      </c>
      <c r="C251" s="4">
        <v>1.6955422069999999</v>
      </c>
      <c r="D251" s="4">
        <v>1.733678866</v>
      </c>
      <c r="F251" s="4" t="s">
        <v>2284</v>
      </c>
      <c r="G251" s="4">
        <v>1</v>
      </c>
      <c r="H251" s="4" t="s">
        <v>1279</v>
      </c>
      <c r="I251" s="4">
        <v>5</v>
      </c>
      <c r="J251" s="4" t="s">
        <v>2260</v>
      </c>
      <c r="K251" s="4" t="s">
        <v>2261</v>
      </c>
      <c r="L251" s="4">
        <v>0.74222344082842395</v>
      </c>
      <c r="M251" s="4">
        <v>0.52579786854129695</v>
      </c>
      <c r="N251" s="4">
        <v>10.505207125598099</v>
      </c>
      <c r="O251" s="4">
        <v>10</v>
      </c>
      <c r="V251" s="4">
        <v>1.3183E-2</v>
      </c>
      <c r="W251" s="4">
        <v>1.0912825881726601E-2</v>
      </c>
    </row>
    <row r="252" spans="1:23">
      <c r="A252" s="4" t="s">
        <v>1319</v>
      </c>
      <c r="B252" s="4" t="s">
        <v>1399</v>
      </c>
      <c r="C252" s="4">
        <v>1.5912108760000001</v>
      </c>
      <c r="D252" s="4">
        <v>1.730958701</v>
      </c>
      <c r="F252" s="4" t="s">
        <v>2284</v>
      </c>
      <c r="G252" s="4">
        <v>2</v>
      </c>
      <c r="H252" s="4" t="s">
        <v>1280</v>
      </c>
      <c r="I252" s="4">
        <v>5</v>
      </c>
      <c r="J252" s="4" t="s">
        <v>2260</v>
      </c>
      <c r="K252" s="4" t="s">
        <v>2261</v>
      </c>
      <c r="L252" s="4">
        <v>-0.27276251910098498</v>
      </c>
      <c r="M252" s="4">
        <v>0.52579786854130295</v>
      </c>
      <c r="N252" s="4">
        <v>1.0148892670393399</v>
      </c>
      <c r="O252" s="4">
        <v>10</v>
      </c>
      <c r="V252" s="4">
        <v>1.0161999999999999E-2</v>
      </c>
      <c r="W252" s="4">
        <v>1.0912825881726601E-2</v>
      </c>
    </row>
    <row r="253" spans="1:23">
      <c r="A253" s="4" t="s">
        <v>1319</v>
      </c>
      <c r="B253" s="4" t="s">
        <v>1399</v>
      </c>
      <c r="C253" s="4">
        <v>1.5848877649999999</v>
      </c>
      <c r="D253" s="4">
        <v>1.502418375</v>
      </c>
      <c r="F253" s="4" t="s">
        <v>2284</v>
      </c>
      <c r="G253" s="4">
        <v>1</v>
      </c>
      <c r="H253" s="4" t="s">
        <v>1279</v>
      </c>
      <c r="I253" s="4">
        <v>6</v>
      </c>
      <c r="J253" s="4" t="s">
        <v>2262</v>
      </c>
      <c r="K253" s="4" t="s">
        <v>2263</v>
      </c>
      <c r="L253" s="4">
        <v>2.4363287000497</v>
      </c>
      <c r="M253" s="4">
        <v>6.7762957911126396</v>
      </c>
      <c r="N253" s="4">
        <v>40.3029044554062</v>
      </c>
      <c r="O253" s="4">
        <v>10</v>
      </c>
      <c r="V253" s="4">
        <v>2.1148E-2</v>
      </c>
      <c r="W253" s="4">
        <v>1.1890223471136101E-2</v>
      </c>
    </row>
    <row r="254" spans="1:23">
      <c r="A254" s="4" t="s">
        <v>1319</v>
      </c>
      <c r="B254" s="4" t="s">
        <v>1399</v>
      </c>
      <c r="C254" s="4">
        <v>1.0474233319999999</v>
      </c>
      <c r="D254" s="4">
        <v>0.54018238399999996</v>
      </c>
      <c r="F254" s="4" t="s">
        <v>2284</v>
      </c>
      <c r="G254" s="4">
        <v>2</v>
      </c>
      <c r="H254" s="4" t="s">
        <v>1280</v>
      </c>
      <c r="I254" s="4">
        <v>6</v>
      </c>
      <c r="J254" s="4" t="s">
        <v>2262</v>
      </c>
      <c r="K254" s="4" t="s">
        <v>2263</v>
      </c>
      <c r="L254" s="4">
        <v>0.92244204862756096</v>
      </c>
      <c r="M254" s="4">
        <v>6.7762957911126396</v>
      </c>
      <c r="N254" s="4">
        <v>1.2343823224018</v>
      </c>
      <c r="O254" s="4">
        <v>10</v>
      </c>
      <c r="V254" s="4">
        <v>1.9224999999999999E-2</v>
      </c>
      <c r="W254" s="4">
        <v>1.1890223471136101E-2</v>
      </c>
    </row>
    <row r="255" spans="1:23">
      <c r="A255" s="4" t="s">
        <v>1319</v>
      </c>
      <c r="B255" s="4" t="s">
        <v>1399</v>
      </c>
      <c r="C255" s="4">
        <v>0.74707556100000005</v>
      </c>
      <c r="D255" s="4">
        <v>0.35230022900000002</v>
      </c>
      <c r="F255" s="4" t="s">
        <v>2284</v>
      </c>
      <c r="G255" s="4">
        <v>1</v>
      </c>
      <c r="H255" s="4" t="s">
        <v>1279</v>
      </c>
      <c r="I255" s="4">
        <v>7</v>
      </c>
      <c r="J255" s="4" t="s">
        <v>2264</v>
      </c>
      <c r="K255" s="4" t="s">
        <v>2265</v>
      </c>
      <c r="L255" s="4">
        <v>1.9230067524038199</v>
      </c>
      <c r="M255" s="4">
        <v>2.1378271654396301</v>
      </c>
      <c r="N255" s="4">
        <v>39.177269222700602</v>
      </c>
      <c r="O255" s="4">
        <v>10</v>
      </c>
      <c r="V255" s="4">
        <v>0.01</v>
      </c>
      <c r="W255" s="4">
        <v>1.0000054416637399E-2</v>
      </c>
    </row>
    <row r="256" spans="1:23">
      <c r="A256" s="4" t="s">
        <v>1319</v>
      </c>
      <c r="B256" s="4" t="s">
        <v>1399</v>
      </c>
      <c r="C256" s="4">
        <v>0.139740752</v>
      </c>
      <c r="D256" s="4">
        <v>0.25837080000000001</v>
      </c>
      <c r="F256" s="4" t="s">
        <v>2284</v>
      </c>
      <c r="G256" s="4">
        <v>2</v>
      </c>
      <c r="H256" s="4" t="s">
        <v>1280</v>
      </c>
      <c r="I256" s="4">
        <v>7</v>
      </c>
      <c r="J256" s="4" t="s">
        <v>2264</v>
      </c>
      <c r="K256" s="4" t="s">
        <v>2265</v>
      </c>
      <c r="L256" s="4">
        <v>0.356708848730794</v>
      </c>
      <c r="M256" s="4">
        <v>2.1378271654396301</v>
      </c>
      <c r="N256" s="4">
        <v>1.0634969711534701</v>
      </c>
      <c r="O256" s="4">
        <v>10</v>
      </c>
      <c r="V256" s="4">
        <v>0.01</v>
      </c>
      <c r="W256" s="4">
        <v>1.0000054416637399E-2</v>
      </c>
    </row>
    <row r="257" spans="1:23">
      <c r="A257" s="4" t="s">
        <v>1319</v>
      </c>
      <c r="B257" s="4" t="s">
        <v>1399</v>
      </c>
      <c r="C257" s="4">
        <v>0.10085362</v>
      </c>
      <c r="D257" s="4">
        <v>0.25074776399999998</v>
      </c>
      <c r="F257" s="4" t="s">
        <v>2284</v>
      </c>
      <c r="G257" s="4">
        <v>1</v>
      </c>
      <c r="H257" s="4" t="s">
        <v>1279</v>
      </c>
      <c r="I257" s="4">
        <v>8</v>
      </c>
      <c r="J257" s="4" t="s">
        <v>2266</v>
      </c>
      <c r="K257" s="4" t="s">
        <v>2267</v>
      </c>
      <c r="L257" s="4">
        <v>1.7135396860412599</v>
      </c>
      <c r="M257" s="4">
        <v>1.5605199816914299</v>
      </c>
      <c r="N257" s="4">
        <v>33.133731764681201</v>
      </c>
      <c r="O257" s="4">
        <v>10</v>
      </c>
      <c r="V257" s="4">
        <v>2.4719999999999998E-3</v>
      </c>
      <c r="W257" s="4">
        <v>1.0248254188472699E-2</v>
      </c>
    </row>
    <row r="258" spans="1:23">
      <c r="A258" s="4" t="s">
        <v>1319</v>
      </c>
      <c r="B258" s="4" t="s">
        <v>1399</v>
      </c>
      <c r="C258" s="4">
        <v>5.4378754000000001E-2</v>
      </c>
      <c r="D258" s="4">
        <v>0.244589324</v>
      </c>
      <c r="F258" s="4" t="s">
        <v>2284</v>
      </c>
      <c r="G258" s="4">
        <v>2</v>
      </c>
      <c r="H258" s="4" t="s">
        <v>1280</v>
      </c>
      <c r="I258" s="4">
        <v>8</v>
      </c>
      <c r="J258" s="4" t="s">
        <v>2266</v>
      </c>
      <c r="K258" s="4" t="s">
        <v>2267</v>
      </c>
      <c r="L258" s="4">
        <v>0.21261501180195999</v>
      </c>
      <c r="M258" s="4">
        <v>1.5605199816914399</v>
      </c>
      <c r="N258" s="4">
        <v>1.04555209805715</v>
      </c>
      <c r="O258" s="4">
        <v>10</v>
      </c>
      <c r="V258" s="4">
        <v>1.923E-3</v>
      </c>
      <c r="W258" s="4">
        <v>1.0248254188472699E-2</v>
      </c>
    </row>
    <row r="259" spans="1:23">
      <c r="A259" s="4" t="s">
        <v>1319</v>
      </c>
      <c r="B259" s="4" t="s">
        <v>1399</v>
      </c>
      <c r="C259" s="4">
        <v>1.5026873220000001</v>
      </c>
      <c r="D259" s="4">
        <v>1.6092306970000001</v>
      </c>
      <c r="F259" s="4" t="s">
        <v>2284</v>
      </c>
      <c r="G259" s="4">
        <v>1</v>
      </c>
      <c r="H259" s="4" t="s">
        <v>1279</v>
      </c>
      <c r="I259" s="4">
        <v>9</v>
      </c>
      <c r="J259" s="4" t="s">
        <v>2268</v>
      </c>
      <c r="K259" s="4" t="s">
        <v>2269</v>
      </c>
      <c r="L259" s="4">
        <v>1.3301895746330299</v>
      </c>
      <c r="M259" s="4">
        <v>0.93259163639070197</v>
      </c>
      <c r="N259" s="4">
        <v>22.9349637641367</v>
      </c>
      <c r="O259" s="4">
        <v>10</v>
      </c>
      <c r="V259" s="4">
        <v>0.01</v>
      </c>
      <c r="W259" s="4">
        <v>1.05140694444065E-2</v>
      </c>
    </row>
    <row r="260" spans="1:23">
      <c r="A260" s="4" t="s">
        <v>1319</v>
      </c>
      <c r="B260" s="4" t="s">
        <v>1399</v>
      </c>
      <c r="C260" s="4">
        <v>1.6101802089999999</v>
      </c>
      <c r="D260" s="4">
        <v>1.597412241</v>
      </c>
      <c r="F260" s="4" t="s">
        <v>2284</v>
      </c>
      <c r="G260" s="4">
        <v>2</v>
      </c>
      <c r="H260" s="4" t="s">
        <v>1280</v>
      </c>
      <c r="I260" s="4">
        <v>9</v>
      </c>
      <c r="J260" s="4" t="s">
        <v>2268</v>
      </c>
      <c r="K260" s="4" t="s">
        <v>2269</v>
      </c>
      <c r="L260" s="4">
        <v>-1.88553316370428E-2</v>
      </c>
      <c r="M260" s="4">
        <v>0.93259163639069698</v>
      </c>
      <c r="N260" s="4">
        <v>1.0267226716659199</v>
      </c>
      <c r="O260" s="4">
        <v>10</v>
      </c>
      <c r="V260" s="4">
        <v>0.01</v>
      </c>
      <c r="W260" s="4">
        <v>1.05140694444065E-2</v>
      </c>
    </row>
    <row r="261" spans="1:23">
      <c r="A261" s="4" t="s">
        <v>1319</v>
      </c>
      <c r="B261" s="4" t="s">
        <v>1399</v>
      </c>
      <c r="C261" s="4">
        <v>1.5058488779999999</v>
      </c>
      <c r="D261" s="4">
        <v>0.96761182700000004</v>
      </c>
      <c r="F261" s="4" t="s">
        <v>2284</v>
      </c>
      <c r="G261" s="4">
        <v>1</v>
      </c>
      <c r="H261" s="4" t="s">
        <v>1279</v>
      </c>
      <c r="I261" s="4">
        <v>10</v>
      </c>
      <c r="J261" s="4" t="s">
        <v>2270</v>
      </c>
      <c r="K261" s="4" t="s">
        <v>2271</v>
      </c>
      <c r="L261" s="4">
        <v>2.4219703036215599</v>
      </c>
      <c r="M261" s="4">
        <v>6.4695030800657296</v>
      </c>
      <c r="N261" s="4">
        <v>40.841283279645502</v>
      </c>
      <c r="O261" s="4">
        <v>10</v>
      </c>
      <c r="V261" s="4">
        <v>0.01</v>
      </c>
      <c r="W261" s="4">
        <v>1.00000459182606E-2</v>
      </c>
    </row>
    <row r="262" spans="1:23">
      <c r="A262" s="4" t="s">
        <v>1319</v>
      </c>
      <c r="B262" s="4" t="s">
        <v>1399</v>
      </c>
      <c r="C262" s="4">
        <v>0.48782801100000001</v>
      </c>
      <c r="D262" s="4">
        <v>0.29328222100000001</v>
      </c>
      <c r="F262" s="4" t="s">
        <v>2284</v>
      </c>
      <c r="G262" s="4">
        <v>2</v>
      </c>
      <c r="H262" s="4" t="s">
        <v>1280</v>
      </c>
      <c r="I262" s="4">
        <v>10</v>
      </c>
      <c r="J262" s="4" t="s">
        <v>2270</v>
      </c>
      <c r="K262" s="4" t="s">
        <v>2271</v>
      </c>
      <c r="L262" s="4">
        <v>0.89771204823666895</v>
      </c>
      <c r="M262" s="4">
        <v>6.4695030800657296</v>
      </c>
      <c r="N262" s="4">
        <v>1.2213527771918899</v>
      </c>
      <c r="O262" s="4">
        <v>10</v>
      </c>
      <c r="V262" s="4">
        <v>0.01</v>
      </c>
      <c r="W262" s="4">
        <v>1.00000459182606E-2</v>
      </c>
    </row>
    <row r="263" spans="1:23">
      <c r="A263" s="4" t="s">
        <v>1319</v>
      </c>
      <c r="B263" s="4" t="s">
        <v>1399</v>
      </c>
      <c r="C263" s="4">
        <v>0.23458741699999999</v>
      </c>
      <c r="D263" s="4">
        <v>0.24360685100000001</v>
      </c>
      <c r="F263" s="4" t="s">
        <v>2284</v>
      </c>
      <c r="G263" s="4">
        <v>1</v>
      </c>
      <c r="H263" s="4" t="s">
        <v>1279</v>
      </c>
      <c r="I263" s="4">
        <v>11</v>
      </c>
      <c r="J263" s="4" t="s">
        <v>1319</v>
      </c>
      <c r="K263" s="4" t="s">
        <v>2272</v>
      </c>
      <c r="L263" s="4">
        <v>2.5963823174240002</v>
      </c>
      <c r="M263" s="4">
        <v>19.232091375327901</v>
      </c>
      <c r="N263" s="4">
        <v>20.528433194352299</v>
      </c>
      <c r="O263" s="4">
        <v>9.7695847923961896</v>
      </c>
      <c r="V263" s="4">
        <v>3.0209999999999998E-3</v>
      </c>
      <c r="W263" s="4">
        <v>1.02094837362268E-2</v>
      </c>
    </row>
    <row r="264" spans="1:23">
      <c r="A264" s="4" t="s">
        <v>1319</v>
      </c>
      <c r="B264" s="4" t="s">
        <v>1399</v>
      </c>
      <c r="C264" s="4">
        <v>5.0584888000000001E-2</v>
      </c>
      <c r="D264" s="4">
        <v>0.21943027900000001</v>
      </c>
      <c r="F264" s="4" t="s">
        <v>2284</v>
      </c>
      <c r="G264" s="4">
        <v>2</v>
      </c>
      <c r="H264" s="4" t="s">
        <v>1280</v>
      </c>
      <c r="I264" s="4">
        <v>11</v>
      </c>
      <c r="J264" s="4" t="s">
        <v>1319</v>
      </c>
      <c r="K264" s="4" t="s">
        <v>2272</v>
      </c>
      <c r="L264" s="4">
        <v>1.6492874669114701</v>
      </c>
      <c r="M264" s="4">
        <v>19.5975764958139</v>
      </c>
      <c r="N264" s="4">
        <v>2.2755432724095299</v>
      </c>
      <c r="O264" s="4">
        <v>10</v>
      </c>
      <c r="V264" s="4">
        <v>2.7500000000000002E-4</v>
      </c>
      <c r="W264" s="4">
        <v>1.02094837362268E-2</v>
      </c>
    </row>
    <row r="265" spans="1:23">
      <c r="A265" s="4" t="s">
        <v>1319</v>
      </c>
      <c r="B265" s="4" t="s">
        <v>1399</v>
      </c>
      <c r="C265" s="4">
        <v>4.3945620999999997E-2</v>
      </c>
      <c r="D265" s="4">
        <v>0.21727063399999999</v>
      </c>
      <c r="F265" s="4" t="s">
        <v>2284</v>
      </c>
      <c r="G265" s="4">
        <v>1</v>
      </c>
      <c r="H265" s="4" t="s">
        <v>1279</v>
      </c>
      <c r="I265" s="4">
        <v>12</v>
      </c>
      <c r="J265" s="4" t="s">
        <v>1319</v>
      </c>
      <c r="K265" s="4" t="s">
        <v>2273</v>
      </c>
      <c r="L265" s="4">
        <v>2.4497053143108398</v>
      </c>
      <c r="M265" s="4">
        <v>11.0017046177746</v>
      </c>
      <c r="N265" s="4">
        <v>25.600316454569001</v>
      </c>
      <c r="O265" s="4">
        <v>10</v>
      </c>
      <c r="V265" s="4">
        <v>0.01</v>
      </c>
      <c r="W265" s="4">
        <v>1.04337859858752E-2</v>
      </c>
    </row>
    <row r="266" spans="1:23">
      <c r="A266" s="4" t="s">
        <v>1319</v>
      </c>
      <c r="B266" s="4" t="s">
        <v>1399</v>
      </c>
      <c r="C266" s="4">
        <v>3.7622509999999998E-2</v>
      </c>
      <c r="D266" s="4">
        <v>0.215469678</v>
      </c>
      <c r="F266" s="4" t="s">
        <v>2284</v>
      </c>
      <c r="G266" s="4">
        <v>2</v>
      </c>
      <c r="H266" s="4" t="s">
        <v>1280</v>
      </c>
      <c r="I266" s="4">
        <v>12</v>
      </c>
      <c r="J266" s="4" t="s">
        <v>1319</v>
      </c>
      <c r="K266" s="4" t="s">
        <v>2273</v>
      </c>
      <c r="L266" s="4">
        <v>1.20233968742479</v>
      </c>
      <c r="M266" s="4">
        <v>11.0017046177746</v>
      </c>
      <c r="N266" s="4">
        <v>1.4483706209890901</v>
      </c>
      <c r="O266" s="4">
        <v>10</v>
      </c>
      <c r="V266" s="4">
        <v>0.01</v>
      </c>
      <c r="W266" s="4">
        <v>1.04337859858752E-2</v>
      </c>
    </row>
    <row r="267" spans="1:23">
      <c r="A267" s="4" t="s">
        <v>1319</v>
      </c>
      <c r="B267" s="4" t="s">
        <v>1399</v>
      </c>
      <c r="C267" s="4">
        <v>1.575403098</v>
      </c>
      <c r="D267" s="4">
        <v>1.6092306970000001</v>
      </c>
      <c r="F267" s="4" t="s">
        <v>2284</v>
      </c>
      <c r="G267" s="4">
        <v>1</v>
      </c>
      <c r="H267" s="4" t="s">
        <v>1279</v>
      </c>
      <c r="I267" s="4">
        <v>13</v>
      </c>
      <c r="J267" s="4" t="s">
        <v>1319</v>
      </c>
      <c r="K267" s="4" t="s">
        <v>2274</v>
      </c>
      <c r="L267" s="4">
        <v>2.3425070107504702</v>
      </c>
      <c r="M267" s="4">
        <v>11.073294358196501</v>
      </c>
      <c r="N267" s="4">
        <v>19.871477803600399</v>
      </c>
      <c r="O267" s="4">
        <v>10</v>
      </c>
      <c r="V267" s="4">
        <v>4.6965E-2</v>
      </c>
      <c r="W267" s="4">
        <v>7.8866878110885996E-2</v>
      </c>
    </row>
    <row r="268" spans="1:23">
      <c r="A268" s="4" t="s">
        <v>1319</v>
      </c>
      <c r="B268" s="4" t="s">
        <v>1399</v>
      </c>
      <c r="C268" s="4">
        <v>1.575403098</v>
      </c>
      <c r="D268" s="4">
        <v>1.597412241</v>
      </c>
      <c r="F268" s="4" t="s">
        <v>2284</v>
      </c>
      <c r="G268" s="4">
        <v>2</v>
      </c>
      <c r="H268" s="4" t="s">
        <v>1280</v>
      </c>
      <c r="I268" s="4">
        <v>13</v>
      </c>
      <c r="J268" s="4" t="s">
        <v>1319</v>
      </c>
      <c r="K268" s="4" t="s">
        <v>2274</v>
      </c>
      <c r="L268" s="4">
        <v>1.2064451789711099</v>
      </c>
      <c r="M268" s="4">
        <v>11.073294358196501</v>
      </c>
      <c r="N268" s="4">
        <v>1.4526745706150499</v>
      </c>
      <c r="O268" s="4">
        <v>10</v>
      </c>
      <c r="V268" s="4">
        <v>4.0374E-2</v>
      </c>
      <c r="W268" s="4">
        <v>7.8866878110885996E-2</v>
      </c>
    </row>
    <row r="269" spans="1:23">
      <c r="A269" s="4" t="s">
        <v>1319</v>
      </c>
      <c r="B269" s="4" t="s">
        <v>1399</v>
      </c>
      <c r="C269" s="4">
        <v>1.445779323</v>
      </c>
      <c r="D269" s="4">
        <v>0.96761182700000004</v>
      </c>
      <c r="F269" s="4" t="s">
        <v>2284</v>
      </c>
      <c r="G269" s="4">
        <v>1</v>
      </c>
      <c r="H269" s="4" t="s">
        <v>1279</v>
      </c>
      <c r="I269" s="4">
        <v>14</v>
      </c>
      <c r="J269" s="4" t="s">
        <v>1281</v>
      </c>
      <c r="K269" s="4" t="s">
        <v>2275</v>
      </c>
      <c r="L269" s="4">
        <v>2.4772982412069</v>
      </c>
      <c r="M269" s="4">
        <v>7.6100599861607297</v>
      </c>
      <c r="N269" s="4">
        <v>39.437571240568097</v>
      </c>
      <c r="O269" s="4">
        <v>10</v>
      </c>
      <c r="V269" s="4">
        <v>10.184290000000001</v>
      </c>
      <c r="W269" s="4">
        <v>20.0113144980699</v>
      </c>
    </row>
    <row r="270" spans="1:23">
      <c r="A270" s="4" t="s">
        <v>1319</v>
      </c>
      <c r="B270" s="4" t="s">
        <v>1399</v>
      </c>
      <c r="C270" s="4">
        <v>0.48782801100000001</v>
      </c>
      <c r="D270" s="4">
        <v>0.29328222100000001</v>
      </c>
      <c r="F270" s="4" t="s">
        <v>2284</v>
      </c>
      <c r="G270" s="4">
        <v>2</v>
      </c>
      <c r="H270" s="4" t="s">
        <v>1280</v>
      </c>
      <c r="I270" s="4">
        <v>14</v>
      </c>
      <c r="J270" s="4" t="s">
        <v>1281</v>
      </c>
      <c r="K270" s="4" t="s">
        <v>2275</v>
      </c>
      <c r="L270" s="4">
        <v>0.98563082446360695</v>
      </c>
      <c r="M270" s="4">
        <v>7.6100599861607199</v>
      </c>
      <c r="N270" s="4">
        <v>1.27128447783291</v>
      </c>
      <c r="O270" s="4">
        <v>10</v>
      </c>
      <c r="V270" s="4">
        <v>11.41197</v>
      </c>
      <c r="W270" s="4">
        <v>20.0113144980699</v>
      </c>
    </row>
    <row r="271" spans="1:23">
      <c r="A271" s="4" t="s">
        <v>1319</v>
      </c>
      <c r="B271" s="4" t="s">
        <v>1399</v>
      </c>
      <c r="C271" s="4">
        <v>0.245652861</v>
      </c>
      <c r="D271" s="4">
        <v>0.24360685100000001</v>
      </c>
      <c r="F271" s="4" t="s">
        <v>2284</v>
      </c>
      <c r="G271" s="4">
        <v>1</v>
      </c>
      <c r="H271" s="4" t="s">
        <v>1279</v>
      </c>
      <c r="I271" s="4">
        <v>15</v>
      </c>
      <c r="J271" s="4" t="s">
        <v>2276</v>
      </c>
      <c r="K271" s="4" t="s">
        <v>2277</v>
      </c>
      <c r="L271" s="4">
        <v>1.84999354343824</v>
      </c>
      <c r="M271" s="4">
        <v>1.6894131661367999</v>
      </c>
      <c r="N271" s="4">
        <v>41.904211105739698</v>
      </c>
      <c r="O271" s="4">
        <v>10</v>
      </c>
      <c r="V271" s="4">
        <v>18.297450000000001</v>
      </c>
      <c r="W271" s="4">
        <v>21.219003189983699</v>
      </c>
    </row>
    <row r="272" spans="1:23">
      <c r="A272" s="4" t="s">
        <v>1319</v>
      </c>
      <c r="B272" s="4" t="s">
        <v>1399</v>
      </c>
      <c r="C272" s="4">
        <v>5.4062599000000003E-2</v>
      </c>
      <c r="D272" s="4">
        <v>0.21943027900000001</v>
      </c>
      <c r="F272" s="4" t="s">
        <v>2284</v>
      </c>
      <c r="G272" s="4">
        <v>2</v>
      </c>
      <c r="H272" s="4" t="s">
        <v>1280</v>
      </c>
      <c r="I272" s="4">
        <v>15</v>
      </c>
      <c r="J272" s="4" t="s">
        <v>2276</v>
      </c>
      <c r="K272" s="4" t="s">
        <v>2277</v>
      </c>
      <c r="L272" s="4">
        <v>0.248720282386617</v>
      </c>
      <c r="M272" s="4">
        <v>1.6894131661367999</v>
      </c>
      <c r="N272" s="4">
        <v>1.04950474858776</v>
      </c>
      <c r="O272" s="4">
        <v>10</v>
      </c>
      <c r="V272" s="4">
        <v>17.26202</v>
      </c>
      <c r="W272" s="4">
        <v>21.219003189983699</v>
      </c>
    </row>
    <row r="273" spans="1:23">
      <c r="A273" s="4" t="s">
        <v>1319</v>
      </c>
      <c r="B273" s="4" t="s">
        <v>1399</v>
      </c>
      <c r="C273" s="4">
        <v>4.3629465999999999E-2</v>
      </c>
      <c r="D273" s="4">
        <v>0.21727063399999999</v>
      </c>
      <c r="F273" s="4" t="s">
        <v>2285</v>
      </c>
      <c r="G273" s="4">
        <v>1</v>
      </c>
      <c r="H273" s="4" t="s">
        <v>1279</v>
      </c>
      <c r="I273" s="4">
        <v>1</v>
      </c>
      <c r="J273" s="4" t="s">
        <v>196</v>
      </c>
      <c r="K273" s="4" t="s">
        <v>2255</v>
      </c>
      <c r="L273" s="4">
        <v>1.9088077246633399</v>
      </c>
      <c r="M273" s="4">
        <v>6.8375680183547498</v>
      </c>
      <c r="N273" s="4">
        <v>11.855123021702701</v>
      </c>
      <c r="O273" s="4">
        <v>1.0089044522261099</v>
      </c>
      <c r="V273" s="4">
        <v>0.15682499999999999</v>
      </c>
      <c r="W273" s="4">
        <v>2.6295456569249202E-2</v>
      </c>
    </row>
    <row r="274" spans="1:23">
      <c r="A274" s="4" t="s">
        <v>1319</v>
      </c>
      <c r="B274" s="4" t="s">
        <v>1399</v>
      </c>
      <c r="C274" s="4">
        <v>3.6041732999999999E-2</v>
      </c>
      <c r="D274" s="4">
        <v>0.215469678</v>
      </c>
      <c r="F274" s="4" t="s">
        <v>2285</v>
      </c>
      <c r="G274" s="4">
        <v>2</v>
      </c>
      <c r="H274" s="4" t="s">
        <v>1280</v>
      </c>
      <c r="I274" s="4">
        <v>1</v>
      </c>
      <c r="J274" s="4" t="s">
        <v>196</v>
      </c>
      <c r="K274" s="4" t="s">
        <v>2255</v>
      </c>
      <c r="L274" s="4">
        <v>1.4199336458521801</v>
      </c>
      <c r="M274" s="4">
        <v>13.131734372864001</v>
      </c>
      <c r="N274" s="4">
        <v>2.0026799808823799</v>
      </c>
      <c r="O274" s="4">
        <v>5.4848424212106002</v>
      </c>
      <c r="V274" s="4">
        <v>0.14226900000000001</v>
      </c>
      <c r="W274" s="4">
        <v>2.6295456569249202E-2</v>
      </c>
    </row>
    <row r="275" spans="1:23">
      <c r="A275" s="4" t="s">
        <v>1319</v>
      </c>
      <c r="B275" s="4" t="s">
        <v>1399</v>
      </c>
      <c r="C275" s="4">
        <v>1.474233323</v>
      </c>
      <c r="D275" s="4">
        <v>1.4022786110000001</v>
      </c>
      <c r="F275" s="4" t="s">
        <v>2285</v>
      </c>
      <c r="G275" s="4">
        <v>1</v>
      </c>
      <c r="H275" s="4" t="s">
        <v>1279</v>
      </c>
      <c r="I275" s="4">
        <v>2</v>
      </c>
      <c r="J275" s="4" t="s">
        <v>196</v>
      </c>
      <c r="K275" s="4" t="s">
        <v>2256</v>
      </c>
      <c r="L275" s="4">
        <v>2.1399203558161499</v>
      </c>
      <c r="M275" s="4">
        <v>7.6209239197771996</v>
      </c>
      <c r="N275" s="4">
        <v>18.109761455535899</v>
      </c>
      <c r="O275" s="4">
        <v>0.55787893946973399</v>
      </c>
      <c r="V275" s="4">
        <v>6.317221</v>
      </c>
      <c r="W275" s="4">
        <v>4.7427621154308399</v>
      </c>
    </row>
    <row r="276" spans="1:23">
      <c r="A276" s="4" t="s">
        <v>1319</v>
      </c>
      <c r="B276" s="4" t="s">
        <v>1399</v>
      </c>
      <c r="C276" s="4">
        <v>1.407840658</v>
      </c>
      <c r="D276" s="4">
        <v>1.3792282899999999</v>
      </c>
      <c r="F276" s="4" t="s">
        <v>2285</v>
      </c>
      <c r="G276" s="4">
        <v>2</v>
      </c>
      <c r="H276" s="4" t="s">
        <v>1280</v>
      </c>
      <c r="I276" s="4">
        <v>2</v>
      </c>
      <c r="J276" s="4" t="s">
        <v>196</v>
      </c>
      <c r="K276" s="4" t="s">
        <v>2256</v>
      </c>
      <c r="L276" s="4">
        <v>1.58197808033321</v>
      </c>
      <c r="M276" s="4">
        <v>15.484433836237701</v>
      </c>
      <c r="N276" s="4">
        <v>2.4665092564149398</v>
      </c>
      <c r="O276" s="4">
        <v>3.47973986993496</v>
      </c>
      <c r="V276" s="4">
        <v>4.408404</v>
      </c>
      <c r="W276" s="4">
        <v>4.7427621154308399</v>
      </c>
    </row>
    <row r="277" spans="1:23">
      <c r="A277" s="4" t="s">
        <v>1319</v>
      </c>
      <c r="B277" s="4" t="s">
        <v>1399</v>
      </c>
      <c r="C277" s="4">
        <v>1.1422699970000001</v>
      </c>
      <c r="D277" s="4">
        <v>0.61253200200000002</v>
      </c>
      <c r="F277" s="4" t="s">
        <v>2285</v>
      </c>
      <c r="G277" s="4">
        <v>1</v>
      </c>
      <c r="H277" s="4" t="s">
        <v>1279</v>
      </c>
      <c r="I277" s="4">
        <v>3</v>
      </c>
      <c r="J277" s="4" t="s">
        <v>2257</v>
      </c>
      <c r="K277" s="4" t="s">
        <v>724</v>
      </c>
      <c r="L277" s="4">
        <v>2.5664609811286399</v>
      </c>
      <c r="M277" s="4">
        <v>22.0064027187913</v>
      </c>
      <c r="N277" s="4">
        <v>16.7460323102089</v>
      </c>
      <c r="O277" s="4">
        <v>0.2</v>
      </c>
      <c r="V277" s="4">
        <v>10.697889999999999</v>
      </c>
      <c r="W277" s="4">
        <v>5.02852849787911</v>
      </c>
    </row>
    <row r="278" spans="1:23">
      <c r="A278" s="4" t="s">
        <v>1319</v>
      </c>
      <c r="B278" s="4" t="s">
        <v>1399</v>
      </c>
      <c r="C278" s="4">
        <v>0.24754979399999999</v>
      </c>
      <c r="D278" s="4">
        <v>0.239372798</v>
      </c>
      <c r="F278" s="4" t="s">
        <v>2285</v>
      </c>
      <c r="G278" s="4">
        <v>2</v>
      </c>
      <c r="H278" s="4" t="s">
        <v>1280</v>
      </c>
      <c r="I278" s="4">
        <v>3</v>
      </c>
      <c r="J278" s="4" t="s">
        <v>2257</v>
      </c>
      <c r="K278" s="4" t="s">
        <v>724</v>
      </c>
      <c r="L278" s="4">
        <v>2.1708069334562201</v>
      </c>
      <c r="M278" s="4">
        <v>21.427049911241301</v>
      </c>
      <c r="N278" s="4">
        <v>6.9158338696154997</v>
      </c>
      <c r="O278" s="4">
        <v>0.67553776888444195</v>
      </c>
      <c r="V278" s="4">
        <v>10.060700000000001</v>
      </c>
      <c r="W278" s="4">
        <v>5.02852849787911</v>
      </c>
    </row>
    <row r="279" spans="1:23">
      <c r="A279" s="4" t="s">
        <v>1319</v>
      </c>
      <c r="B279" s="4" t="s">
        <v>1399</v>
      </c>
      <c r="C279" s="4">
        <v>0.116345242</v>
      </c>
      <c r="D279" s="4">
        <v>0.21884891200000001</v>
      </c>
      <c r="F279" s="4" t="s">
        <v>2285</v>
      </c>
      <c r="G279" s="4">
        <v>1</v>
      </c>
      <c r="H279" s="4" t="s">
        <v>1279</v>
      </c>
      <c r="I279" s="4">
        <v>4</v>
      </c>
      <c r="J279" s="4" t="s">
        <v>2258</v>
      </c>
      <c r="K279" s="4" t="s">
        <v>2259</v>
      </c>
      <c r="L279" s="4">
        <v>1.2942986355653201</v>
      </c>
      <c r="M279" s="4">
        <v>4.9187406892050998</v>
      </c>
      <c r="N279" s="4">
        <v>4.0035449409082604</v>
      </c>
      <c r="O279" s="4">
        <v>5.15147573786893</v>
      </c>
      <c r="V279" s="4">
        <v>1.6479999999999999E-3</v>
      </c>
      <c r="W279" s="4">
        <v>1.02184455097943E-2</v>
      </c>
    </row>
    <row r="280" spans="1:23">
      <c r="A280" s="4" t="s">
        <v>1319</v>
      </c>
      <c r="B280" s="4" t="s">
        <v>1399</v>
      </c>
      <c r="C280" s="4">
        <v>2.6557066000000001E-2</v>
      </c>
      <c r="D280" s="4">
        <v>0.208303139</v>
      </c>
      <c r="F280" s="4" t="s">
        <v>2285</v>
      </c>
      <c r="G280" s="4">
        <v>2</v>
      </c>
      <c r="H280" s="4" t="s">
        <v>1280</v>
      </c>
      <c r="I280" s="4">
        <v>4</v>
      </c>
      <c r="J280" s="4" t="s">
        <v>2258</v>
      </c>
      <c r="K280" s="4" t="s">
        <v>2259</v>
      </c>
      <c r="L280" s="4">
        <v>0.94109802336450898</v>
      </c>
      <c r="M280" s="4">
        <v>6.8442137396852498</v>
      </c>
      <c r="N280" s="4">
        <v>1.2757760930697499</v>
      </c>
      <c r="O280" s="4">
        <v>10</v>
      </c>
      <c r="V280" s="4">
        <v>2.1970000000000002E-3</v>
      </c>
      <c r="W280" s="4">
        <v>1.02184455097943E-2</v>
      </c>
    </row>
    <row r="281" spans="1:23">
      <c r="A281" s="4" t="s">
        <v>1319</v>
      </c>
      <c r="B281" s="4" t="s">
        <v>1399</v>
      </c>
      <c r="C281" s="4">
        <v>3.6990199000000001E-2</v>
      </c>
      <c r="D281" s="4">
        <v>0.207300925</v>
      </c>
      <c r="F281" s="4" t="s">
        <v>2285</v>
      </c>
      <c r="G281" s="4">
        <v>1</v>
      </c>
      <c r="H281" s="4" t="s">
        <v>1279</v>
      </c>
      <c r="I281" s="4">
        <v>5</v>
      </c>
      <c r="J281" s="4" t="s">
        <v>2260</v>
      </c>
      <c r="K281" s="4" t="s">
        <v>2261</v>
      </c>
      <c r="L281" s="4">
        <v>1.6810247781993699</v>
      </c>
      <c r="M281" s="4">
        <v>5.8689814698742699</v>
      </c>
      <c r="N281" s="4">
        <v>8.1745158431721894</v>
      </c>
      <c r="O281" s="4">
        <v>1.7540770385192499</v>
      </c>
      <c r="V281" s="4">
        <v>0.32436100000000001</v>
      </c>
      <c r="W281" s="4">
        <v>7.34441034927273E-2</v>
      </c>
    </row>
    <row r="282" spans="1:23">
      <c r="A282" s="4" t="s">
        <v>1319</v>
      </c>
      <c r="B282" s="4" t="s">
        <v>1399</v>
      </c>
      <c r="C282" s="4">
        <v>3.1931710000000002E-2</v>
      </c>
      <c r="D282" s="4">
        <v>0.20645199</v>
      </c>
      <c r="F282" s="4" t="s">
        <v>2285</v>
      </c>
      <c r="G282" s="4">
        <v>2</v>
      </c>
      <c r="H282" s="4" t="s">
        <v>1280</v>
      </c>
      <c r="I282" s="4">
        <v>5</v>
      </c>
      <c r="J282" s="4" t="s">
        <v>2260</v>
      </c>
      <c r="K282" s="4" t="s">
        <v>2261</v>
      </c>
      <c r="L282" s="4">
        <v>1.2625134073795501</v>
      </c>
      <c r="M282" s="4">
        <v>10.803661056925501</v>
      </c>
      <c r="N282" s="4">
        <v>1.6941133186142401</v>
      </c>
      <c r="O282" s="4">
        <v>8.6812406203101506</v>
      </c>
      <c r="V282" s="4">
        <v>0.31886799999999998</v>
      </c>
      <c r="W282" s="4">
        <v>7.34441034927273E-2</v>
      </c>
    </row>
    <row r="283" spans="1:23">
      <c r="A283" s="4" t="s">
        <v>1319</v>
      </c>
      <c r="B283" s="4" t="s">
        <v>1399</v>
      </c>
      <c r="C283" s="4">
        <v>1.515333544</v>
      </c>
      <c r="D283" s="4">
        <v>1.4022786110000001</v>
      </c>
      <c r="F283" s="4" t="s">
        <v>2285</v>
      </c>
      <c r="G283" s="4">
        <v>1</v>
      </c>
      <c r="H283" s="4" t="s">
        <v>1279</v>
      </c>
      <c r="I283" s="4">
        <v>6</v>
      </c>
      <c r="J283" s="4" t="s">
        <v>2262</v>
      </c>
      <c r="K283" s="4" t="s">
        <v>2263</v>
      </c>
      <c r="L283" s="4">
        <v>2.41927011624148</v>
      </c>
      <c r="M283" s="4">
        <v>9.2783684559642001</v>
      </c>
      <c r="N283" s="4">
        <v>28.300786256467699</v>
      </c>
      <c r="O283" s="4">
        <v>0.26863431715857899</v>
      </c>
      <c r="V283" s="4">
        <v>0.40401500000000001</v>
      </c>
      <c r="W283" s="4">
        <v>7.7274888032621794E-2</v>
      </c>
    </row>
    <row r="284" spans="1:23">
      <c r="A284" s="4" t="s">
        <v>1319</v>
      </c>
      <c r="B284" s="4" t="s">
        <v>1399</v>
      </c>
      <c r="C284" s="4">
        <v>1.493202656</v>
      </c>
      <c r="D284" s="4">
        <v>1.3792282899999999</v>
      </c>
      <c r="F284" s="4" t="s">
        <v>2285</v>
      </c>
      <c r="G284" s="4">
        <v>2</v>
      </c>
      <c r="H284" s="4" t="s">
        <v>1280</v>
      </c>
      <c r="I284" s="4">
        <v>6</v>
      </c>
      <c r="J284" s="4" t="s">
        <v>2262</v>
      </c>
      <c r="K284" s="4" t="s">
        <v>2263</v>
      </c>
      <c r="L284" s="4">
        <v>1.8072704887028299</v>
      </c>
      <c r="M284" s="4">
        <v>18.367517063849299</v>
      </c>
      <c r="N284" s="4">
        <v>3.4931725337814798</v>
      </c>
      <c r="O284" s="4">
        <v>1.87173586793396</v>
      </c>
      <c r="V284" s="4">
        <v>0.39577400000000001</v>
      </c>
      <c r="W284" s="4">
        <v>7.7274888032621794E-2</v>
      </c>
    </row>
    <row r="285" spans="1:23">
      <c r="A285" s="4" t="s">
        <v>1319</v>
      </c>
      <c r="B285" s="4" t="s">
        <v>1399</v>
      </c>
      <c r="C285" s="4">
        <v>1.0727157759999999</v>
      </c>
      <c r="D285" s="4">
        <v>0.61253200200000002</v>
      </c>
      <c r="F285" s="4" t="s">
        <v>2285</v>
      </c>
      <c r="G285" s="4">
        <v>1</v>
      </c>
      <c r="H285" s="4" t="s">
        <v>1279</v>
      </c>
      <c r="I285" s="4">
        <v>7</v>
      </c>
      <c r="J285" s="4" t="s">
        <v>2264</v>
      </c>
      <c r="K285" s="4" t="s">
        <v>2265</v>
      </c>
      <c r="L285" s="4">
        <v>2.1073951610583199</v>
      </c>
      <c r="M285" s="4">
        <v>7.2708528253608202</v>
      </c>
      <c r="N285" s="4">
        <v>17.612045841706099</v>
      </c>
      <c r="O285" s="4">
        <v>0.59709854927463701</v>
      </c>
      <c r="V285" s="4">
        <v>1E-3</v>
      </c>
      <c r="W285" s="4">
        <v>1.00547518944222E-2</v>
      </c>
    </row>
    <row r="286" spans="1:23">
      <c r="A286" s="4" t="s">
        <v>1319</v>
      </c>
      <c r="B286" s="4" t="s">
        <v>1399</v>
      </c>
      <c r="C286" s="4">
        <v>0.235535884</v>
      </c>
      <c r="D286" s="4">
        <v>0.239372798</v>
      </c>
      <c r="F286" s="4" t="s">
        <v>2285</v>
      </c>
      <c r="G286" s="4">
        <v>2</v>
      </c>
      <c r="H286" s="4" t="s">
        <v>1280</v>
      </c>
      <c r="I286" s="4">
        <v>7</v>
      </c>
      <c r="J286" s="4" t="s">
        <v>2264</v>
      </c>
      <c r="K286" s="4" t="s">
        <v>2265</v>
      </c>
      <c r="L286" s="4">
        <v>1.5543425441877201</v>
      </c>
      <c r="M286" s="4">
        <v>15.094181145887999</v>
      </c>
      <c r="N286" s="4">
        <v>2.3742857529992101</v>
      </c>
      <c r="O286" s="4">
        <v>3.7591795897948899</v>
      </c>
      <c r="V286" s="4">
        <v>1E-3</v>
      </c>
      <c r="W286" s="4">
        <v>1.00547518944222E-2</v>
      </c>
    </row>
    <row r="287" spans="1:23">
      <c r="A287" s="4" t="s">
        <v>1319</v>
      </c>
      <c r="B287" s="4" t="s">
        <v>1399</v>
      </c>
      <c r="C287" s="4">
        <v>0.116345242</v>
      </c>
      <c r="D287" s="4">
        <v>0.21884891200000001</v>
      </c>
      <c r="F287" s="4" t="s">
        <v>2285</v>
      </c>
      <c r="G287" s="4">
        <v>1</v>
      </c>
      <c r="H287" s="4" t="s">
        <v>1279</v>
      </c>
      <c r="I287" s="4">
        <v>8</v>
      </c>
      <c r="J287" s="4" t="s">
        <v>2266</v>
      </c>
      <c r="K287" s="4" t="s">
        <v>2267</v>
      </c>
      <c r="L287" s="4">
        <v>2.01494099948623</v>
      </c>
      <c r="M287" s="4">
        <v>6.8828194653299803</v>
      </c>
      <c r="N287" s="4">
        <v>15.037464712649101</v>
      </c>
      <c r="O287" s="4">
        <v>0.74907453726863404</v>
      </c>
      <c r="V287" s="4">
        <v>0.16451499999999999</v>
      </c>
      <c r="W287" s="4">
        <v>2.5901836844427501E-2</v>
      </c>
    </row>
    <row r="288" spans="1:23">
      <c r="A288" s="4" t="s">
        <v>1319</v>
      </c>
      <c r="B288" s="4" t="s">
        <v>1399</v>
      </c>
      <c r="C288" s="4">
        <v>3.6674044000000003E-2</v>
      </c>
      <c r="D288" s="4">
        <v>0.208303139</v>
      </c>
      <c r="F288" s="4" t="s">
        <v>2285</v>
      </c>
      <c r="G288" s="4">
        <v>2</v>
      </c>
      <c r="H288" s="4" t="s">
        <v>1280</v>
      </c>
      <c r="I288" s="4">
        <v>8</v>
      </c>
      <c r="J288" s="4" t="s">
        <v>2266</v>
      </c>
      <c r="K288" s="4" t="s">
        <v>2267</v>
      </c>
      <c r="L288" s="4">
        <v>1.4883940092882999</v>
      </c>
      <c r="M288" s="4">
        <v>14.1392958685634</v>
      </c>
      <c r="N288" s="4">
        <v>2.1775404288139799</v>
      </c>
      <c r="O288" s="4">
        <v>4.5239619809904896</v>
      </c>
      <c r="V288" s="4">
        <v>0.14940999999999999</v>
      </c>
      <c r="W288" s="4">
        <v>2.5901836844427501E-2</v>
      </c>
    </row>
    <row r="289" spans="1:23">
      <c r="A289" s="4" t="s">
        <v>1319</v>
      </c>
      <c r="B289" s="4" t="s">
        <v>1399</v>
      </c>
      <c r="C289" s="4">
        <v>3.1931710000000002E-2</v>
      </c>
      <c r="D289" s="4">
        <v>0.207300925</v>
      </c>
      <c r="F289" s="4" t="s">
        <v>2285</v>
      </c>
      <c r="G289" s="4">
        <v>1</v>
      </c>
      <c r="H289" s="4" t="s">
        <v>1279</v>
      </c>
      <c r="I289" s="4">
        <v>9</v>
      </c>
      <c r="J289" s="4" t="s">
        <v>2268</v>
      </c>
      <c r="K289" s="4" t="s">
        <v>2269</v>
      </c>
      <c r="L289" s="4">
        <v>1.8619648711494201</v>
      </c>
      <c r="M289" s="4">
        <v>6.2906380746703503</v>
      </c>
      <c r="N289" s="4">
        <v>11.568316762662301</v>
      </c>
      <c r="O289" s="4">
        <v>1.0922461230615299</v>
      </c>
      <c r="V289" s="4">
        <v>0.40400999999999998</v>
      </c>
      <c r="W289" s="4">
        <v>2.6861997164866699E-2</v>
      </c>
    </row>
    <row r="290" spans="1:23">
      <c r="A290" s="4" t="s">
        <v>1319</v>
      </c>
      <c r="B290" s="4" t="s">
        <v>1399</v>
      </c>
      <c r="C290" s="4">
        <v>1.7072400000000001E-2</v>
      </c>
      <c r="D290" s="4">
        <v>0.20645199</v>
      </c>
      <c r="F290" s="4" t="s">
        <v>2285</v>
      </c>
      <c r="G290" s="4">
        <v>2</v>
      </c>
      <c r="H290" s="4" t="s">
        <v>1280</v>
      </c>
      <c r="I290" s="4">
        <v>9</v>
      </c>
      <c r="J290" s="4" t="s">
        <v>2268</v>
      </c>
      <c r="K290" s="4" t="s">
        <v>2269</v>
      </c>
      <c r="L290" s="4">
        <v>1.3814422175129799</v>
      </c>
      <c r="M290" s="4">
        <v>12.5568729543405</v>
      </c>
      <c r="N290" s="4">
        <v>1.9167290155021499</v>
      </c>
      <c r="O290" s="4">
        <v>6.1368684342171003</v>
      </c>
      <c r="V290" s="4">
        <v>0.39577000000000001</v>
      </c>
      <c r="W290" s="4">
        <v>2.6861997164866699E-2</v>
      </c>
    </row>
    <row r="291" spans="1:23">
      <c r="A291" s="4" t="s">
        <v>1281</v>
      </c>
      <c r="B291" s="4" t="s">
        <v>1400</v>
      </c>
      <c r="C291" s="4">
        <v>2.2713704209999999</v>
      </c>
      <c r="D291" s="4">
        <v>2.1080039529999999</v>
      </c>
      <c r="F291" s="4" t="s">
        <v>2285</v>
      </c>
      <c r="G291" s="4">
        <v>1</v>
      </c>
      <c r="H291" s="4" t="s">
        <v>1279</v>
      </c>
      <c r="I291" s="4">
        <v>10</v>
      </c>
      <c r="J291" s="4" t="s">
        <v>2270</v>
      </c>
      <c r="K291" s="4" t="s">
        <v>2271</v>
      </c>
      <c r="L291" s="4">
        <v>2.4082507273148801</v>
      </c>
      <c r="M291" s="4">
        <v>9.2038853753078005</v>
      </c>
      <c r="N291" s="4">
        <v>27.815029569459899</v>
      </c>
      <c r="O291" s="4">
        <v>0.278439219609804</v>
      </c>
      <c r="V291" s="4">
        <v>1E-3</v>
      </c>
      <c r="W291" s="4">
        <v>1.0014890448867801E-2</v>
      </c>
    </row>
    <row r="292" spans="1:23">
      <c r="A292" s="4" t="s">
        <v>1281</v>
      </c>
      <c r="B292" s="4" t="s">
        <v>1400</v>
      </c>
      <c r="C292" s="4">
        <v>2.2632293080000001</v>
      </c>
      <c r="D292" s="4">
        <v>2.108003933</v>
      </c>
      <c r="F292" s="4" t="s">
        <v>2285</v>
      </c>
      <c r="G292" s="4">
        <v>2</v>
      </c>
      <c r="H292" s="4" t="s">
        <v>1280</v>
      </c>
      <c r="I292" s="4">
        <v>10</v>
      </c>
      <c r="J292" s="4" t="s">
        <v>2270</v>
      </c>
      <c r="K292" s="4" t="s">
        <v>2271</v>
      </c>
      <c r="L292" s="4">
        <v>1.79645806132535</v>
      </c>
      <c r="M292" s="4">
        <v>18.253422577265301</v>
      </c>
      <c r="N292" s="4">
        <v>3.4285757827860399</v>
      </c>
      <c r="O292" s="4">
        <v>1.9256628314157</v>
      </c>
      <c r="V292" s="4">
        <v>1E-3</v>
      </c>
      <c r="W292" s="4">
        <v>1.0014890448867801E-2</v>
      </c>
    </row>
    <row r="293" spans="1:23">
      <c r="A293" s="4" t="s">
        <v>1281</v>
      </c>
      <c r="B293" s="4" t="s">
        <v>1400</v>
      </c>
      <c r="C293" s="4">
        <v>2.3364993219999999</v>
      </c>
      <c r="D293" s="4">
        <v>2.1080019330000002</v>
      </c>
      <c r="F293" s="4" t="s">
        <v>2285</v>
      </c>
      <c r="G293" s="4">
        <v>1</v>
      </c>
      <c r="H293" s="4" t="s">
        <v>1279</v>
      </c>
      <c r="I293" s="4">
        <v>11</v>
      </c>
      <c r="J293" s="4" t="s">
        <v>1319</v>
      </c>
      <c r="K293" s="4" t="s">
        <v>2272</v>
      </c>
      <c r="L293" s="4">
        <v>2.5547223435246198</v>
      </c>
      <c r="M293" s="4">
        <v>19.6918580298567</v>
      </c>
      <c r="N293" s="4">
        <v>18.215271444540999</v>
      </c>
      <c r="O293" s="4">
        <v>0.2</v>
      </c>
      <c r="V293" s="4">
        <v>6.3718999999999998E-2</v>
      </c>
      <c r="W293" s="4">
        <v>1.4324699463574E-2</v>
      </c>
    </row>
    <row r="294" spans="1:23">
      <c r="A294" s="4" t="s">
        <v>1281</v>
      </c>
      <c r="B294" s="4" t="s">
        <v>1400</v>
      </c>
      <c r="C294" s="4">
        <v>2.2767978289999999</v>
      </c>
      <c r="D294" s="4">
        <v>2.1079545309999999</v>
      </c>
      <c r="F294" s="4" t="s">
        <v>2285</v>
      </c>
      <c r="G294" s="4">
        <v>2</v>
      </c>
      <c r="H294" s="4" t="s">
        <v>1280</v>
      </c>
      <c r="I294" s="4">
        <v>11</v>
      </c>
      <c r="J294" s="4" t="s">
        <v>1319</v>
      </c>
      <c r="K294" s="4" t="s">
        <v>2272</v>
      </c>
      <c r="L294" s="4">
        <v>2.1078054610130601</v>
      </c>
      <c r="M294" s="4">
        <v>21.2175002209162</v>
      </c>
      <c r="N294" s="4">
        <v>6.0410335217822402</v>
      </c>
      <c r="O294" s="4">
        <v>0.773586793396698</v>
      </c>
      <c r="V294" s="4">
        <v>6.8662000000000001E-2</v>
      </c>
      <c r="W294" s="4">
        <v>1.4324699463574E-2</v>
      </c>
    </row>
    <row r="295" spans="1:23">
      <c r="A295" s="4" t="s">
        <v>1281</v>
      </c>
      <c r="B295" s="4" t="s">
        <v>1400</v>
      </c>
      <c r="C295" s="4">
        <v>1.978290366</v>
      </c>
      <c r="D295" s="4">
        <v>2.1078121190000001</v>
      </c>
      <c r="F295" s="4" t="s">
        <v>2285</v>
      </c>
      <c r="G295" s="4">
        <v>1</v>
      </c>
      <c r="H295" s="4" t="s">
        <v>1279</v>
      </c>
      <c r="I295" s="4">
        <v>12</v>
      </c>
      <c r="J295" s="4" t="s">
        <v>1319</v>
      </c>
      <c r="K295" s="4" t="s">
        <v>2273</v>
      </c>
      <c r="L295" s="4">
        <v>2.4428710930422399</v>
      </c>
      <c r="M295" s="4">
        <v>13.586970230537901</v>
      </c>
      <c r="N295" s="4">
        <v>20.405557714490001</v>
      </c>
      <c r="O295" s="4">
        <v>0.25392696348173999</v>
      </c>
      <c r="V295" s="4">
        <v>0.112057</v>
      </c>
      <c r="W295" s="4">
        <v>1.4585826832907E-2</v>
      </c>
    </row>
    <row r="296" spans="1:23">
      <c r="A296" s="4" t="s">
        <v>1281</v>
      </c>
      <c r="B296" s="4" t="s">
        <v>1400</v>
      </c>
      <c r="C296" s="4">
        <v>1.978290366</v>
      </c>
      <c r="D296" s="4">
        <v>2.10448966</v>
      </c>
      <c r="F296" s="4" t="s">
        <v>2285</v>
      </c>
      <c r="G296" s="4">
        <v>2</v>
      </c>
      <c r="H296" s="4" t="s">
        <v>1280</v>
      </c>
      <c r="I296" s="4">
        <v>12</v>
      </c>
      <c r="J296" s="4" t="s">
        <v>1319</v>
      </c>
      <c r="K296" s="4" t="s">
        <v>2273</v>
      </c>
      <c r="L296" s="4">
        <v>1.9213080732421199</v>
      </c>
      <c r="M296" s="4">
        <v>19.656466667232898</v>
      </c>
      <c r="N296" s="4">
        <v>4.2442662390898898</v>
      </c>
      <c r="O296" s="4">
        <v>1.3226613306653301</v>
      </c>
      <c r="V296" s="4">
        <v>0.116452</v>
      </c>
      <c r="W296" s="4">
        <v>1.4585826832907E-2</v>
      </c>
    </row>
    <row r="297" spans="1:23">
      <c r="A297" s="4" t="s">
        <v>1281</v>
      </c>
      <c r="B297" s="4" t="s">
        <v>1400</v>
      </c>
      <c r="C297" s="4">
        <v>2.469470828</v>
      </c>
      <c r="D297" s="4">
        <v>2.098914084</v>
      </c>
      <c r="F297" s="4" t="s">
        <v>2285</v>
      </c>
      <c r="G297" s="4">
        <v>1</v>
      </c>
      <c r="H297" s="4" t="s">
        <v>1279</v>
      </c>
      <c r="I297" s="4">
        <v>13</v>
      </c>
      <c r="J297" s="4" t="s">
        <v>1319</v>
      </c>
      <c r="K297" s="4" t="s">
        <v>2274</v>
      </c>
      <c r="L297" s="4">
        <v>2.3770221176031101</v>
      </c>
      <c r="M297" s="4">
        <v>14.9538474201523</v>
      </c>
      <c r="N297" s="4">
        <v>15.931958722549799</v>
      </c>
      <c r="O297" s="4">
        <v>0.28824412206103001</v>
      </c>
      <c r="V297" s="4">
        <v>1E-3</v>
      </c>
      <c r="W297" s="4">
        <v>1.0012564971741701E-2</v>
      </c>
    </row>
    <row r="298" spans="1:23">
      <c r="A298" s="4" t="s">
        <v>1281</v>
      </c>
      <c r="B298" s="4" t="s">
        <v>1400</v>
      </c>
      <c r="C298" s="4">
        <v>2.5644504750000001</v>
      </c>
      <c r="D298" s="4">
        <v>2.0765528670000002</v>
      </c>
      <c r="F298" s="4" t="s">
        <v>2285</v>
      </c>
      <c r="G298" s="4">
        <v>2</v>
      </c>
      <c r="H298" s="4" t="s">
        <v>1280</v>
      </c>
      <c r="I298" s="4">
        <v>13</v>
      </c>
      <c r="J298" s="4" t="s">
        <v>1319</v>
      </c>
      <c r="K298" s="4" t="s">
        <v>2274</v>
      </c>
      <c r="L298" s="4">
        <v>1.91501122268108</v>
      </c>
      <c r="M298" s="4">
        <v>19.695142029016701</v>
      </c>
      <c r="N298" s="4">
        <v>4.1749579501837299</v>
      </c>
      <c r="O298" s="4">
        <v>1.2981490745372599</v>
      </c>
      <c r="V298" s="4">
        <v>1E-3</v>
      </c>
      <c r="W298" s="4">
        <v>1.0012564971741701E-2</v>
      </c>
    </row>
    <row r="299" spans="1:23">
      <c r="A299" s="4" t="s">
        <v>1281</v>
      </c>
      <c r="B299" s="4" t="s">
        <v>1400</v>
      </c>
      <c r="C299" s="4">
        <v>2.4016282229999999</v>
      </c>
      <c r="D299" s="4">
        <v>2.1080039529999999</v>
      </c>
      <c r="F299" s="4" t="s">
        <v>2285</v>
      </c>
      <c r="G299" s="4">
        <v>1</v>
      </c>
      <c r="H299" s="4" t="s">
        <v>1279</v>
      </c>
      <c r="I299" s="4">
        <v>14</v>
      </c>
      <c r="J299" s="4" t="s">
        <v>1281</v>
      </c>
      <c r="K299" s="4" t="s">
        <v>2275</v>
      </c>
      <c r="L299" s="4">
        <v>2.45002067175158</v>
      </c>
      <c r="M299" s="4">
        <v>9.6060391746571092</v>
      </c>
      <c r="N299" s="4">
        <v>29.341095054037599</v>
      </c>
      <c r="O299" s="4">
        <v>0.24902451225612801</v>
      </c>
      <c r="V299" s="4">
        <v>5.6302999999999999E-2</v>
      </c>
      <c r="W299" s="4">
        <v>1.3649300772167699E-2</v>
      </c>
    </row>
    <row r="300" spans="1:23">
      <c r="A300" s="4" t="s">
        <v>1281</v>
      </c>
      <c r="B300" s="4" t="s">
        <v>1400</v>
      </c>
      <c r="C300" s="4">
        <v>2.4559023070000001</v>
      </c>
      <c r="D300" s="4">
        <v>2.108003933</v>
      </c>
      <c r="F300" s="4" t="s">
        <v>2285</v>
      </c>
      <c r="G300" s="4">
        <v>2</v>
      </c>
      <c r="H300" s="4" t="s">
        <v>1280</v>
      </c>
      <c r="I300" s="4">
        <v>14</v>
      </c>
      <c r="J300" s="4" t="s">
        <v>1281</v>
      </c>
      <c r="K300" s="4" t="s">
        <v>2275</v>
      </c>
      <c r="L300" s="4">
        <v>1.83493305747527</v>
      </c>
      <c r="M300" s="4">
        <v>18.6773459556814</v>
      </c>
      <c r="N300" s="4">
        <v>3.6611531333150702</v>
      </c>
      <c r="O300" s="4">
        <v>1.7344672336168001</v>
      </c>
      <c r="V300" s="4">
        <v>5.3557E-2</v>
      </c>
      <c r="W300" s="4">
        <v>1.3649300772167699E-2</v>
      </c>
    </row>
    <row r="301" spans="1:23">
      <c r="A301" s="4" t="s">
        <v>1281</v>
      </c>
      <c r="B301" s="4" t="s">
        <v>1400</v>
      </c>
      <c r="C301" s="4">
        <v>2.5807327</v>
      </c>
      <c r="D301" s="4">
        <v>2.1080019330000002</v>
      </c>
      <c r="F301" s="4" t="s">
        <v>2285</v>
      </c>
      <c r="G301" s="4">
        <v>1</v>
      </c>
      <c r="H301" s="4" t="s">
        <v>1279</v>
      </c>
      <c r="I301" s="4">
        <v>15</v>
      </c>
      <c r="J301" s="4" t="s">
        <v>2276</v>
      </c>
      <c r="K301" s="4" t="s">
        <v>2277</v>
      </c>
      <c r="L301" s="4">
        <v>2.0462742934381901</v>
      </c>
      <c r="M301" s="4">
        <v>6.6951103143845296</v>
      </c>
      <c r="N301" s="4">
        <v>16.615620188113699</v>
      </c>
      <c r="O301" s="4">
        <v>0.67553776888444195</v>
      </c>
      <c r="V301" s="4">
        <v>9.6950999999999996E-2</v>
      </c>
      <c r="W301" s="4">
        <v>1.38696472537135E-2</v>
      </c>
    </row>
    <row r="302" spans="1:23">
      <c r="A302" s="4" t="s">
        <v>1281</v>
      </c>
      <c r="B302" s="4" t="s">
        <v>1400</v>
      </c>
      <c r="C302" s="4">
        <v>2.7191316149999998</v>
      </c>
      <c r="D302" s="4">
        <v>2.1079545309999999</v>
      </c>
      <c r="F302" s="4" t="s">
        <v>2285</v>
      </c>
      <c r="G302" s="4">
        <v>2</v>
      </c>
      <c r="H302" s="4" t="s">
        <v>1280</v>
      </c>
      <c r="I302" s="4">
        <v>15</v>
      </c>
      <c r="J302" s="4" t="s">
        <v>2276</v>
      </c>
      <c r="K302" s="4" t="s">
        <v>2277</v>
      </c>
      <c r="L302" s="4">
        <v>1.50519948010053</v>
      </c>
      <c r="M302" s="4">
        <v>14.3842706848483</v>
      </c>
      <c r="N302" s="4">
        <v>2.2249058249145701</v>
      </c>
      <c r="O302" s="4">
        <v>4.3180590295147496</v>
      </c>
      <c r="V302" s="4">
        <v>9.2282000000000003E-2</v>
      </c>
      <c r="W302" s="4">
        <v>1.38696472537135E-2</v>
      </c>
    </row>
    <row r="303" spans="1:23">
      <c r="A303" s="4" t="s">
        <v>1281</v>
      </c>
      <c r="B303" s="4" t="s">
        <v>1400</v>
      </c>
      <c r="C303" s="4">
        <v>2.1601085480000002</v>
      </c>
      <c r="D303" s="4">
        <v>2.1078121190000001</v>
      </c>
      <c r="F303" s="4" t="s">
        <v>205</v>
      </c>
      <c r="G303" s="4">
        <v>1</v>
      </c>
      <c r="H303" s="4" t="s">
        <v>1279</v>
      </c>
      <c r="I303" s="4">
        <v>1</v>
      </c>
      <c r="J303" s="4" t="s">
        <v>196</v>
      </c>
      <c r="K303" s="4" t="s">
        <v>2255</v>
      </c>
      <c r="L303" s="4">
        <v>1.98699542043607</v>
      </c>
      <c r="M303" s="4">
        <v>8.70505759139043</v>
      </c>
      <c r="N303" s="4">
        <v>11.1486882567121</v>
      </c>
      <c r="O303" s="4">
        <v>1.80310155077538</v>
      </c>
      <c r="V303" s="4">
        <v>1E-3</v>
      </c>
      <c r="W303" s="4">
        <v>1.03305788190933E-2</v>
      </c>
    </row>
    <row r="304" spans="1:23">
      <c r="A304" s="4" t="s">
        <v>1281</v>
      </c>
      <c r="B304" s="4" t="s">
        <v>1400</v>
      </c>
      <c r="C304" s="4">
        <v>2.1411126189999998</v>
      </c>
      <c r="D304" s="4">
        <v>2.10448966</v>
      </c>
      <c r="F304" s="4" t="s">
        <v>205</v>
      </c>
      <c r="G304" s="4">
        <v>2</v>
      </c>
      <c r="H304" s="4" t="s">
        <v>1280</v>
      </c>
      <c r="I304" s="4">
        <v>1</v>
      </c>
      <c r="J304" s="4" t="s">
        <v>196</v>
      </c>
      <c r="K304" s="4" t="s">
        <v>2255</v>
      </c>
      <c r="L304" s="4">
        <v>1.5372454963643201</v>
      </c>
      <c r="M304" s="4">
        <v>14.6986063631413</v>
      </c>
      <c r="N304" s="4">
        <v>2.3440633086009002</v>
      </c>
      <c r="O304" s="4">
        <v>8.24492246123061</v>
      </c>
      <c r="V304" s="4">
        <v>2.1970000000000002E-3</v>
      </c>
      <c r="W304" s="4">
        <v>1.03305788190933E-2</v>
      </c>
    </row>
    <row r="305" spans="1:23">
      <c r="A305" s="4" t="s">
        <v>1281</v>
      </c>
      <c r="B305" s="4" t="s">
        <v>1400</v>
      </c>
      <c r="C305" s="4">
        <v>2.8575305289999999</v>
      </c>
      <c r="D305" s="4">
        <v>2.098914084</v>
      </c>
      <c r="F305" s="4" t="s">
        <v>205</v>
      </c>
      <c r="G305" s="4">
        <v>1</v>
      </c>
      <c r="H305" s="4" t="s">
        <v>1279</v>
      </c>
      <c r="I305" s="4">
        <v>2</v>
      </c>
      <c r="J305" s="4" t="s">
        <v>196</v>
      </c>
      <c r="K305" s="4" t="s">
        <v>2256</v>
      </c>
      <c r="L305" s="4">
        <v>2.1639969299701001</v>
      </c>
      <c r="M305" s="4">
        <v>9.7677847423441495</v>
      </c>
      <c r="N305" s="4">
        <v>14.9348494712661</v>
      </c>
      <c r="O305" s="4">
        <v>1.0775387693846901</v>
      </c>
      <c r="V305" s="4">
        <v>1E-3</v>
      </c>
      <c r="W305" s="4">
        <v>1.0277026660882E-2</v>
      </c>
    </row>
    <row r="306" spans="1:23">
      <c r="A306" s="4" t="s">
        <v>1281</v>
      </c>
      <c r="B306" s="4" t="s">
        <v>1400</v>
      </c>
      <c r="C306" s="4">
        <v>2.8141112619999999</v>
      </c>
      <c r="D306" s="4">
        <v>2.0765528670000002</v>
      </c>
      <c r="F306" s="4" t="s">
        <v>205</v>
      </c>
      <c r="G306" s="4">
        <v>2</v>
      </c>
      <c r="H306" s="4" t="s">
        <v>1280</v>
      </c>
      <c r="I306" s="4">
        <v>2</v>
      </c>
      <c r="J306" s="4" t="s">
        <v>196</v>
      </c>
      <c r="K306" s="4" t="s">
        <v>2256</v>
      </c>
      <c r="L306" s="4">
        <v>1.68629712555154</v>
      </c>
      <c r="M306" s="4">
        <v>16.645615916183399</v>
      </c>
      <c r="N306" s="4">
        <v>2.9174085817382198</v>
      </c>
      <c r="O306" s="4">
        <v>5.3671835917958903</v>
      </c>
      <c r="V306" s="4">
        <v>1E-3</v>
      </c>
      <c r="W306" s="4">
        <v>1.0277026660882E-2</v>
      </c>
    </row>
    <row r="307" spans="1:23">
      <c r="A307" s="4" t="s">
        <v>1281</v>
      </c>
      <c r="B307" s="4" t="s">
        <v>1400</v>
      </c>
      <c r="C307" s="4">
        <v>2.5074626869999999</v>
      </c>
      <c r="D307" s="4">
        <v>2.107978423</v>
      </c>
      <c r="F307" s="4" t="s">
        <v>205</v>
      </c>
      <c r="G307" s="4">
        <v>1</v>
      </c>
      <c r="H307" s="4" t="s">
        <v>1279</v>
      </c>
      <c r="I307" s="4">
        <v>3</v>
      </c>
      <c r="J307" s="4" t="s">
        <v>2257</v>
      </c>
      <c r="K307" s="4" t="s">
        <v>724</v>
      </c>
      <c r="L307" s="4">
        <v>2.5703044499146199</v>
      </c>
      <c r="M307" s="4">
        <v>15.0631935092748</v>
      </c>
      <c r="N307" s="4">
        <v>24.6824004809949</v>
      </c>
      <c r="O307" s="4">
        <v>0.2</v>
      </c>
      <c r="V307" s="4">
        <v>8.2399999999999997E-4</v>
      </c>
      <c r="W307" s="4">
        <v>1.02579943868667E-2</v>
      </c>
    </row>
    <row r="308" spans="1:23">
      <c r="A308" s="4" t="s">
        <v>1281</v>
      </c>
      <c r="B308" s="4" t="s">
        <v>1400</v>
      </c>
      <c r="C308" s="4">
        <v>2.5644504750000001</v>
      </c>
      <c r="D308" s="4">
        <v>2.1079762259999999</v>
      </c>
      <c r="F308" s="4" t="s">
        <v>205</v>
      </c>
      <c r="G308" s="4">
        <v>2</v>
      </c>
      <c r="H308" s="4" t="s">
        <v>1280</v>
      </c>
      <c r="I308" s="4">
        <v>3</v>
      </c>
      <c r="J308" s="4" t="s">
        <v>2257</v>
      </c>
      <c r="K308" s="4" t="s">
        <v>724</v>
      </c>
      <c r="L308" s="4">
        <v>2.1945334533136398</v>
      </c>
      <c r="M308" s="4">
        <v>20.5897565649753</v>
      </c>
      <c r="N308" s="4">
        <v>7.6012014299027699</v>
      </c>
      <c r="O308" s="4">
        <v>1.1167583791895901</v>
      </c>
      <c r="V308" s="4">
        <v>4.1200000000000004E-3</v>
      </c>
      <c r="W308" s="4">
        <v>1.02579943868667E-2</v>
      </c>
    </row>
    <row r="309" spans="1:23">
      <c r="A309" s="4" t="s">
        <v>1281</v>
      </c>
      <c r="B309" s="4" t="s">
        <v>1400</v>
      </c>
      <c r="C309" s="4">
        <v>2.8331071909999999</v>
      </c>
      <c r="D309" s="4">
        <v>2.1077587819999999</v>
      </c>
      <c r="F309" s="4" t="s">
        <v>205</v>
      </c>
      <c r="G309" s="4">
        <v>1</v>
      </c>
      <c r="H309" s="4" t="s">
        <v>1279</v>
      </c>
      <c r="I309" s="4">
        <v>4</v>
      </c>
      <c r="J309" s="4" t="s">
        <v>2258</v>
      </c>
      <c r="K309" s="4" t="s">
        <v>2259</v>
      </c>
      <c r="L309" s="4">
        <v>1.46537391995198</v>
      </c>
      <c r="M309" s="4">
        <v>6.1588485548338898</v>
      </c>
      <c r="N309" s="4">
        <v>4.74104846591257</v>
      </c>
      <c r="O309" s="4">
        <v>7.4360180090045001</v>
      </c>
      <c r="V309" s="4">
        <v>1.1809999999999999E-2</v>
      </c>
      <c r="W309" s="4">
        <v>7.7276720191001402E-2</v>
      </c>
    </row>
    <row r="310" spans="1:23">
      <c r="A310" s="4" t="s">
        <v>1281</v>
      </c>
      <c r="B310" s="4" t="s">
        <v>1400</v>
      </c>
      <c r="C310" s="4">
        <v>3.0040705559999998</v>
      </c>
      <c r="D310" s="4">
        <v>2.1027021129999999</v>
      </c>
      <c r="F310" s="4" t="s">
        <v>205</v>
      </c>
      <c r="G310" s="4">
        <v>2</v>
      </c>
      <c r="H310" s="4" t="s">
        <v>1280</v>
      </c>
      <c r="I310" s="4">
        <v>4</v>
      </c>
      <c r="J310" s="4" t="s">
        <v>2258</v>
      </c>
      <c r="K310" s="4" t="s">
        <v>2259</v>
      </c>
      <c r="L310" s="4">
        <v>0.97932890195918698</v>
      </c>
      <c r="M310" s="4">
        <v>7.4144621628177498</v>
      </c>
      <c r="N310" s="4">
        <v>1.2860245187077399</v>
      </c>
      <c r="O310" s="4">
        <v>10</v>
      </c>
      <c r="V310" s="4">
        <v>1.8676000000000002E-2</v>
      </c>
      <c r="W310" s="4">
        <v>7.7276720191001402E-2</v>
      </c>
    </row>
    <row r="311" spans="1:23">
      <c r="A311" s="4" t="s">
        <v>1281</v>
      </c>
      <c r="B311" s="4" t="s">
        <v>1400</v>
      </c>
      <c r="C311" s="4">
        <v>2.2496607869999998</v>
      </c>
      <c r="D311" s="4">
        <v>2.0885460870000001</v>
      </c>
      <c r="F311" s="4" t="s">
        <v>205</v>
      </c>
      <c r="G311" s="4">
        <v>1</v>
      </c>
      <c r="H311" s="4" t="s">
        <v>1279</v>
      </c>
      <c r="I311" s="4">
        <v>5</v>
      </c>
      <c r="J311" s="4" t="s">
        <v>2260</v>
      </c>
      <c r="K311" s="4" t="s">
        <v>2261</v>
      </c>
      <c r="L311" s="4">
        <v>1.8019057799615299</v>
      </c>
      <c r="M311" s="4">
        <v>7.5360177205908601</v>
      </c>
      <c r="N311" s="4">
        <v>8.4093778949813096</v>
      </c>
      <c r="O311" s="4">
        <v>2.96008004002001</v>
      </c>
      <c r="V311" s="4">
        <v>1.7852E-2</v>
      </c>
      <c r="W311" s="4">
        <v>6.6378219272256095E-2</v>
      </c>
    </row>
    <row r="312" spans="1:23">
      <c r="A312" s="4" t="s">
        <v>1281</v>
      </c>
      <c r="B312" s="4" t="s">
        <v>1400</v>
      </c>
      <c r="C312" s="4">
        <v>2.1194029849999998</v>
      </c>
      <c r="D312" s="4">
        <v>1.9325289450000001</v>
      </c>
      <c r="F312" s="4" t="s">
        <v>205</v>
      </c>
      <c r="G312" s="4">
        <v>2</v>
      </c>
      <c r="H312" s="4" t="s">
        <v>1280</v>
      </c>
      <c r="I312" s="4">
        <v>5</v>
      </c>
      <c r="J312" s="4" t="s">
        <v>2260</v>
      </c>
      <c r="K312" s="4" t="s">
        <v>2261</v>
      </c>
      <c r="L312" s="4">
        <v>1.37600048339215</v>
      </c>
      <c r="M312" s="4">
        <v>12.9653650641611</v>
      </c>
      <c r="N312" s="4">
        <v>1.83322484203875</v>
      </c>
      <c r="O312" s="4">
        <v>10</v>
      </c>
      <c r="V312" s="4">
        <v>2.8837999999999999E-2</v>
      </c>
      <c r="W312" s="4">
        <v>6.6378219272256095E-2</v>
      </c>
    </row>
    <row r="313" spans="1:23">
      <c r="A313" s="4" t="s">
        <v>1281</v>
      </c>
      <c r="B313" s="4" t="s">
        <v>1400</v>
      </c>
      <c r="C313" s="4">
        <v>2.2849389420000001</v>
      </c>
      <c r="D313" s="4">
        <v>1.843710438</v>
      </c>
      <c r="F313" s="4" t="s">
        <v>205</v>
      </c>
      <c r="G313" s="4">
        <v>1</v>
      </c>
      <c r="H313" s="4" t="s">
        <v>1279</v>
      </c>
      <c r="I313" s="4">
        <v>6</v>
      </c>
      <c r="J313" s="4" t="s">
        <v>2262</v>
      </c>
      <c r="K313" s="4" t="s">
        <v>2263</v>
      </c>
      <c r="L313" s="4">
        <v>2.36406407279856</v>
      </c>
      <c r="M313" s="4">
        <v>11.614976055442099</v>
      </c>
      <c r="N313" s="4">
        <v>19.908830722677799</v>
      </c>
      <c r="O313" s="4">
        <v>0.55787893946973399</v>
      </c>
      <c r="V313" s="4">
        <v>1.7302999999999999E-2</v>
      </c>
      <c r="W313" s="4">
        <v>6.2504925220817506E-2</v>
      </c>
    </row>
    <row r="314" spans="1:23">
      <c r="A314" s="4" t="s">
        <v>1281</v>
      </c>
      <c r="B314" s="4" t="s">
        <v>1400</v>
      </c>
      <c r="C314" s="4">
        <v>1.755766621</v>
      </c>
      <c r="D314" s="4">
        <v>1.7266660840000001</v>
      </c>
      <c r="F314" s="4" t="s">
        <v>205</v>
      </c>
      <c r="G314" s="4">
        <v>2</v>
      </c>
      <c r="H314" s="4" t="s">
        <v>1280</v>
      </c>
      <c r="I314" s="4">
        <v>6</v>
      </c>
      <c r="J314" s="4" t="s">
        <v>2262</v>
      </c>
      <c r="K314" s="4" t="s">
        <v>2263</v>
      </c>
      <c r="L314" s="4">
        <v>1.88812485234898</v>
      </c>
      <c r="M314" s="4">
        <v>18.783538792023599</v>
      </c>
      <c r="N314" s="4">
        <v>4.1147877311121297</v>
      </c>
      <c r="O314" s="4">
        <v>2.9747873936968401</v>
      </c>
      <c r="V314" s="4">
        <v>2.0872999999999999E-2</v>
      </c>
      <c r="W314" s="4">
        <v>6.2504925220817506E-2</v>
      </c>
    </row>
    <row r="315" spans="1:23">
      <c r="A315" s="4" t="s">
        <v>1281</v>
      </c>
      <c r="B315" s="4" t="s">
        <v>1400</v>
      </c>
      <c r="C315" s="4">
        <v>2.3799185889999999</v>
      </c>
      <c r="D315" s="4">
        <v>2.107978423</v>
      </c>
      <c r="F315" s="4" t="s">
        <v>205</v>
      </c>
      <c r="G315" s="4">
        <v>1</v>
      </c>
      <c r="H315" s="4" t="s">
        <v>1279</v>
      </c>
      <c r="I315" s="4">
        <v>7</v>
      </c>
      <c r="J315" s="4" t="s">
        <v>2264</v>
      </c>
      <c r="K315" s="4" t="s">
        <v>2265</v>
      </c>
      <c r="L315" s="4">
        <v>2.1390740250504501</v>
      </c>
      <c r="M315" s="4">
        <v>9.4395876747545593</v>
      </c>
      <c r="N315" s="4">
        <v>14.592207629268801</v>
      </c>
      <c r="O315" s="4">
        <v>1.1559779889944899</v>
      </c>
      <c r="V315" s="4">
        <v>0.12881100000000001</v>
      </c>
      <c r="W315" s="4">
        <v>0.80020504278543503</v>
      </c>
    </row>
    <row r="316" spans="1:23">
      <c r="A316" s="4" t="s">
        <v>1281</v>
      </c>
      <c r="B316" s="4" t="s">
        <v>1400</v>
      </c>
      <c r="C316" s="4">
        <v>2.5807327</v>
      </c>
      <c r="D316" s="4">
        <v>2.1079762259999999</v>
      </c>
      <c r="F316" s="4" t="s">
        <v>205</v>
      </c>
      <c r="G316" s="4">
        <v>2</v>
      </c>
      <c r="H316" s="4" t="s">
        <v>1280</v>
      </c>
      <c r="I316" s="4">
        <v>7</v>
      </c>
      <c r="J316" s="4" t="s">
        <v>2264</v>
      </c>
      <c r="K316" s="4" t="s">
        <v>2265</v>
      </c>
      <c r="L316" s="4">
        <v>1.6611501765686001</v>
      </c>
      <c r="M316" s="4">
        <v>16.331259005750098</v>
      </c>
      <c r="N316" s="4">
        <v>2.8062768266250502</v>
      </c>
      <c r="O316" s="4">
        <v>5.7789894947473703</v>
      </c>
      <c r="V316" s="4">
        <v>9.6950999999999996E-2</v>
      </c>
      <c r="W316" s="4">
        <v>0.80020504278543503</v>
      </c>
    </row>
    <row r="317" spans="1:23">
      <c r="A317" s="4" t="s">
        <v>1281</v>
      </c>
      <c r="B317" s="4" t="s">
        <v>1400</v>
      </c>
      <c r="C317" s="4">
        <v>2.8331071909999999</v>
      </c>
      <c r="D317" s="4">
        <v>2.1077587819999999</v>
      </c>
      <c r="F317" s="4" t="s">
        <v>205</v>
      </c>
      <c r="G317" s="4">
        <v>1</v>
      </c>
      <c r="H317" s="4" t="s">
        <v>1279</v>
      </c>
      <c r="I317" s="4">
        <v>8</v>
      </c>
      <c r="J317" s="4" t="s">
        <v>2266</v>
      </c>
      <c r="K317" s="4" t="s">
        <v>2267</v>
      </c>
      <c r="L317" s="4">
        <v>2.0689936524134298</v>
      </c>
      <c r="M317" s="4">
        <v>8.9677207142996895</v>
      </c>
      <c r="N317" s="4">
        <v>13.071083170141099</v>
      </c>
      <c r="O317" s="4">
        <v>1.41580790395197</v>
      </c>
      <c r="V317" s="4">
        <v>0.148036</v>
      </c>
      <c r="W317" s="4">
        <v>0.67219567549844095</v>
      </c>
    </row>
    <row r="318" spans="1:23">
      <c r="A318" s="4" t="s">
        <v>1281</v>
      </c>
      <c r="B318" s="4" t="s">
        <v>1400</v>
      </c>
      <c r="C318" s="4">
        <v>2.9308005430000001</v>
      </c>
      <c r="D318" s="4">
        <v>2.1027021129999999</v>
      </c>
      <c r="F318" s="4" t="s">
        <v>205</v>
      </c>
      <c r="G318" s="4">
        <v>2</v>
      </c>
      <c r="H318" s="4" t="s">
        <v>1280</v>
      </c>
      <c r="I318" s="4">
        <v>8</v>
      </c>
      <c r="J318" s="4" t="s">
        <v>2266</v>
      </c>
      <c r="K318" s="4" t="s">
        <v>2267</v>
      </c>
      <c r="L318" s="4">
        <v>1.60063617613795</v>
      </c>
      <c r="M318" s="4">
        <v>15.5509710295199</v>
      </c>
      <c r="N318" s="4">
        <v>2.56376765346364</v>
      </c>
      <c r="O318" s="4">
        <v>6.8820410205102496</v>
      </c>
      <c r="V318" s="4">
        <v>0.15160699999999999</v>
      </c>
      <c r="W318" s="4">
        <v>0.67219567549844095</v>
      </c>
    </row>
    <row r="319" spans="1:23">
      <c r="A319" s="4" t="s">
        <v>1281</v>
      </c>
      <c r="B319" s="4" t="s">
        <v>1400</v>
      </c>
      <c r="C319" s="4">
        <v>2.3934871100000001</v>
      </c>
      <c r="D319" s="4">
        <v>2.0885460870000001</v>
      </c>
      <c r="F319" s="4" t="s">
        <v>205</v>
      </c>
      <c r="G319" s="4">
        <v>1</v>
      </c>
      <c r="H319" s="4" t="s">
        <v>1279</v>
      </c>
      <c r="I319" s="4">
        <v>9</v>
      </c>
      <c r="J319" s="4" t="s">
        <v>2268</v>
      </c>
      <c r="K319" s="4" t="s">
        <v>2269</v>
      </c>
      <c r="L319" s="4">
        <v>1.9491285757717201</v>
      </c>
      <c r="M319" s="4">
        <v>8.2002517792028495</v>
      </c>
      <c r="N319" s="4">
        <v>10.8467939118099</v>
      </c>
      <c r="O319" s="4">
        <v>1.97468734367183</v>
      </c>
      <c r="V319" s="4">
        <v>0.17330400000000001</v>
      </c>
      <c r="W319" s="4">
        <v>0.626701536025706</v>
      </c>
    </row>
    <row r="320" spans="1:23">
      <c r="A320" s="4" t="s">
        <v>1281</v>
      </c>
      <c r="B320" s="4" t="s">
        <v>1400</v>
      </c>
      <c r="C320" s="4">
        <v>2.0542740839999998</v>
      </c>
      <c r="D320" s="4">
        <v>1.9325289450000001</v>
      </c>
      <c r="F320" s="4" t="s">
        <v>205</v>
      </c>
      <c r="G320" s="4">
        <v>2</v>
      </c>
      <c r="H320" s="4" t="s">
        <v>1280</v>
      </c>
      <c r="I320" s="4">
        <v>9</v>
      </c>
      <c r="J320" s="4" t="s">
        <v>2268</v>
      </c>
      <c r="K320" s="4" t="s">
        <v>2269</v>
      </c>
      <c r="L320" s="4">
        <v>1.50158408497822</v>
      </c>
      <c r="M320" s="4">
        <v>14.196875234191101</v>
      </c>
      <c r="N320" s="4">
        <v>2.23558568119096</v>
      </c>
      <c r="O320" s="4">
        <v>9.1616808404202104</v>
      </c>
      <c r="V320" s="4">
        <v>0.161494</v>
      </c>
      <c r="W320" s="4">
        <v>0.626701536025706</v>
      </c>
    </row>
    <row r="321" spans="1:23">
      <c r="A321" s="4" t="s">
        <v>1281</v>
      </c>
      <c r="B321" s="4" t="s">
        <v>1400</v>
      </c>
      <c r="C321" s="4">
        <v>2.5237449120000002</v>
      </c>
      <c r="D321" s="4">
        <v>1.843710438</v>
      </c>
      <c r="F321" s="4" t="s">
        <v>205</v>
      </c>
      <c r="G321" s="4">
        <v>1</v>
      </c>
      <c r="H321" s="4" t="s">
        <v>1279</v>
      </c>
      <c r="I321" s="4">
        <v>10</v>
      </c>
      <c r="J321" s="4" t="s">
        <v>2270</v>
      </c>
      <c r="K321" s="4" t="s">
        <v>2271</v>
      </c>
      <c r="L321" s="4">
        <v>2.3563108375470301</v>
      </c>
      <c r="M321" s="4">
        <v>11.467397343125601</v>
      </c>
      <c r="N321" s="4">
        <v>19.808243977205599</v>
      </c>
      <c r="O321" s="4">
        <v>0.57258629314657306</v>
      </c>
      <c r="V321" s="4">
        <v>0.26119199999999998</v>
      </c>
      <c r="W321" s="4">
        <v>1.5181339147968</v>
      </c>
    </row>
    <row r="322" spans="1:23">
      <c r="A322" s="4" t="s">
        <v>1281</v>
      </c>
      <c r="B322" s="4" t="s">
        <v>1400</v>
      </c>
      <c r="C322" s="4">
        <v>1.6499321570000001</v>
      </c>
      <c r="D322" s="4">
        <v>1.7266660840000001</v>
      </c>
      <c r="F322" s="4" t="s">
        <v>205</v>
      </c>
      <c r="G322" s="4">
        <v>2</v>
      </c>
      <c r="H322" s="4" t="s">
        <v>1280</v>
      </c>
      <c r="I322" s="4">
        <v>10</v>
      </c>
      <c r="J322" s="4" t="s">
        <v>2270</v>
      </c>
      <c r="K322" s="4" t="s">
        <v>2271</v>
      </c>
      <c r="L322" s="4">
        <v>1.87862563050575</v>
      </c>
      <c r="M322" s="4">
        <v>18.6922413778154</v>
      </c>
      <c r="N322" s="4">
        <v>4.0454258938727401</v>
      </c>
      <c r="O322" s="4">
        <v>3.0630315157578698</v>
      </c>
      <c r="V322" s="4">
        <v>0.42323499999999997</v>
      </c>
      <c r="W322" s="4">
        <v>1.5181339147968</v>
      </c>
    </row>
    <row r="323" spans="1:23">
      <c r="A323" s="4" t="s">
        <v>1281</v>
      </c>
      <c r="B323" s="4" t="s">
        <v>1400</v>
      </c>
      <c r="C323" s="4">
        <v>2.4233378559999998</v>
      </c>
      <c r="D323" s="4">
        <v>2.1069731780000001</v>
      </c>
      <c r="F323" s="4" t="s">
        <v>205</v>
      </c>
      <c r="G323" s="4">
        <v>1</v>
      </c>
      <c r="H323" s="4" t="s">
        <v>1279</v>
      </c>
      <c r="I323" s="4">
        <v>11</v>
      </c>
      <c r="J323" s="4" t="s">
        <v>1319</v>
      </c>
      <c r="K323" s="4" t="s">
        <v>2272</v>
      </c>
      <c r="L323" s="4">
        <v>2.4891742343687699</v>
      </c>
      <c r="M323" s="4">
        <v>16.179975700904901</v>
      </c>
      <c r="N323" s="4">
        <v>19.063224802888499</v>
      </c>
      <c r="O323" s="4">
        <v>0.26373186593296599</v>
      </c>
      <c r="V323" s="4">
        <v>0.33534700000000001</v>
      </c>
      <c r="W323" s="4">
        <v>1.2738235677801799</v>
      </c>
    </row>
    <row r="324" spans="1:23">
      <c r="A324" s="4" t="s">
        <v>1281</v>
      </c>
      <c r="B324" s="4" t="s">
        <v>1400</v>
      </c>
      <c r="C324" s="4">
        <v>2.6051560380000001</v>
      </c>
      <c r="D324" s="4">
        <v>2.1068853930000002</v>
      </c>
      <c r="F324" s="4" t="s">
        <v>205</v>
      </c>
      <c r="G324" s="4">
        <v>2</v>
      </c>
      <c r="H324" s="4" t="s">
        <v>1280</v>
      </c>
      <c r="I324" s="4">
        <v>11</v>
      </c>
      <c r="J324" s="4" t="s">
        <v>1319</v>
      </c>
      <c r="K324" s="4" t="s">
        <v>2272</v>
      </c>
      <c r="L324" s="4">
        <v>2.1398367564971501</v>
      </c>
      <c r="M324" s="4">
        <v>20.6005222824474</v>
      </c>
      <c r="N324" s="4">
        <v>6.6982063925925699</v>
      </c>
      <c r="O324" s="4">
        <v>1.26873436718359</v>
      </c>
      <c r="V324" s="4">
        <v>0.46992600000000001</v>
      </c>
      <c r="W324" s="4">
        <v>1.2738235677801799</v>
      </c>
    </row>
    <row r="325" spans="1:23">
      <c r="A325" s="4" t="s">
        <v>1281</v>
      </c>
      <c r="B325" s="4" t="s">
        <v>1400</v>
      </c>
      <c r="C325" s="4">
        <v>3.1071913160000002</v>
      </c>
      <c r="D325" s="4">
        <v>2.0982752570000001</v>
      </c>
      <c r="F325" s="4" t="s">
        <v>205</v>
      </c>
      <c r="G325" s="4">
        <v>1</v>
      </c>
      <c r="H325" s="4" t="s">
        <v>1279</v>
      </c>
      <c r="I325" s="4">
        <v>12</v>
      </c>
      <c r="J325" s="4" t="s">
        <v>1319</v>
      </c>
      <c r="K325" s="4" t="s">
        <v>2273</v>
      </c>
      <c r="L325" s="4">
        <v>2.3824288601198398</v>
      </c>
      <c r="M325" s="4">
        <v>14.6054153754356</v>
      </c>
      <c r="N325" s="4">
        <v>16.5163830821499</v>
      </c>
      <c r="O325" s="4">
        <v>0.46473236618309099</v>
      </c>
      <c r="V325" s="4">
        <v>0.29689599999999999</v>
      </c>
      <c r="W325" s="4">
        <v>1.18699641413221</v>
      </c>
    </row>
    <row r="326" spans="1:23">
      <c r="A326" s="4" t="s">
        <v>1281</v>
      </c>
      <c r="B326" s="4" t="s">
        <v>1400</v>
      </c>
      <c r="C326" s="4">
        <v>2.1329715060000001</v>
      </c>
      <c r="D326" s="4">
        <v>1.9341934000000001</v>
      </c>
      <c r="F326" s="4" t="s">
        <v>205</v>
      </c>
      <c r="G326" s="4">
        <v>2</v>
      </c>
      <c r="H326" s="4" t="s">
        <v>1280</v>
      </c>
      <c r="I326" s="4">
        <v>12</v>
      </c>
      <c r="J326" s="4" t="s">
        <v>1319</v>
      </c>
      <c r="K326" s="4" t="s">
        <v>2273</v>
      </c>
      <c r="L326" s="4">
        <v>1.98432387228256</v>
      </c>
      <c r="M326" s="4">
        <v>19.6759404215993</v>
      </c>
      <c r="N326" s="4">
        <v>4.9021700627849896</v>
      </c>
      <c r="O326" s="4">
        <v>2.1266633316658301</v>
      </c>
      <c r="V326" s="4">
        <v>0.33809400000000001</v>
      </c>
      <c r="W326" s="4">
        <v>1.18699641413221</v>
      </c>
    </row>
    <row r="327" spans="1:23">
      <c r="A327" s="4" t="s">
        <v>1281</v>
      </c>
      <c r="B327" s="4" t="s">
        <v>1400</v>
      </c>
      <c r="C327" s="4">
        <v>2.2578019</v>
      </c>
      <c r="D327" s="4">
        <v>1.6734682789999999</v>
      </c>
      <c r="F327" s="4" t="s">
        <v>205</v>
      </c>
      <c r="G327" s="4">
        <v>1</v>
      </c>
      <c r="H327" s="4" t="s">
        <v>1279</v>
      </c>
      <c r="I327" s="4">
        <v>13</v>
      </c>
      <c r="J327" s="4" t="s">
        <v>1319</v>
      </c>
      <c r="K327" s="4" t="s">
        <v>2274</v>
      </c>
      <c r="L327" s="4">
        <v>2.3319766686261199</v>
      </c>
      <c r="M327" s="4">
        <v>15.833735529595399</v>
      </c>
      <c r="N327" s="4">
        <v>13.5641718055059</v>
      </c>
      <c r="O327" s="4">
        <v>0.51375687843921902</v>
      </c>
      <c r="V327" s="4">
        <v>1.1290849999999999</v>
      </c>
      <c r="W327" s="4">
        <v>2.87115804766335</v>
      </c>
    </row>
    <row r="328" spans="1:23">
      <c r="A328" s="4" t="s">
        <v>1281</v>
      </c>
      <c r="B328" s="4" t="s">
        <v>1400</v>
      </c>
      <c r="C328" s="4">
        <v>1.278154681</v>
      </c>
      <c r="D328" s="4">
        <v>1.155328709</v>
      </c>
      <c r="F328" s="4" t="s">
        <v>205</v>
      </c>
      <c r="G328" s="4">
        <v>2</v>
      </c>
      <c r="H328" s="4" t="s">
        <v>1280</v>
      </c>
      <c r="I328" s="4">
        <v>13</v>
      </c>
      <c r="J328" s="4" t="s">
        <v>1319</v>
      </c>
      <c r="K328" s="4" t="s">
        <v>2274</v>
      </c>
      <c r="L328" s="4">
        <v>1.9758037697355599</v>
      </c>
      <c r="M328" s="4">
        <v>19.742380106801399</v>
      </c>
      <c r="N328" s="4">
        <v>4.7907582975132597</v>
      </c>
      <c r="O328" s="4">
        <v>2.0825412706353101</v>
      </c>
      <c r="V328" s="4">
        <v>0.86816800000000005</v>
      </c>
      <c r="W328" s="4">
        <v>2.87115804766335</v>
      </c>
    </row>
    <row r="329" spans="1:23">
      <c r="A329" s="4" t="s">
        <v>1281</v>
      </c>
      <c r="B329" s="4" t="s">
        <v>1400</v>
      </c>
      <c r="C329" s="4">
        <v>1.194029851</v>
      </c>
      <c r="D329" s="4">
        <v>1.0800967459999999</v>
      </c>
      <c r="F329" s="4" t="s">
        <v>205</v>
      </c>
      <c r="G329" s="4">
        <v>1</v>
      </c>
      <c r="H329" s="4" t="s">
        <v>1279</v>
      </c>
      <c r="I329" s="4">
        <v>14</v>
      </c>
      <c r="J329" s="4" t="s">
        <v>1281</v>
      </c>
      <c r="K329" s="4" t="s">
        <v>2275</v>
      </c>
      <c r="L329" s="4">
        <v>2.3850814295117502</v>
      </c>
      <c r="M329" s="4">
        <v>11.817033059283499</v>
      </c>
      <c r="N329" s="4">
        <v>20.538701305353001</v>
      </c>
      <c r="O329" s="4">
        <v>0.51375687843921902</v>
      </c>
      <c r="V329" s="4">
        <v>0.97802800000000001</v>
      </c>
      <c r="W329" s="4">
        <v>2.4076643826540201</v>
      </c>
    </row>
    <row r="330" spans="1:23">
      <c r="A330" s="4" t="s">
        <v>1281</v>
      </c>
      <c r="B330" s="4" t="s">
        <v>1400</v>
      </c>
      <c r="C330" s="4">
        <v>0.75983717799999995</v>
      </c>
      <c r="D330" s="4">
        <v>1.0154225050000001</v>
      </c>
      <c r="F330" s="4" t="s">
        <v>205</v>
      </c>
      <c r="G330" s="4">
        <v>2</v>
      </c>
      <c r="H330" s="4" t="s">
        <v>1280</v>
      </c>
      <c r="I330" s="4">
        <v>14</v>
      </c>
      <c r="J330" s="4" t="s">
        <v>1281</v>
      </c>
      <c r="K330" s="4" t="s">
        <v>2275</v>
      </c>
      <c r="L330" s="4">
        <v>1.91239283786939</v>
      </c>
      <c r="M330" s="4">
        <v>18.986134867197698</v>
      </c>
      <c r="N330" s="4">
        <v>4.3048326834204298</v>
      </c>
      <c r="O330" s="4">
        <v>2.7688844422211099</v>
      </c>
      <c r="V330" s="4">
        <v>0.991761</v>
      </c>
      <c r="W330" s="4">
        <v>2.4076643826540201</v>
      </c>
    </row>
    <row r="331" spans="1:23">
      <c r="A331" s="4" t="s">
        <v>1281</v>
      </c>
      <c r="B331" s="4" t="s">
        <v>1400</v>
      </c>
      <c r="C331" s="4">
        <v>2.4477611939999999</v>
      </c>
      <c r="D331" s="4">
        <v>2.1069731780000001</v>
      </c>
      <c r="F331" s="4" t="s">
        <v>205</v>
      </c>
      <c r="G331" s="4">
        <v>1</v>
      </c>
      <c r="H331" s="4" t="s">
        <v>1279</v>
      </c>
      <c r="I331" s="4">
        <v>15</v>
      </c>
      <c r="J331" s="4" t="s">
        <v>2276</v>
      </c>
      <c r="K331" s="4" t="s">
        <v>2277</v>
      </c>
      <c r="L331" s="4">
        <v>2.0919147349959899</v>
      </c>
      <c r="M331" s="4">
        <v>8.9189661500746595</v>
      </c>
      <c r="N331" s="4">
        <v>13.854798672860399</v>
      </c>
      <c r="O331" s="4">
        <v>1.3177588794397199</v>
      </c>
      <c r="V331" s="4">
        <v>0.89288699999999999</v>
      </c>
      <c r="W331" s="4">
        <v>2.2429401449864002</v>
      </c>
    </row>
    <row r="332" spans="1:23">
      <c r="A332" s="4" t="s">
        <v>1281</v>
      </c>
      <c r="B332" s="4" t="s">
        <v>1400</v>
      </c>
      <c r="C332" s="4">
        <v>2.5563093619999999</v>
      </c>
      <c r="D332" s="4">
        <v>2.1068853930000002</v>
      </c>
      <c r="F332" s="4" t="s">
        <v>205</v>
      </c>
      <c r="G332" s="4">
        <v>2</v>
      </c>
      <c r="H332" s="4" t="s">
        <v>1280</v>
      </c>
      <c r="I332" s="4">
        <v>15</v>
      </c>
      <c r="J332" s="4" t="s">
        <v>2276</v>
      </c>
      <c r="K332" s="4" t="s">
        <v>2277</v>
      </c>
      <c r="L332" s="4">
        <v>1.6161869290201201</v>
      </c>
      <c r="M332" s="4">
        <v>15.753758348449599</v>
      </c>
      <c r="N332" s="4">
        <v>2.6230269311750898</v>
      </c>
      <c r="O332" s="4">
        <v>6.5878939469734803</v>
      </c>
      <c r="V332" s="4">
        <v>0.98352099999999998</v>
      </c>
      <c r="W332" s="4">
        <v>2.2429401449864002</v>
      </c>
    </row>
    <row r="333" spans="1:23">
      <c r="A333" s="4" t="s">
        <v>1281</v>
      </c>
      <c r="B333" s="4" t="s">
        <v>1400</v>
      </c>
      <c r="C333" s="4">
        <v>2.7028493889999998</v>
      </c>
      <c r="D333" s="4">
        <v>2.0982752570000001</v>
      </c>
      <c r="F333" s="4" t="s">
        <v>2286</v>
      </c>
      <c r="G333" s="4">
        <v>1</v>
      </c>
      <c r="H333" s="4" t="s">
        <v>1279</v>
      </c>
      <c r="I333" s="4">
        <v>1</v>
      </c>
      <c r="J333" s="4" t="s">
        <v>196</v>
      </c>
      <c r="K333" s="4" t="s">
        <v>2255</v>
      </c>
      <c r="L333" s="4">
        <v>2.04931536892067</v>
      </c>
      <c r="M333" s="4">
        <v>10.6729238383853</v>
      </c>
      <c r="N333" s="4">
        <v>10.4961966457314</v>
      </c>
      <c r="O333" s="4">
        <v>3.37678839419709</v>
      </c>
      <c r="V333" s="4">
        <v>1.3652839999999999</v>
      </c>
      <c r="W333" s="4">
        <v>3.13295058721731</v>
      </c>
    </row>
    <row r="334" spans="1:23">
      <c r="A334" s="4" t="s">
        <v>1281</v>
      </c>
      <c r="B334" s="4" t="s">
        <v>1400</v>
      </c>
      <c r="C334" s="4">
        <v>0.36363636399999999</v>
      </c>
      <c r="D334" s="4">
        <v>1.9341934000000001</v>
      </c>
      <c r="F334" s="4" t="s">
        <v>2286</v>
      </c>
      <c r="G334" s="4">
        <v>2</v>
      </c>
      <c r="H334" s="4" t="s">
        <v>1280</v>
      </c>
      <c r="I334" s="4">
        <v>1</v>
      </c>
      <c r="J334" s="4" t="s">
        <v>196</v>
      </c>
      <c r="K334" s="4" t="s">
        <v>2255</v>
      </c>
      <c r="L334" s="4">
        <v>1.62947130881538</v>
      </c>
      <c r="M334" s="4">
        <v>17.132739055399998</v>
      </c>
      <c r="N334" s="4">
        <v>2.4868208991992802</v>
      </c>
      <c r="O334" s="4">
        <v>10</v>
      </c>
      <c r="V334" s="4">
        <v>1.024718</v>
      </c>
      <c r="W334" s="4">
        <v>3.13295058721731</v>
      </c>
    </row>
    <row r="335" spans="1:23">
      <c r="A335" s="4" t="s">
        <v>1281</v>
      </c>
      <c r="B335" s="4" t="s">
        <v>1400</v>
      </c>
      <c r="C335" s="4">
        <v>2.1872455899999999</v>
      </c>
      <c r="D335" s="4">
        <v>1.6734682789999999</v>
      </c>
      <c r="F335" s="4" t="s">
        <v>2286</v>
      </c>
      <c r="G335" s="4">
        <v>1</v>
      </c>
      <c r="H335" s="4" t="s">
        <v>1279</v>
      </c>
      <c r="I335" s="4">
        <v>2</v>
      </c>
      <c r="J335" s="4" t="s">
        <v>196</v>
      </c>
      <c r="K335" s="4" t="s">
        <v>2256</v>
      </c>
      <c r="L335" s="4">
        <v>2.17576939132947</v>
      </c>
      <c r="M335" s="4">
        <v>11.771146019582</v>
      </c>
      <c r="N335" s="4">
        <v>12.733583608725899</v>
      </c>
      <c r="O335" s="4">
        <v>2.1168584292146</v>
      </c>
      <c r="V335" s="4">
        <v>1.373524</v>
      </c>
      <c r="W335" s="4">
        <v>2.6270478061757299</v>
      </c>
    </row>
    <row r="336" spans="1:23">
      <c r="A336" s="4" t="s">
        <v>1281</v>
      </c>
      <c r="B336" s="4" t="s">
        <v>1400</v>
      </c>
      <c r="C336" s="4">
        <v>1.3188602439999999</v>
      </c>
      <c r="D336" s="4">
        <v>1.155328709</v>
      </c>
      <c r="F336" s="4" t="s">
        <v>2286</v>
      </c>
      <c r="G336" s="4">
        <v>2</v>
      </c>
      <c r="H336" s="4" t="s">
        <v>1280</v>
      </c>
      <c r="I336" s="4">
        <v>2</v>
      </c>
      <c r="J336" s="4" t="s">
        <v>196</v>
      </c>
      <c r="K336" s="4" t="s">
        <v>2256</v>
      </c>
      <c r="L336" s="4">
        <v>1.79117237568384</v>
      </c>
      <c r="M336" s="4">
        <v>17.473663703047102</v>
      </c>
      <c r="N336" s="4">
        <v>3.5382490817250898</v>
      </c>
      <c r="O336" s="4">
        <v>9.0685342671335594</v>
      </c>
      <c r="V336" s="4">
        <v>1.2307060000000001</v>
      </c>
      <c r="W336" s="4">
        <v>2.6270478061757299</v>
      </c>
    </row>
    <row r="337" spans="1:23">
      <c r="A337" s="4" t="s">
        <v>1281</v>
      </c>
      <c r="B337" s="4" t="s">
        <v>1400</v>
      </c>
      <c r="C337" s="4">
        <v>1.1858887380000001</v>
      </c>
      <c r="D337" s="4">
        <v>1.0800967459999999</v>
      </c>
      <c r="F337" s="4" t="s">
        <v>2286</v>
      </c>
      <c r="G337" s="4">
        <v>1</v>
      </c>
      <c r="H337" s="4" t="s">
        <v>1279</v>
      </c>
      <c r="I337" s="4">
        <v>3</v>
      </c>
      <c r="J337" s="4" t="s">
        <v>2257</v>
      </c>
      <c r="K337" s="4" t="s">
        <v>724</v>
      </c>
      <c r="L337" s="4">
        <v>2.4314795308584798</v>
      </c>
      <c r="M337" s="4">
        <v>15.7243697995348</v>
      </c>
      <c r="N337" s="4">
        <v>17.1753771349244</v>
      </c>
      <c r="O337" s="4">
        <v>0.41080540270135002</v>
      </c>
      <c r="V337" s="4">
        <v>1.3076080000000001</v>
      </c>
      <c r="W337" s="4">
        <v>2.44725149776378</v>
      </c>
    </row>
    <row r="338" spans="1:23">
      <c r="A338" s="4" t="s">
        <v>1281</v>
      </c>
      <c r="B338" s="4" t="s">
        <v>1400</v>
      </c>
      <c r="C338" s="4">
        <v>0.73812754400000002</v>
      </c>
      <c r="D338" s="4">
        <v>1.0154225050000001</v>
      </c>
      <c r="F338" s="4" t="s">
        <v>2286</v>
      </c>
      <c r="G338" s="4">
        <v>2</v>
      </c>
      <c r="H338" s="4" t="s">
        <v>1280</v>
      </c>
      <c r="I338" s="4">
        <v>3</v>
      </c>
      <c r="J338" s="4" t="s">
        <v>2257</v>
      </c>
      <c r="K338" s="4" t="s">
        <v>724</v>
      </c>
      <c r="L338" s="4">
        <v>2.2017375222225</v>
      </c>
      <c r="M338" s="4">
        <v>19.520813442490098</v>
      </c>
      <c r="N338" s="4">
        <v>8.1515390097666796</v>
      </c>
      <c r="O338" s="4">
        <v>1.9844922461230601</v>
      </c>
      <c r="V338" s="4">
        <v>1.1043670000000001</v>
      </c>
      <c r="W338" s="4">
        <v>2.44725149776378</v>
      </c>
    </row>
    <row r="339" spans="1:23">
      <c r="A339" s="4" t="s">
        <v>1281</v>
      </c>
      <c r="B339" s="4" t="s">
        <v>1400</v>
      </c>
      <c r="C339" s="4">
        <v>2.34192673</v>
      </c>
      <c r="D339" s="4">
        <v>2.1010596170000002</v>
      </c>
      <c r="F339" s="4" t="s">
        <v>2286</v>
      </c>
      <c r="G339" s="4">
        <v>1</v>
      </c>
      <c r="H339" s="4" t="s">
        <v>1279</v>
      </c>
      <c r="I339" s="4">
        <v>4</v>
      </c>
      <c r="J339" s="4" t="s">
        <v>2258</v>
      </c>
      <c r="K339" s="4" t="s">
        <v>2259</v>
      </c>
      <c r="L339" s="4">
        <v>1.62861245162977</v>
      </c>
      <c r="M339" s="4">
        <v>6.7775317377281299</v>
      </c>
      <c r="N339" s="4">
        <v>6.27394766521717</v>
      </c>
      <c r="O339" s="4">
        <v>10</v>
      </c>
      <c r="V339" s="4">
        <v>4.1200000000000004E-3</v>
      </c>
      <c r="W339" s="4">
        <v>0.100458860260805</v>
      </c>
    </row>
    <row r="340" spans="1:23">
      <c r="A340" s="4" t="s">
        <v>1281</v>
      </c>
      <c r="B340" s="4" t="s">
        <v>1400</v>
      </c>
      <c r="C340" s="4">
        <v>2.4016282229999999</v>
      </c>
      <c r="D340" s="4">
        <v>2.1004712809999999</v>
      </c>
      <c r="F340" s="4" t="s">
        <v>2286</v>
      </c>
      <c r="G340" s="4">
        <v>2</v>
      </c>
      <c r="H340" s="4" t="s">
        <v>1280</v>
      </c>
      <c r="I340" s="4">
        <v>4</v>
      </c>
      <c r="J340" s="4" t="s">
        <v>2258</v>
      </c>
      <c r="K340" s="4" t="s">
        <v>2259</v>
      </c>
      <c r="L340" s="4">
        <v>0.92552048846718404</v>
      </c>
      <c r="M340" s="4">
        <v>6.7775317377281299</v>
      </c>
      <c r="N340" s="4">
        <v>1.24293646230952</v>
      </c>
      <c r="O340" s="4">
        <v>10</v>
      </c>
      <c r="V340" s="4">
        <v>1.3183E-2</v>
      </c>
      <c r="W340" s="4">
        <v>0.100458860260805</v>
      </c>
    </row>
    <row r="341" spans="1:23">
      <c r="A341" s="4" t="s">
        <v>1281</v>
      </c>
      <c r="B341" s="4" t="s">
        <v>1400</v>
      </c>
      <c r="C341" s="4">
        <v>2.5725915879999999</v>
      </c>
      <c r="D341" s="4">
        <v>2.0449251469999998</v>
      </c>
      <c r="F341" s="4" t="s">
        <v>2286</v>
      </c>
      <c r="G341" s="4">
        <v>1</v>
      </c>
      <c r="H341" s="4" t="s">
        <v>1279</v>
      </c>
      <c r="I341" s="4">
        <v>5</v>
      </c>
      <c r="J341" s="4" t="s">
        <v>2260</v>
      </c>
      <c r="K341" s="4" t="s">
        <v>2261</v>
      </c>
      <c r="L341" s="4">
        <v>1.9093827975219599</v>
      </c>
      <c r="M341" s="4">
        <v>9.4522221577554699</v>
      </c>
      <c r="N341" s="4">
        <v>8.5871465974135592</v>
      </c>
      <c r="O341" s="4">
        <v>5.31325662831415</v>
      </c>
      <c r="V341" s="4">
        <v>7.4159999999999998E-3</v>
      </c>
      <c r="W341" s="4">
        <v>8.5804965587252299E-2</v>
      </c>
    </row>
    <row r="342" spans="1:23">
      <c r="A342" s="4" t="s">
        <v>1281</v>
      </c>
      <c r="B342" s="4" t="s">
        <v>1400</v>
      </c>
      <c r="C342" s="4">
        <v>2.3500678430000002</v>
      </c>
      <c r="D342" s="4">
        <v>1.4434441499999999</v>
      </c>
      <c r="F342" s="4" t="s">
        <v>2286</v>
      </c>
      <c r="G342" s="4">
        <v>2</v>
      </c>
      <c r="H342" s="4" t="s">
        <v>1280</v>
      </c>
      <c r="I342" s="4">
        <v>5</v>
      </c>
      <c r="J342" s="4" t="s">
        <v>2260</v>
      </c>
      <c r="K342" s="4" t="s">
        <v>2261</v>
      </c>
      <c r="L342" s="4">
        <v>1.3917546389041699</v>
      </c>
      <c r="M342" s="4">
        <v>13.949965899391801</v>
      </c>
      <c r="N342" s="4">
        <v>1.7667760072476899</v>
      </c>
      <c r="O342" s="4">
        <v>10</v>
      </c>
      <c r="V342" s="4">
        <v>4.1200000000000004E-3</v>
      </c>
      <c r="W342" s="4">
        <v>8.5804965587252299E-2</v>
      </c>
    </row>
    <row r="343" spans="1:23">
      <c r="A343" s="4" t="s">
        <v>1281</v>
      </c>
      <c r="B343" s="4" t="s">
        <v>1400</v>
      </c>
      <c r="C343" s="4">
        <v>1.7394843959999999</v>
      </c>
      <c r="D343" s="4">
        <v>1.0888945649999999</v>
      </c>
      <c r="F343" s="4" t="s">
        <v>2286</v>
      </c>
      <c r="G343" s="4">
        <v>1</v>
      </c>
      <c r="H343" s="4" t="s">
        <v>1279</v>
      </c>
      <c r="I343" s="4">
        <v>6</v>
      </c>
      <c r="J343" s="4" t="s">
        <v>2262</v>
      </c>
      <c r="K343" s="4" t="s">
        <v>2263</v>
      </c>
      <c r="L343" s="4">
        <v>2.3087373242373501</v>
      </c>
      <c r="M343" s="4">
        <v>13.3720479155813</v>
      </c>
      <c r="N343" s="4">
        <v>15.224372453710499</v>
      </c>
      <c r="O343" s="4">
        <v>1.1363681840920401</v>
      </c>
      <c r="V343" s="4">
        <v>4.3940000000000003E-3</v>
      </c>
      <c r="W343" s="4">
        <v>8.0597016026789606E-2</v>
      </c>
    </row>
    <row r="344" spans="1:23">
      <c r="A344" s="4" t="s">
        <v>1281</v>
      </c>
      <c r="B344" s="4" t="s">
        <v>1400</v>
      </c>
      <c r="C344" s="4">
        <v>0.800542741</v>
      </c>
      <c r="D344" s="4">
        <v>0.80664377600000003</v>
      </c>
      <c r="F344" s="4" t="s">
        <v>2286</v>
      </c>
      <c r="G344" s="4">
        <v>2</v>
      </c>
      <c r="H344" s="4" t="s">
        <v>1280</v>
      </c>
      <c r="I344" s="4">
        <v>6</v>
      </c>
      <c r="J344" s="4" t="s">
        <v>2262</v>
      </c>
      <c r="K344" s="4" t="s">
        <v>2263</v>
      </c>
      <c r="L344" s="4">
        <v>1.96266439070625</v>
      </c>
      <c r="M344" s="4">
        <v>18.7913868652936</v>
      </c>
      <c r="N344" s="4">
        <v>4.8832117515834703</v>
      </c>
      <c r="O344" s="4">
        <v>5.1563781890945402</v>
      </c>
      <c r="V344" s="4">
        <v>5.4900000000000001E-4</v>
      </c>
      <c r="W344" s="4">
        <v>8.0597016026789606E-2</v>
      </c>
    </row>
    <row r="345" spans="1:23">
      <c r="A345" s="4" t="s">
        <v>1281</v>
      </c>
      <c r="B345" s="4" t="s">
        <v>1400</v>
      </c>
      <c r="C345" s="4">
        <v>0.71099050200000002</v>
      </c>
      <c r="D345" s="4">
        <v>0.77876782499999997</v>
      </c>
      <c r="F345" s="4" t="s">
        <v>2286</v>
      </c>
      <c r="G345" s="4">
        <v>1</v>
      </c>
      <c r="H345" s="4" t="s">
        <v>1279</v>
      </c>
      <c r="I345" s="4">
        <v>7</v>
      </c>
      <c r="J345" s="4" t="s">
        <v>2264</v>
      </c>
      <c r="K345" s="4" t="s">
        <v>2265</v>
      </c>
      <c r="L345" s="4">
        <v>2.1584509721401002</v>
      </c>
      <c r="M345" s="4">
        <v>11.4821382049289</v>
      </c>
      <c r="N345" s="4">
        <v>12.543773463268099</v>
      </c>
      <c r="O345" s="4">
        <v>2.2688344172086001</v>
      </c>
      <c r="V345" s="4">
        <v>1.538314</v>
      </c>
      <c r="W345" s="4">
        <v>10.7870090223514</v>
      </c>
    </row>
    <row r="346" spans="1:23">
      <c r="A346" s="4" t="s">
        <v>1281</v>
      </c>
      <c r="B346" s="4" t="s">
        <v>1400</v>
      </c>
      <c r="C346" s="4">
        <v>0.52645861599999999</v>
      </c>
      <c r="D346" s="4">
        <v>0.75557577300000001</v>
      </c>
      <c r="F346" s="4" t="s">
        <v>2286</v>
      </c>
      <c r="G346" s="4">
        <v>2</v>
      </c>
      <c r="H346" s="4" t="s">
        <v>1280</v>
      </c>
      <c r="I346" s="4">
        <v>7</v>
      </c>
      <c r="J346" s="4" t="s">
        <v>2264</v>
      </c>
      <c r="K346" s="4" t="s">
        <v>2265</v>
      </c>
      <c r="L346" s="4">
        <v>1.7693443777098199</v>
      </c>
      <c r="M346" s="4">
        <v>17.260418808228401</v>
      </c>
      <c r="N346" s="4">
        <v>3.4063796410234302</v>
      </c>
      <c r="O346" s="4">
        <v>9.7254627313656794</v>
      </c>
      <c r="V346" s="4">
        <v>1.4916229999999999</v>
      </c>
      <c r="W346" s="4">
        <v>10.7870090223514</v>
      </c>
    </row>
    <row r="347" spans="1:23">
      <c r="A347" s="4" t="s">
        <v>1281</v>
      </c>
      <c r="B347" s="4" t="s">
        <v>1400</v>
      </c>
      <c r="C347" s="4">
        <v>2.3717774760000001</v>
      </c>
      <c r="D347" s="4">
        <v>2.1010596170000002</v>
      </c>
      <c r="F347" s="4" t="s">
        <v>2286</v>
      </c>
      <c r="G347" s="4">
        <v>1</v>
      </c>
      <c r="H347" s="4" t="s">
        <v>1279</v>
      </c>
      <c r="I347" s="4">
        <v>8</v>
      </c>
      <c r="J347" s="4" t="s">
        <v>2266</v>
      </c>
      <c r="K347" s="4" t="s">
        <v>2267</v>
      </c>
      <c r="L347" s="4">
        <v>2.1089153843212101</v>
      </c>
      <c r="M347" s="4">
        <v>11.0151482562675</v>
      </c>
      <c r="N347" s="4">
        <v>11.666082342885201</v>
      </c>
      <c r="O347" s="4">
        <v>2.73456728364182</v>
      </c>
      <c r="V347" s="4">
        <v>1.233452</v>
      </c>
      <c r="W347" s="4">
        <v>9.0411860631172392</v>
      </c>
    </row>
    <row r="348" spans="1:23">
      <c r="A348" s="4" t="s">
        <v>1281</v>
      </c>
      <c r="B348" s="4" t="s">
        <v>1400</v>
      </c>
      <c r="C348" s="4">
        <v>2.4477611939999999</v>
      </c>
      <c r="D348" s="4">
        <v>2.1004712809999999</v>
      </c>
      <c r="F348" s="4" t="s">
        <v>2286</v>
      </c>
      <c r="G348" s="4">
        <v>2</v>
      </c>
      <c r="H348" s="4" t="s">
        <v>1280</v>
      </c>
      <c r="I348" s="4">
        <v>8</v>
      </c>
      <c r="J348" s="4" t="s">
        <v>2266</v>
      </c>
      <c r="K348" s="4" t="s">
        <v>2267</v>
      </c>
      <c r="L348" s="4">
        <v>1.7097416152516001</v>
      </c>
      <c r="M348" s="4">
        <v>17.4667204624329</v>
      </c>
      <c r="N348" s="4">
        <v>2.9344738612608401</v>
      </c>
      <c r="O348" s="4">
        <v>10</v>
      </c>
      <c r="V348" s="4">
        <v>1.2746500000000001</v>
      </c>
      <c r="W348" s="4">
        <v>9.0411860631172392</v>
      </c>
    </row>
    <row r="349" spans="1:23">
      <c r="A349" s="4" t="s">
        <v>1281</v>
      </c>
      <c r="B349" s="4" t="s">
        <v>1400</v>
      </c>
      <c r="C349" s="4">
        <v>2.2713704209999999</v>
      </c>
      <c r="D349" s="4">
        <v>2.0449251469999998</v>
      </c>
      <c r="F349" s="4" t="s">
        <v>2286</v>
      </c>
      <c r="G349" s="4">
        <v>1</v>
      </c>
      <c r="H349" s="4" t="s">
        <v>1279</v>
      </c>
      <c r="I349" s="4">
        <v>9</v>
      </c>
      <c r="J349" s="4" t="s">
        <v>2268</v>
      </c>
      <c r="K349" s="4" t="s">
        <v>2269</v>
      </c>
      <c r="L349" s="4">
        <v>2.0214543974134198</v>
      </c>
      <c r="M349" s="4">
        <v>10.2278191264804</v>
      </c>
      <c r="N349" s="4">
        <v>10.272386661633099</v>
      </c>
      <c r="O349" s="4">
        <v>3.7101550775387602</v>
      </c>
      <c r="V349" s="4">
        <v>1.0109859999999999</v>
      </c>
      <c r="W349" s="4">
        <v>8.4207258976979809</v>
      </c>
    </row>
    <row r="350" spans="1:23">
      <c r="A350" s="4" t="s">
        <v>1281</v>
      </c>
      <c r="B350" s="4" t="s">
        <v>1400</v>
      </c>
      <c r="C350" s="4">
        <v>2.0922659430000001</v>
      </c>
      <c r="D350" s="4">
        <v>1.4434441499999999</v>
      </c>
      <c r="F350" s="4" t="s">
        <v>2286</v>
      </c>
      <c r="G350" s="4">
        <v>2</v>
      </c>
      <c r="H350" s="4" t="s">
        <v>1280</v>
      </c>
      <c r="I350" s="4">
        <v>9</v>
      </c>
      <c r="J350" s="4" t="s">
        <v>2268</v>
      </c>
      <c r="K350" s="4" t="s">
        <v>2269</v>
      </c>
      <c r="L350" s="4">
        <v>1.57725093522885</v>
      </c>
      <c r="M350" s="4">
        <v>16.6282039336837</v>
      </c>
      <c r="N350" s="4">
        <v>2.2719856971692902</v>
      </c>
      <c r="O350" s="4">
        <v>10</v>
      </c>
      <c r="V350" s="4">
        <v>0.87640799999999996</v>
      </c>
      <c r="W350" s="4">
        <v>8.4207258976979809</v>
      </c>
    </row>
    <row r="351" spans="1:23">
      <c r="A351" s="4" t="s">
        <v>1281</v>
      </c>
      <c r="B351" s="4" t="s">
        <v>1400</v>
      </c>
      <c r="C351" s="4">
        <v>1.7394843959999999</v>
      </c>
      <c r="D351" s="4">
        <v>1.0888945649999999</v>
      </c>
      <c r="F351" s="4" t="s">
        <v>2286</v>
      </c>
      <c r="G351" s="4">
        <v>1</v>
      </c>
      <c r="H351" s="4" t="s">
        <v>1279</v>
      </c>
      <c r="I351" s="4">
        <v>10</v>
      </c>
      <c r="J351" s="4" t="s">
        <v>2270</v>
      </c>
      <c r="K351" s="4" t="s">
        <v>2271</v>
      </c>
      <c r="L351" s="4">
        <v>2.30380630520406</v>
      </c>
      <c r="M351" s="4">
        <v>13.244943912066701</v>
      </c>
      <c r="N351" s="4">
        <v>15.196941149603299</v>
      </c>
      <c r="O351" s="4">
        <v>1.16578289144572</v>
      </c>
      <c r="V351" s="4">
        <v>6.8225759999999998</v>
      </c>
      <c r="W351" s="4">
        <v>24.366520075423502</v>
      </c>
    </row>
    <row r="352" spans="1:23">
      <c r="A352" s="4" t="s">
        <v>1281</v>
      </c>
      <c r="B352" s="4" t="s">
        <v>1400</v>
      </c>
      <c r="C352" s="4">
        <v>0.78426051600000002</v>
      </c>
      <c r="D352" s="4">
        <v>0.80664377600000003</v>
      </c>
      <c r="F352" s="4" t="s">
        <v>2286</v>
      </c>
      <c r="G352" s="4">
        <v>2</v>
      </c>
      <c r="H352" s="4" t="s">
        <v>1280</v>
      </c>
      <c r="I352" s="4">
        <v>10</v>
      </c>
      <c r="J352" s="4" t="s">
        <v>2270</v>
      </c>
      <c r="K352" s="4" t="s">
        <v>2271</v>
      </c>
      <c r="L352" s="4">
        <v>1.95482118102278</v>
      </c>
      <c r="M352" s="4">
        <v>18.746921190247601</v>
      </c>
      <c r="N352" s="4">
        <v>4.80718933335271</v>
      </c>
      <c r="O352" s="4">
        <v>5.2985492746373097</v>
      </c>
      <c r="V352" s="4">
        <v>6.907718</v>
      </c>
      <c r="W352" s="4">
        <v>24.366520075423502</v>
      </c>
    </row>
    <row r="353" spans="1:23">
      <c r="A353" s="4" t="s">
        <v>1281</v>
      </c>
      <c r="B353" s="4" t="s">
        <v>1400</v>
      </c>
      <c r="C353" s="4">
        <v>0.69470827700000004</v>
      </c>
      <c r="D353" s="4">
        <v>0.77876782499999997</v>
      </c>
      <c r="F353" s="4" t="s">
        <v>2286</v>
      </c>
      <c r="G353" s="4">
        <v>1</v>
      </c>
      <c r="H353" s="4" t="s">
        <v>1279</v>
      </c>
      <c r="I353" s="4">
        <v>11</v>
      </c>
      <c r="J353" s="4" t="s">
        <v>1319</v>
      </c>
      <c r="K353" s="4" t="s">
        <v>2272</v>
      </c>
      <c r="L353" s="4">
        <v>2.37886552208378</v>
      </c>
      <c r="M353" s="4">
        <v>16.635163061838998</v>
      </c>
      <c r="N353" s="4">
        <v>14.3826350217479</v>
      </c>
      <c r="O353" s="4">
        <v>0.52356178089044503</v>
      </c>
      <c r="V353" s="4">
        <v>6.259544</v>
      </c>
      <c r="W353" s="4">
        <v>20.420882480935902</v>
      </c>
    </row>
    <row r="354" spans="1:23">
      <c r="A354" s="4" t="s">
        <v>1281</v>
      </c>
      <c r="B354" s="4" t="s">
        <v>1400</v>
      </c>
      <c r="C354" s="4">
        <v>0.51289009500000005</v>
      </c>
      <c r="D354" s="4">
        <v>0.75557577300000001</v>
      </c>
      <c r="F354" s="4" t="s">
        <v>2286</v>
      </c>
      <c r="G354" s="4">
        <v>2</v>
      </c>
      <c r="H354" s="4" t="s">
        <v>1280</v>
      </c>
      <c r="I354" s="4">
        <v>11</v>
      </c>
      <c r="J354" s="4" t="s">
        <v>1319</v>
      </c>
      <c r="K354" s="4" t="s">
        <v>2272</v>
      </c>
      <c r="L354" s="4">
        <v>2.15634790263758</v>
      </c>
      <c r="M354" s="4">
        <v>19.7044512450593</v>
      </c>
      <c r="N354" s="4">
        <v>7.2741718692720401</v>
      </c>
      <c r="O354" s="4">
        <v>2.2443221610805399</v>
      </c>
      <c r="V354" s="4">
        <v>5.8283440000000004</v>
      </c>
      <c r="W354" s="4">
        <v>20.420882480935902</v>
      </c>
    </row>
    <row r="355" spans="1:23">
      <c r="A355" s="4" t="s">
        <v>1281</v>
      </c>
      <c r="B355" s="4" t="s">
        <v>1400</v>
      </c>
      <c r="C355" s="4">
        <v>2.3364993219999999</v>
      </c>
      <c r="D355" s="4">
        <v>2.072643459</v>
      </c>
      <c r="F355" s="4" t="s">
        <v>2286</v>
      </c>
      <c r="G355" s="4">
        <v>1</v>
      </c>
      <c r="H355" s="4" t="s">
        <v>1279</v>
      </c>
      <c r="I355" s="4">
        <v>12</v>
      </c>
      <c r="J355" s="4" t="s">
        <v>1319</v>
      </c>
      <c r="K355" s="4" t="s">
        <v>2273</v>
      </c>
      <c r="L355" s="4">
        <v>2.31503888643884</v>
      </c>
      <c r="M355" s="4">
        <v>15.508704031942401</v>
      </c>
      <c r="N355" s="4">
        <v>13.3187472828177</v>
      </c>
      <c r="O355" s="4">
        <v>0.90105052526263096</v>
      </c>
      <c r="V355" s="4">
        <v>4.916506</v>
      </c>
      <c r="W355" s="4">
        <v>19.018614890392701</v>
      </c>
    </row>
    <row r="356" spans="1:23">
      <c r="A356" s="4" t="s">
        <v>1281</v>
      </c>
      <c r="B356" s="4" t="s">
        <v>1400</v>
      </c>
      <c r="C356" s="4">
        <v>2.3283582090000001</v>
      </c>
      <c r="D356" s="4">
        <v>2.0697121630000002</v>
      </c>
      <c r="F356" s="4" t="s">
        <v>2286</v>
      </c>
      <c r="G356" s="4">
        <v>2</v>
      </c>
      <c r="H356" s="4" t="s">
        <v>1280</v>
      </c>
      <c r="I356" s="4">
        <v>12</v>
      </c>
      <c r="J356" s="4" t="s">
        <v>1319</v>
      </c>
      <c r="K356" s="4" t="s">
        <v>2273</v>
      </c>
      <c r="L356" s="4">
        <v>2.0367857372620901</v>
      </c>
      <c r="M356" s="4">
        <v>19.3339312402383</v>
      </c>
      <c r="N356" s="4">
        <v>5.6294448332093197</v>
      </c>
      <c r="O356" s="4">
        <v>3.7101550775387602</v>
      </c>
      <c r="V356" s="4">
        <v>4.3672069999999996</v>
      </c>
      <c r="W356" s="4">
        <v>19.018614890392701</v>
      </c>
    </row>
    <row r="357" spans="1:23">
      <c r="A357" s="4" t="s">
        <v>1281</v>
      </c>
      <c r="B357" s="4" t="s">
        <v>1400</v>
      </c>
      <c r="C357" s="4">
        <v>2.3799185889999999</v>
      </c>
      <c r="D357" s="4">
        <v>1.8312085979999999</v>
      </c>
      <c r="F357" s="4" t="s">
        <v>2286</v>
      </c>
      <c r="G357" s="4">
        <v>1</v>
      </c>
      <c r="H357" s="4" t="s">
        <v>1279</v>
      </c>
      <c r="I357" s="4">
        <v>13</v>
      </c>
      <c r="J357" s="4" t="s">
        <v>1319</v>
      </c>
      <c r="K357" s="4" t="s">
        <v>2274</v>
      </c>
      <c r="L357" s="4">
        <v>2.2758674839887201</v>
      </c>
      <c r="M357" s="4">
        <v>16.428973578097199</v>
      </c>
      <c r="N357" s="4">
        <v>11.4883339872225</v>
      </c>
      <c r="O357" s="4">
        <v>0.96478239119559706</v>
      </c>
      <c r="V357" s="4">
        <v>9.9371050000000007</v>
      </c>
      <c r="W357" s="4">
        <v>26.282370155941901</v>
      </c>
    </row>
    <row r="358" spans="1:23">
      <c r="A358" s="4" t="s">
        <v>1281</v>
      </c>
      <c r="B358" s="4" t="s">
        <v>1400</v>
      </c>
      <c r="C358" s="4">
        <v>1.6146540030000001</v>
      </c>
      <c r="D358" s="4">
        <v>0.92367432699999996</v>
      </c>
      <c r="F358" s="4" t="s">
        <v>2286</v>
      </c>
      <c r="G358" s="4">
        <v>2</v>
      </c>
      <c r="H358" s="4" t="s">
        <v>1280</v>
      </c>
      <c r="I358" s="4">
        <v>13</v>
      </c>
      <c r="J358" s="4" t="s">
        <v>1319</v>
      </c>
      <c r="K358" s="4" t="s">
        <v>2274</v>
      </c>
      <c r="L358" s="4">
        <v>2.0255749823064502</v>
      </c>
      <c r="M358" s="4">
        <v>19.458863772180901</v>
      </c>
      <c r="N358" s="4">
        <v>5.4507655778544404</v>
      </c>
      <c r="O358" s="4">
        <v>3.6170085042521198</v>
      </c>
      <c r="V358" s="4">
        <v>10.373799999999999</v>
      </c>
      <c r="W358" s="4">
        <v>26.282370155941901</v>
      </c>
    </row>
    <row r="359" spans="1:23">
      <c r="A359" s="4" t="s">
        <v>1281</v>
      </c>
      <c r="B359" s="4" t="s">
        <v>1400</v>
      </c>
      <c r="C359" s="4">
        <v>1.191316147</v>
      </c>
      <c r="D359" s="4">
        <v>0.75181856700000005</v>
      </c>
      <c r="F359" s="4" t="s">
        <v>2286</v>
      </c>
      <c r="G359" s="4">
        <v>1</v>
      </c>
      <c r="H359" s="4" t="s">
        <v>1279</v>
      </c>
      <c r="I359" s="4">
        <v>14</v>
      </c>
      <c r="J359" s="4" t="s">
        <v>1281</v>
      </c>
      <c r="K359" s="4" t="s">
        <v>2275</v>
      </c>
      <c r="L359" s="4">
        <v>2.3220256945876301</v>
      </c>
      <c r="M359" s="4">
        <v>13.559123514783099</v>
      </c>
      <c r="N359" s="4">
        <v>15.480824159719701</v>
      </c>
      <c r="O359" s="4">
        <v>1.0530265132566199</v>
      </c>
      <c r="V359" s="4">
        <v>7.5778629999999998</v>
      </c>
      <c r="W359" s="4">
        <v>22.026374181862799</v>
      </c>
    </row>
    <row r="360" spans="1:23">
      <c r="A360" s="4" t="s">
        <v>1281</v>
      </c>
      <c r="B360" s="4" t="s">
        <v>1400</v>
      </c>
      <c r="C360" s="4">
        <v>0.56173677099999997</v>
      </c>
      <c r="D360" s="4">
        <v>0.65403634200000005</v>
      </c>
      <c r="F360" s="4" t="s">
        <v>2286</v>
      </c>
      <c r="G360" s="4">
        <v>2</v>
      </c>
      <c r="H360" s="4" t="s">
        <v>1280</v>
      </c>
      <c r="I360" s="4">
        <v>14</v>
      </c>
      <c r="J360" s="4" t="s">
        <v>1281</v>
      </c>
      <c r="K360" s="4" t="s">
        <v>2275</v>
      </c>
      <c r="L360" s="4">
        <v>1.9826740323057599</v>
      </c>
      <c r="M360" s="4">
        <v>18.903632229412</v>
      </c>
      <c r="N360" s="4">
        <v>5.0831013943439496</v>
      </c>
      <c r="O360" s="4">
        <v>4.8083041520760297</v>
      </c>
      <c r="V360" s="4">
        <v>8.6270260000000007</v>
      </c>
      <c r="W360" s="4">
        <v>22.026374181862799</v>
      </c>
    </row>
    <row r="361" spans="1:23">
      <c r="A361" s="4" t="s">
        <v>1281</v>
      </c>
      <c r="B361" s="4" t="s">
        <v>1400</v>
      </c>
      <c r="C361" s="4">
        <v>0.49389416600000002</v>
      </c>
      <c r="D361" s="4">
        <v>0.64477239099999994</v>
      </c>
      <c r="F361" s="4" t="s">
        <v>2286</v>
      </c>
      <c r="G361" s="4">
        <v>1</v>
      </c>
      <c r="H361" s="4" t="s">
        <v>1279</v>
      </c>
      <c r="I361" s="4">
        <v>15</v>
      </c>
      <c r="J361" s="4" t="s">
        <v>2276</v>
      </c>
      <c r="K361" s="4" t="s">
        <v>2277</v>
      </c>
      <c r="L361" s="4">
        <v>2.1252200500580898</v>
      </c>
      <c r="M361" s="4">
        <v>11.0142226329296</v>
      </c>
      <c r="N361" s="4">
        <v>12.113403930398199</v>
      </c>
      <c r="O361" s="4">
        <v>2.5776888444222101</v>
      </c>
      <c r="V361" s="4">
        <v>7.1686350000000001</v>
      </c>
      <c r="W361" s="4">
        <v>20.513806167944999</v>
      </c>
    </row>
    <row r="362" spans="1:23">
      <c r="A362" s="4" t="s">
        <v>1281</v>
      </c>
      <c r="B362" s="4" t="s">
        <v>1400</v>
      </c>
      <c r="C362" s="4">
        <v>0.41791044799999999</v>
      </c>
      <c r="D362" s="4">
        <v>0.63697636899999999</v>
      </c>
      <c r="F362" s="4" t="s">
        <v>2286</v>
      </c>
      <c r="G362" s="4">
        <v>2</v>
      </c>
      <c r="H362" s="4" t="s">
        <v>1280</v>
      </c>
      <c r="I362" s="4">
        <v>15</v>
      </c>
      <c r="J362" s="4" t="s">
        <v>2276</v>
      </c>
      <c r="K362" s="4" t="s">
        <v>2277</v>
      </c>
      <c r="L362" s="4">
        <v>1.7268024512957201</v>
      </c>
      <c r="M362" s="4">
        <v>17.434864959147198</v>
      </c>
      <c r="N362" s="4">
        <v>3.0576224847140998</v>
      </c>
      <c r="O362" s="4">
        <v>10</v>
      </c>
      <c r="V362" s="4">
        <v>7.3938480000000002</v>
      </c>
      <c r="W362" s="4">
        <v>20.513806167944999</v>
      </c>
    </row>
    <row r="363" spans="1:23">
      <c r="A363" s="4" t="s">
        <v>1281</v>
      </c>
      <c r="B363" s="4" t="s">
        <v>1400</v>
      </c>
      <c r="C363" s="4">
        <v>2.3799185889999999</v>
      </c>
      <c r="D363" s="4">
        <v>2.072643459</v>
      </c>
      <c r="F363" s="4" t="s">
        <v>2287</v>
      </c>
      <c r="G363" s="4">
        <v>1</v>
      </c>
      <c r="H363" s="4" t="s">
        <v>1279</v>
      </c>
      <c r="I363" s="4">
        <v>1</v>
      </c>
      <c r="J363" s="4" t="s">
        <v>196</v>
      </c>
      <c r="K363" s="4" t="s">
        <v>2255</v>
      </c>
      <c r="L363" s="4">
        <v>0.259479323539962</v>
      </c>
      <c r="M363" s="4">
        <v>0.26093894665781597</v>
      </c>
      <c r="N363" s="4">
        <v>6.9653094964143598</v>
      </c>
      <c r="O363" s="4">
        <v>10</v>
      </c>
      <c r="V363" s="4">
        <v>15.55369</v>
      </c>
      <c r="W363" s="4">
        <v>27.7004922262165</v>
      </c>
    </row>
    <row r="364" spans="1:23">
      <c r="A364" s="4" t="s">
        <v>1281</v>
      </c>
      <c r="B364" s="4" t="s">
        <v>1400</v>
      </c>
      <c r="C364" s="4">
        <v>2.4559023070000001</v>
      </c>
      <c r="D364" s="4">
        <v>2.0697121630000002</v>
      </c>
      <c r="F364" s="4" t="s">
        <v>2287</v>
      </c>
      <c r="G364" s="4">
        <v>2</v>
      </c>
      <c r="H364" s="4" t="s">
        <v>1280</v>
      </c>
      <c r="I364" s="4">
        <v>1</v>
      </c>
      <c r="J364" s="4" t="s">
        <v>196</v>
      </c>
      <c r="K364" s="4" t="s">
        <v>2255</v>
      </c>
      <c r="L364" s="4">
        <v>-0.58028768850296497</v>
      </c>
      <c r="M364" s="4">
        <v>0.26093894665781597</v>
      </c>
      <c r="N364" s="4">
        <v>1.00733380022955</v>
      </c>
      <c r="O364" s="4">
        <v>10</v>
      </c>
      <c r="V364" s="4">
        <v>14.674810000000001</v>
      </c>
      <c r="W364" s="4">
        <v>27.7004922262165</v>
      </c>
    </row>
    <row r="365" spans="1:23">
      <c r="A365" s="4" t="s">
        <v>1281</v>
      </c>
      <c r="B365" s="4" t="s">
        <v>1400</v>
      </c>
      <c r="C365" s="4">
        <v>2.5318860239999998</v>
      </c>
      <c r="D365" s="4">
        <v>1.8312085979999999</v>
      </c>
      <c r="F365" s="4" t="s">
        <v>2287</v>
      </c>
      <c r="G365" s="4">
        <v>1</v>
      </c>
      <c r="H365" s="4" t="s">
        <v>1279</v>
      </c>
      <c r="I365" s="4">
        <v>2</v>
      </c>
      <c r="J365" s="4" t="s">
        <v>196</v>
      </c>
      <c r="K365" s="4" t="s">
        <v>2256</v>
      </c>
      <c r="L365" s="4">
        <v>1.00478619291933</v>
      </c>
      <c r="M365" s="4">
        <v>0.58348579452146998</v>
      </c>
      <c r="N365" s="4">
        <v>17.328297906380001</v>
      </c>
      <c r="O365" s="4">
        <v>10</v>
      </c>
      <c r="V365" s="4">
        <v>12.1343</v>
      </c>
      <c r="W365" s="4">
        <v>23.214767385422402</v>
      </c>
    </row>
    <row r="366" spans="1:23">
      <c r="A366" s="4" t="s">
        <v>1281</v>
      </c>
      <c r="B366" s="4" t="s">
        <v>1400</v>
      </c>
      <c r="C366" s="4">
        <v>1.69063772</v>
      </c>
      <c r="D366" s="4">
        <v>0.92367432699999996</v>
      </c>
      <c r="F366" s="4" t="s">
        <v>2287</v>
      </c>
      <c r="G366" s="4">
        <v>2</v>
      </c>
      <c r="H366" s="4" t="s">
        <v>1280</v>
      </c>
      <c r="I366" s="4">
        <v>2</v>
      </c>
      <c r="J366" s="4" t="s">
        <v>196</v>
      </c>
      <c r="K366" s="4" t="s">
        <v>2256</v>
      </c>
      <c r="L366" s="4">
        <v>-0.226839130637181</v>
      </c>
      <c r="M366" s="4">
        <v>0.58348579452146498</v>
      </c>
      <c r="N366" s="4">
        <v>1.01655430089389</v>
      </c>
      <c r="O366" s="4">
        <v>10</v>
      </c>
      <c r="V366" s="4">
        <v>12.35952</v>
      </c>
      <c r="W366" s="4">
        <v>23.214767385422402</v>
      </c>
    </row>
    <row r="367" spans="1:23">
      <c r="A367" s="4" t="s">
        <v>1281</v>
      </c>
      <c r="B367" s="4" t="s">
        <v>1400</v>
      </c>
      <c r="C367" s="4">
        <v>1.226594301</v>
      </c>
      <c r="D367" s="4">
        <v>0.75181856700000005</v>
      </c>
      <c r="F367" s="4" t="s">
        <v>2287</v>
      </c>
      <c r="G367" s="4">
        <v>1</v>
      </c>
      <c r="H367" s="4" t="s">
        <v>1279</v>
      </c>
      <c r="I367" s="4">
        <v>3</v>
      </c>
      <c r="J367" s="4" t="s">
        <v>2257</v>
      </c>
      <c r="K367" s="4" t="s">
        <v>724</v>
      </c>
      <c r="L367" s="4">
        <v>2.3217083653495698</v>
      </c>
      <c r="M367" s="4">
        <v>10.1181014653862</v>
      </c>
      <c r="N367" s="4">
        <v>20.730478907101102</v>
      </c>
      <c r="O367" s="4">
        <v>10</v>
      </c>
      <c r="V367" s="4">
        <v>11.09887</v>
      </c>
      <c r="W367" s="4">
        <v>21.620554431569801</v>
      </c>
    </row>
    <row r="368" spans="1:23">
      <c r="A368" s="4" t="s">
        <v>1281</v>
      </c>
      <c r="B368" s="4" t="s">
        <v>1400</v>
      </c>
      <c r="C368" s="4">
        <v>0.53188602399999996</v>
      </c>
      <c r="D368" s="4">
        <v>0.65403634200000005</v>
      </c>
      <c r="F368" s="4" t="s">
        <v>2287</v>
      </c>
      <c r="G368" s="4">
        <v>2</v>
      </c>
      <c r="H368" s="4" t="s">
        <v>1280</v>
      </c>
      <c r="I368" s="4">
        <v>3</v>
      </c>
      <c r="J368" s="4" t="s">
        <v>2257</v>
      </c>
      <c r="K368" s="4" t="s">
        <v>724</v>
      </c>
      <c r="L368" s="4">
        <v>1.15142930928842</v>
      </c>
      <c r="M368" s="4">
        <v>10.1181014653862</v>
      </c>
      <c r="N368" s="4">
        <v>1.4006521074062299</v>
      </c>
      <c r="O368" s="4">
        <v>10</v>
      </c>
      <c r="V368" s="4">
        <v>10.862679999999999</v>
      </c>
      <c r="W368" s="4">
        <v>21.620554431569801</v>
      </c>
    </row>
    <row r="369" spans="1:23">
      <c r="A369" s="4" t="s">
        <v>1281</v>
      </c>
      <c r="B369" s="4" t="s">
        <v>1400</v>
      </c>
      <c r="C369" s="4">
        <v>0.49389416600000002</v>
      </c>
      <c r="D369" s="4">
        <v>0.64477239099999994</v>
      </c>
      <c r="F369" s="4" t="s">
        <v>2287</v>
      </c>
      <c r="G369" s="4">
        <v>1</v>
      </c>
      <c r="H369" s="4" t="s">
        <v>1279</v>
      </c>
      <c r="I369" s="4">
        <v>4</v>
      </c>
      <c r="J369" s="4" t="s">
        <v>2258</v>
      </c>
      <c r="K369" s="4" t="s">
        <v>2259</v>
      </c>
      <c r="L369" s="4">
        <v>-1.3314988306772499</v>
      </c>
      <c r="M369" s="4">
        <v>3.5425324082433103E-2</v>
      </c>
      <c r="N369" s="4">
        <v>1.3157922901066601</v>
      </c>
      <c r="O369" s="4">
        <v>10</v>
      </c>
      <c r="V369" s="4">
        <v>15.89151</v>
      </c>
      <c r="W369" s="4">
        <v>27.868708111387999</v>
      </c>
    </row>
    <row r="370" spans="1:23">
      <c r="A370" s="4" t="s">
        <v>1281</v>
      </c>
      <c r="B370" s="4" t="s">
        <v>1400</v>
      </c>
      <c r="C370" s="4">
        <v>0.42605156</v>
      </c>
      <c r="D370" s="4">
        <v>0.63697636899999999</v>
      </c>
      <c r="F370" s="4" t="s">
        <v>2287</v>
      </c>
      <c r="G370" s="4">
        <v>2</v>
      </c>
      <c r="H370" s="4" t="s">
        <v>1280</v>
      </c>
      <c r="I370" s="4">
        <v>4</v>
      </c>
      <c r="J370" s="4" t="s">
        <v>2258</v>
      </c>
      <c r="K370" s="4" t="s">
        <v>2259</v>
      </c>
      <c r="L370" s="4">
        <v>-1.4502567918234901</v>
      </c>
      <c r="M370" s="4">
        <v>3.5425324082432E-2</v>
      </c>
      <c r="N370" s="4">
        <v>1.00098916407126</v>
      </c>
      <c r="O370" s="4">
        <v>10</v>
      </c>
      <c r="V370" s="4">
        <v>15.64982</v>
      </c>
      <c r="W370" s="4">
        <v>27.868708111387999</v>
      </c>
    </row>
    <row r="371" spans="1:23">
      <c r="A371" s="4" t="s">
        <v>1281</v>
      </c>
      <c r="B371" s="4" t="s">
        <v>1400</v>
      </c>
      <c r="C371" s="4">
        <v>2.3717774760000001</v>
      </c>
      <c r="D371" s="4">
        <v>2.0157170459999998</v>
      </c>
      <c r="F371" s="4" t="s">
        <v>2287</v>
      </c>
      <c r="G371" s="4">
        <v>1</v>
      </c>
      <c r="H371" s="4" t="s">
        <v>1279</v>
      </c>
      <c r="I371" s="4">
        <v>5</v>
      </c>
      <c r="J371" s="4" t="s">
        <v>2260</v>
      </c>
      <c r="K371" s="4" t="s">
        <v>2261</v>
      </c>
      <c r="L371" s="4">
        <v>-0.380986759285251</v>
      </c>
      <c r="M371" s="4">
        <v>0.120363110471343</v>
      </c>
      <c r="N371" s="4">
        <v>3.4555711404281602</v>
      </c>
      <c r="O371" s="4">
        <v>10</v>
      </c>
      <c r="V371" s="4">
        <v>13.10107</v>
      </c>
      <c r="W371" s="4">
        <v>23.355733116693902</v>
      </c>
    </row>
    <row r="372" spans="1:23">
      <c r="A372" s="4" t="s">
        <v>1281</v>
      </c>
      <c r="B372" s="4" t="s">
        <v>1400</v>
      </c>
      <c r="C372" s="4">
        <v>2.4613297150000002</v>
      </c>
      <c r="D372" s="4">
        <v>2.0083881130000001</v>
      </c>
      <c r="F372" s="4" t="s">
        <v>2287</v>
      </c>
      <c r="G372" s="4">
        <v>2</v>
      </c>
      <c r="H372" s="4" t="s">
        <v>1280</v>
      </c>
      <c r="I372" s="4">
        <v>5</v>
      </c>
      <c r="J372" s="4" t="s">
        <v>2260</v>
      </c>
      <c r="K372" s="4" t="s">
        <v>2261</v>
      </c>
      <c r="L372" s="4">
        <v>-0.91804587625926304</v>
      </c>
      <c r="M372" s="4">
        <v>0.120363110471345</v>
      </c>
      <c r="N372" s="4">
        <v>1.00336909782449</v>
      </c>
      <c r="O372" s="4">
        <v>10</v>
      </c>
      <c r="V372" s="4">
        <v>14.23263</v>
      </c>
      <c r="W372" s="4">
        <v>23.355733116693902</v>
      </c>
    </row>
    <row r="373" spans="1:23">
      <c r="A373" s="4" t="s">
        <v>1281</v>
      </c>
      <c r="B373" s="4" t="s">
        <v>1400</v>
      </c>
      <c r="C373" s="4">
        <v>2.4559023070000001</v>
      </c>
      <c r="D373" s="4">
        <v>1.5371624850000001</v>
      </c>
      <c r="F373" s="4" t="s">
        <v>2287</v>
      </c>
      <c r="G373" s="4">
        <v>1</v>
      </c>
      <c r="H373" s="4" t="s">
        <v>1279</v>
      </c>
      <c r="I373" s="4">
        <v>6</v>
      </c>
      <c r="J373" s="4" t="s">
        <v>2262</v>
      </c>
      <c r="K373" s="4" t="s">
        <v>2263</v>
      </c>
      <c r="L373" s="4">
        <v>1.66550308987226</v>
      </c>
      <c r="M373" s="4">
        <v>1.8068761558849999</v>
      </c>
      <c r="N373" s="4">
        <v>25.619739115521298</v>
      </c>
      <c r="O373" s="4">
        <v>10</v>
      </c>
      <c r="V373" s="4">
        <v>12.980230000000001</v>
      </c>
      <c r="W373" s="4">
        <v>21.751835541094898</v>
      </c>
    </row>
    <row r="374" spans="1:23">
      <c r="A374" s="4" t="s">
        <v>1281</v>
      </c>
      <c r="B374" s="4" t="s">
        <v>1400</v>
      </c>
      <c r="C374" s="4">
        <v>1.2618724560000001</v>
      </c>
      <c r="D374" s="4">
        <v>0.73544162999999996</v>
      </c>
      <c r="F374" s="4" t="s">
        <v>2287</v>
      </c>
      <c r="G374" s="4">
        <v>2</v>
      </c>
      <c r="H374" s="4" t="s">
        <v>1280</v>
      </c>
      <c r="I374" s="4">
        <v>6</v>
      </c>
      <c r="J374" s="4" t="s">
        <v>2262</v>
      </c>
      <c r="K374" s="4" t="s">
        <v>2263</v>
      </c>
      <c r="L374" s="4">
        <v>0.27942897532344202</v>
      </c>
      <c r="M374" s="4">
        <v>1.8068761558850099</v>
      </c>
      <c r="N374" s="4">
        <v>1.05317511421761</v>
      </c>
      <c r="O374" s="4">
        <v>10</v>
      </c>
      <c r="V374" s="4">
        <v>13.05987</v>
      </c>
      <c r="W374" s="4">
        <v>21.751835541094898</v>
      </c>
    </row>
    <row r="375" spans="1:23">
      <c r="A375" s="4" t="s">
        <v>1281</v>
      </c>
      <c r="B375" s="4" t="s">
        <v>1400</v>
      </c>
      <c r="C375" s="4">
        <v>0.83853460000000002</v>
      </c>
      <c r="D375" s="4">
        <v>0.65155154999999998</v>
      </c>
      <c r="F375" s="4" t="s">
        <v>2287</v>
      </c>
      <c r="G375" s="4">
        <v>1</v>
      </c>
      <c r="H375" s="4" t="s">
        <v>1279</v>
      </c>
      <c r="I375" s="4">
        <v>7</v>
      </c>
      <c r="J375" s="4" t="s">
        <v>2264</v>
      </c>
      <c r="K375" s="4" t="s">
        <v>2265</v>
      </c>
      <c r="L375" s="4">
        <v>0.97122155867641302</v>
      </c>
      <c r="M375" s="4">
        <v>0.50783890976241397</v>
      </c>
      <c r="N375" s="4">
        <v>18.428737584194</v>
      </c>
      <c r="O375" s="4">
        <v>10</v>
      </c>
      <c r="V375" s="4">
        <v>0.01</v>
      </c>
      <c r="W375" s="4">
        <v>1.03271943405349E-2</v>
      </c>
    </row>
    <row r="376" spans="1:23">
      <c r="A376" s="4" t="s">
        <v>1281</v>
      </c>
      <c r="B376" s="4" t="s">
        <v>1400</v>
      </c>
      <c r="C376" s="4">
        <v>0.43419267299999997</v>
      </c>
      <c r="D376" s="4">
        <v>0.60530015100000001</v>
      </c>
      <c r="F376" s="4" t="s">
        <v>2287</v>
      </c>
      <c r="G376" s="4">
        <v>2</v>
      </c>
      <c r="H376" s="4" t="s">
        <v>1280</v>
      </c>
      <c r="I376" s="4">
        <v>7</v>
      </c>
      <c r="J376" s="4" t="s">
        <v>2264</v>
      </c>
      <c r="K376" s="4" t="s">
        <v>2265</v>
      </c>
      <c r="L376" s="4">
        <v>-0.28807498466255799</v>
      </c>
      <c r="M376" s="4">
        <v>0.50783890976241197</v>
      </c>
      <c r="N376" s="4">
        <v>1.01437618055498</v>
      </c>
      <c r="O376" s="4">
        <v>10</v>
      </c>
      <c r="V376" s="4">
        <v>0.01</v>
      </c>
      <c r="W376" s="4">
        <v>1.03271943405349E-2</v>
      </c>
    </row>
    <row r="377" spans="1:23">
      <c r="A377" s="4" t="s">
        <v>1281</v>
      </c>
      <c r="B377" s="4" t="s">
        <v>1400</v>
      </c>
      <c r="C377" s="4">
        <v>0.41519674400000001</v>
      </c>
      <c r="D377" s="4">
        <v>0.60078514100000002</v>
      </c>
      <c r="F377" s="4" t="s">
        <v>2287</v>
      </c>
      <c r="G377" s="4">
        <v>1</v>
      </c>
      <c r="H377" s="4" t="s">
        <v>1279</v>
      </c>
      <c r="I377" s="4">
        <v>8</v>
      </c>
      <c r="J377" s="4" t="s">
        <v>2266</v>
      </c>
      <c r="K377" s="4" t="s">
        <v>2267</v>
      </c>
      <c r="L377" s="4">
        <v>0.69309279973677995</v>
      </c>
      <c r="M377" s="4">
        <v>0.36575648499962998</v>
      </c>
      <c r="N377" s="4">
        <v>13.4865468275607</v>
      </c>
      <c r="O377" s="4">
        <v>10</v>
      </c>
      <c r="V377" s="4">
        <v>0.31886799999999998</v>
      </c>
      <c r="W377" s="4">
        <v>1.5026935822556999</v>
      </c>
    </row>
    <row r="378" spans="1:23">
      <c r="A378" s="4" t="s">
        <v>1281</v>
      </c>
      <c r="B378" s="4" t="s">
        <v>1400</v>
      </c>
      <c r="C378" s="4">
        <v>0.37449117999999998</v>
      </c>
      <c r="D378" s="4">
        <v>0.59694395300000003</v>
      </c>
      <c r="F378" s="4" t="s">
        <v>2287</v>
      </c>
      <c r="G378" s="4">
        <v>2</v>
      </c>
      <c r="H378" s="4" t="s">
        <v>1280</v>
      </c>
      <c r="I378" s="4">
        <v>8</v>
      </c>
      <c r="J378" s="4" t="s">
        <v>2266</v>
      </c>
      <c r="K378" s="4" t="s">
        <v>2267</v>
      </c>
      <c r="L378" s="4">
        <v>-0.432352820496122</v>
      </c>
      <c r="M378" s="4">
        <v>0.36575648499963598</v>
      </c>
      <c r="N378" s="4">
        <v>1.0103111464082599</v>
      </c>
      <c r="O378" s="4">
        <v>10</v>
      </c>
      <c r="V378" s="4">
        <v>0.40950300000000001</v>
      </c>
      <c r="W378" s="4">
        <v>1.5026935822556999</v>
      </c>
    </row>
    <row r="379" spans="1:23">
      <c r="A379" s="4" t="s">
        <v>1281</v>
      </c>
      <c r="B379" s="4" t="s">
        <v>1400</v>
      </c>
      <c r="C379" s="4">
        <v>2.2578019</v>
      </c>
      <c r="D379" s="4">
        <v>2.0157170459999998</v>
      </c>
      <c r="F379" s="4" t="s">
        <v>2287</v>
      </c>
      <c r="G379" s="4">
        <v>1</v>
      </c>
      <c r="H379" s="4" t="s">
        <v>1279</v>
      </c>
      <c r="I379" s="4">
        <v>9</v>
      </c>
      <c r="J379" s="4" t="s">
        <v>2268</v>
      </c>
      <c r="K379" s="4" t="s">
        <v>2269</v>
      </c>
      <c r="L379" s="4">
        <v>0.23119166892972501</v>
      </c>
      <c r="M379" s="4">
        <v>0.215458623603589</v>
      </c>
      <c r="N379" s="4">
        <v>7.9036515975328401</v>
      </c>
      <c r="O379" s="4">
        <v>10</v>
      </c>
      <c r="V379" s="4">
        <v>0.84070299999999998</v>
      </c>
      <c r="W379" s="4">
        <v>3.1009776999935901</v>
      </c>
    </row>
    <row r="380" spans="1:23">
      <c r="A380" s="4" t="s">
        <v>1281</v>
      </c>
      <c r="B380" s="4" t="s">
        <v>1400</v>
      </c>
      <c r="C380" s="4">
        <v>2.192672999</v>
      </c>
      <c r="D380" s="4">
        <v>2.0083881130000001</v>
      </c>
      <c r="F380" s="4" t="s">
        <v>2287</v>
      </c>
      <c r="G380" s="4">
        <v>2</v>
      </c>
      <c r="H380" s="4" t="s">
        <v>1280</v>
      </c>
      <c r="I380" s="4">
        <v>9</v>
      </c>
      <c r="J380" s="4" t="s">
        <v>2268</v>
      </c>
      <c r="K380" s="4" t="s">
        <v>2269</v>
      </c>
      <c r="L380" s="4">
        <v>-0.66401760438897905</v>
      </c>
      <c r="M380" s="4">
        <v>0.215458623603588</v>
      </c>
      <c r="N380" s="4">
        <v>1.0060475654918699</v>
      </c>
      <c r="O380" s="4">
        <v>10</v>
      </c>
      <c r="V380" s="4">
        <v>1.0714090000000001</v>
      </c>
      <c r="W380" s="4">
        <v>3.1009776999935901</v>
      </c>
    </row>
    <row r="381" spans="1:23">
      <c r="A381" s="4" t="s">
        <v>1281</v>
      </c>
      <c r="B381" s="4" t="s">
        <v>1400</v>
      </c>
      <c r="C381" s="4">
        <v>2.1872455899999999</v>
      </c>
      <c r="D381" s="4">
        <v>1.5371624850000001</v>
      </c>
      <c r="F381" s="4" t="s">
        <v>2287</v>
      </c>
      <c r="G381" s="4">
        <v>1</v>
      </c>
      <c r="H381" s="4" t="s">
        <v>1279</v>
      </c>
      <c r="I381" s="4">
        <v>10</v>
      </c>
      <c r="J381" s="4" t="s">
        <v>2270</v>
      </c>
      <c r="K381" s="4" t="s">
        <v>2271</v>
      </c>
      <c r="L381" s="4">
        <v>1.6457525237889801</v>
      </c>
      <c r="M381" s="4">
        <v>1.71113801455911</v>
      </c>
      <c r="N381" s="4">
        <v>25.850412887907599</v>
      </c>
      <c r="O381" s="4">
        <v>10</v>
      </c>
      <c r="V381" s="4">
        <v>0.01</v>
      </c>
      <c r="W381" s="4">
        <v>1.0301006264625399E-2</v>
      </c>
    </row>
    <row r="382" spans="1:23">
      <c r="A382" s="4" t="s">
        <v>1281</v>
      </c>
      <c r="B382" s="4" t="s">
        <v>1400</v>
      </c>
      <c r="C382" s="4">
        <v>1.175033921</v>
      </c>
      <c r="D382" s="4">
        <v>0.73544162999999996</v>
      </c>
      <c r="F382" s="4" t="s">
        <v>2287</v>
      </c>
      <c r="G382" s="4">
        <v>2</v>
      </c>
      <c r="H382" s="4" t="s">
        <v>1280</v>
      </c>
      <c r="I382" s="4">
        <v>10</v>
      </c>
      <c r="J382" s="4" t="s">
        <v>2270</v>
      </c>
      <c r="K382" s="4" t="s">
        <v>2271</v>
      </c>
      <c r="L382" s="4">
        <v>0.25456156755297499</v>
      </c>
      <c r="M382" s="4">
        <v>1.71113801455911</v>
      </c>
      <c r="N382" s="4">
        <v>1.0502109155425201</v>
      </c>
      <c r="O382" s="4">
        <v>10</v>
      </c>
      <c r="V382" s="4">
        <v>0.01</v>
      </c>
      <c r="W382" s="4">
        <v>1.0301006264625399E-2</v>
      </c>
    </row>
    <row r="383" spans="1:23">
      <c r="A383" s="4" t="s">
        <v>1281</v>
      </c>
      <c r="B383" s="4" t="s">
        <v>1400</v>
      </c>
      <c r="C383" s="4">
        <v>0.75983717799999995</v>
      </c>
      <c r="D383" s="4">
        <v>0.65155154999999998</v>
      </c>
      <c r="F383" s="4" t="s">
        <v>2287</v>
      </c>
      <c r="G383" s="4">
        <v>1</v>
      </c>
      <c r="H383" s="4" t="s">
        <v>1279</v>
      </c>
      <c r="I383" s="4">
        <v>11</v>
      </c>
      <c r="J383" s="4" t="s">
        <v>1319</v>
      </c>
      <c r="K383" s="4" t="s">
        <v>2272</v>
      </c>
      <c r="L383" s="4">
        <v>2.1514927471673602</v>
      </c>
      <c r="M383" s="4">
        <v>8.0691196797035794</v>
      </c>
      <c r="N383" s="4">
        <v>17.5657456641568</v>
      </c>
      <c r="O383" s="4">
        <v>10</v>
      </c>
      <c r="V383" s="4">
        <v>0.288657</v>
      </c>
      <c r="W383" s="4">
        <v>1.38322093863399</v>
      </c>
    </row>
    <row r="384" spans="1:23">
      <c r="A384" s="4" t="s">
        <v>1281</v>
      </c>
      <c r="B384" s="4" t="s">
        <v>1400</v>
      </c>
      <c r="C384" s="4">
        <v>0.42062415199999997</v>
      </c>
      <c r="D384" s="4">
        <v>0.60530015100000001</v>
      </c>
      <c r="F384" s="4" t="s">
        <v>2287</v>
      </c>
      <c r="G384" s="4">
        <v>2</v>
      </c>
      <c r="H384" s="4" t="s">
        <v>1280</v>
      </c>
      <c r="I384" s="4">
        <v>11</v>
      </c>
      <c r="J384" s="4" t="s">
        <v>1319</v>
      </c>
      <c r="K384" s="4" t="s">
        <v>2272</v>
      </c>
      <c r="L384" s="4">
        <v>1.0188187113293099</v>
      </c>
      <c r="M384" s="4">
        <v>8.06911967970359</v>
      </c>
      <c r="N384" s="4">
        <v>1.29417365389741</v>
      </c>
      <c r="O384" s="4">
        <v>10</v>
      </c>
      <c r="V384" s="4">
        <v>0.30513600000000002</v>
      </c>
      <c r="W384" s="4">
        <v>1.38322093863399</v>
      </c>
    </row>
    <row r="385" spans="1:23">
      <c r="A385" s="4" t="s">
        <v>1281</v>
      </c>
      <c r="B385" s="4" t="s">
        <v>1400</v>
      </c>
      <c r="C385" s="4">
        <v>0.398914518</v>
      </c>
      <c r="D385" s="4">
        <v>0.60078514100000002</v>
      </c>
      <c r="F385" s="4" t="s">
        <v>2287</v>
      </c>
      <c r="G385" s="4">
        <v>1</v>
      </c>
      <c r="H385" s="4" t="s">
        <v>1279</v>
      </c>
      <c r="I385" s="4">
        <v>12</v>
      </c>
      <c r="J385" s="4" t="s">
        <v>1319</v>
      </c>
      <c r="K385" s="4" t="s">
        <v>2273</v>
      </c>
      <c r="L385" s="4">
        <v>1.6610779401422</v>
      </c>
      <c r="M385" s="4">
        <v>3.3104247426283</v>
      </c>
      <c r="N385" s="4">
        <v>13.8418526203147</v>
      </c>
      <c r="O385" s="4">
        <v>10</v>
      </c>
      <c r="V385" s="4">
        <v>0.82147800000000004</v>
      </c>
      <c r="W385" s="4">
        <v>2.8535811267223798</v>
      </c>
    </row>
    <row r="386" spans="1:23">
      <c r="A386" s="4" t="s">
        <v>1281</v>
      </c>
      <c r="B386" s="4" t="s">
        <v>1400</v>
      </c>
      <c r="C386" s="4">
        <v>0.30936227999999999</v>
      </c>
      <c r="D386" s="4">
        <v>0.59694395300000003</v>
      </c>
      <c r="F386" s="4" t="s">
        <v>2287</v>
      </c>
      <c r="G386" s="4">
        <v>2</v>
      </c>
      <c r="H386" s="4" t="s">
        <v>1280</v>
      </c>
      <c r="I386" s="4">
        <v>12</v>
      </c>
      <c r="J386" s="4" t="s">
        <v>1319</v>
      </c>
      <c r="K386" s="4" t="s">
        <v>2273</v>
      </c>
      <c r="L386" s="4">
        <v>0.56211162925123304</v>
      </c>
      <c r="M386" s="4">
        <v>3.3104247426282898</v>
      </c>
      <c r="N386" s="4">
        <v>1.10211752926567</v>
      </c>
      <c r="O386" s="4">
        <v>10</v>
      </c>
      <c r="V386" s="4">
        <v>0.81873099999999999</v>
      </c>
      <c r="W386" s="4">
        <v>2.8535811267223798</v>
      </c>
    </row>
    <row r="387" spans="1:23">
      <c r="A387" s="4" t="s">
        <v>1281</v>
      </c>
      <c r="B387" s="4" t="s">
        <v>1400</v>
      </c>
      <c r="C387" s="4">
        <v>1.688482099</v>
      </c>
      <c r="D387" s="4">
        <v>2.1080039529999999</v>
      </c>
      <c r="F387" s="4" t="s">
        <v>2287</v>
      </c>
      <c r="G387" s="4">
        <v>1</v>
      </c>
      <c r="H387" s="4" t="s">
        <v>1279</v>
      </c>
      <c r="I387" s="4">
        <v>13</v>
      </c>
      <c r="J387" s="4" t="s">
        <v>1319</v>
      </c>
      <c r="K387" s="4" t="s">
        <v>2274</v>
      </c>
      <c r="L387" s="4">
        <v>1.5001355848134901</v>
      </c>
      <c r="M387" s="4">
        <v>3.3435670435462801</v>
      </c>
      <c r="N387" s="4">
        <v>9.4607496191091798</v>
      </c>
      <c r="O387" s="4">
        <v>10</v>
      </c>
      <c r="V387" s="4">
        <v>0.01</v>
      </c>
      <c r="W387" s="4">
        <v>1.01164831737486E-2</v>
      </c>
    </row>
    <row r="388" spans="1:23">
      <c r="A388" s="4" t="s">
        <v>1281</v>
      </c>
      <c r="B388" s="4" t="s">
        <v>1400</v>
      </c>
      <c r="C388" s="4">
        <v>1.717641341</v>
      </c>
      <c r="D388" s="4">
        <v>2.108003933</v>
      </c>
      <c r="F388" s="4" t="s">
        <v>2287</v>
      </c>
      <c r="G388" s="4">
        <v>2</v>
      </c>
      <c r="H388" s="4" t="s">
        <v>1280</v>
      </c>
      <c r="I388" s="4">
        <v>13</v>
      </c>
      <c r="J388" s="4" t="s">
        <v>1319</v>
      </c>
      <c r="K388" s="4" t="s">
        <v>2274</v>
      </c>
      <c r="L388" s="4">
        <v>0.56688393263466497</v>
      </c>
      <c r="M388" s="4">
        <v>3.3435670435462699</v>
      </c>
      <c r="N388" s="4">
        <v>1.10324989999973</v>
      </c>
      <c r="O388" s="4">
        <v>10</v>
      </c>
      <c r="V388" s="4">
        <v>0.01</v>
      </c>
      <c r="W388" s="4">
        <v>1.01164831737486E-2</v>
      </c>
    </row>
    <row r="389" spans="1:23">
      <c r="A389" s="4" t="s">
        <v>1281</v>
      </c>
      <c r="B389" s="4" t="s">
        <v>1400</v>
      </c>
      <c r="C389" s="4">
        <v>1.652843026</v>
      </c>
      <c r="D389" s="4">
        <v>2.1080019330000002</v>
      </c>
      <c r="F389" s="4" t="s">
        <v>2287</v>
      </c>
      <c r="G389" s="4">
        <v>1</v>
      </c>
      <c r="H389" s="4" t="s">
        <v>1279</v>
      </c>
      <c r="I389" s="4">
        <v>14</v>
      </c>
      <c r="J389" s="4" t="s">
        <v>1281</v>
      </c>
      <c r="K389" s="4" t="s">
        <v>2275</v>
      </c>
      <c r="L389" s="4">
        <v>1.73002313201854</v>
      </c>
      <c r="M389" s="4">
        <v>2.0751542017474001</v>
      </c>
      <c r="N389" s="4">
        <v>25.880505691636799</v>
      </c>
      <c r="O389" s="4">
        <v>10</v>
      </c>
      <c r="V389" s="4">
        <v>0.17824799999999999</v>
      </c>
      <c r="W389" s="4">
        <v>0.54140798710341298</v>
      </c>
    </row>
    <row r="390" spans="1:23">
      <c r="A390" s="4" t="s">
        <v>1281</v>
      </c>
      <c r="B390" s="4" t="s">
        <v>1400</v>
      </c>
      <c r="C390" s="4">
        <v>1.669042605</v>
      </c>
      <c r="D390" s="4">
        <v>2.1079545309999999</v>
      </c>
      <c r="F390" s="4" t="s">
        <v>2287</v>
      </c>
      <c r="G390" s="4">
        <v>2</v>
      </c>
      <c r="H390" s="4" t="s">
        <v>1280</v>
      </c>
      <c r="I390" s="4">
        <v>14</v>
      </c>
      <c r="J390" s="4" t="s">
        <v>1281</v>
      </c>
      <c r="K390" s="4" t="s">
        <v>2275</v>
      </c>
      <c r="L390" s="4">
        <v>0.343000910442264</v>
      </c>
      <c r="M390" s="4">
        <v>2.0751542017474098</v>
      </c>
      <c r="N390" s="4">
        <v>1.0615746431537201</v>
      </c>
      <c r="O390" s="4">
        <v>10</v>
      </c>
      <c r="V390" s="4">
        <v>0.148586</v>
      </c>
      <c r="W390" s="4">
        <v>0.54140798710341298</v>
      </c>
    </row>
    <row r="391" spans="1:23">
      <c r="A391" s="4" t="s">
        <v>1281</v>
      </c>
      <c r="B391" s="4" t="s">
        <v>1400</v>
      </c>
      <c r="C391" s="4">
        <v>1.6949619309999999</v>
      </c>
      <c r="D391" s="4">
        <v>2.1078121190000001</v>
      </c>
      <c r="F391" s="4" t="s">
        <v>2287</v>
      </c>
      <c r="G391" s="4">
        <v>1</v>
      </c>
      <c r="H391" s="4" t="s">
        <v>1279</v>
      </c>
      <c r="I391" s="4">
        <v>15</v>
      </c>
      <c r="J391" s="4" t="s">
        <v>2276</v>
      </c>
      <c r="K391" s="4" t="s">
        <v>2277</v>
      </c>
      <c r="L391" s="4">
        <v>0.91085106676574501</v>
      </c>
      <c r="M391" s="4">
        <v>0.39714499816617599</v>
      </c>
      <c r="N391" s="4">
        <v>20.506992357048301</v>
      </c>
      <c r="O391" s="4">
        <v>10</v>
      </c>
      <c r="V391" s="4">
        <v>0.43696800000000002</v>
      </c>
      <c r="W391" s="4">
        <v>1.1104068465632</v>
      </c>
    </row>
    <row r="392" spans="1:23">
      <c r="A392" s="4" t="s">
        <v>1281</v>
      </c>
      <c r="B392" s="4" t="s">
        <v>1400</v>
      </c>
      <c r="C392" s="4">
        <v>1.73384092</v>
      </c>
      <c r="D392" s="4">
        <v>2.10448966</v>
      </c>
      <c r="F392" s="4" t="s">
        <v>2287</v>
      </c>
      <c r="G392" s="4">
        <v>2</v>
      </c>
      <c r="H392" s="4" t="s">
        <v>1280</v>
      </c>
      <c r="I392" s="4">
        <v>15</v>
      </c>
      <c r="J392" s="4" t="s">
        <v>2276</v>
      </c>
      <c r="K392" s="4" t="s">
        <v>2277</v>
      </c>
      <c r="L392" s="4">
        <v>-0.39621114368156102</v>
      </c>
      <c r="M392" s="4">
        <v>0.39714499816617599</v>
      </c>
      <c r="N392" s="4">
        <v>1.0112062823742001</v>
      </c>
      <c r="O392" s="4">
        <v>10</v>
      </c>
      <c r="V392" s="4">
        <v>0.34908</v>
      </c>
      <c r="W392" s="4">
        <v>1.1104068465632</v>
      </c>
    </row>
    <row r="393" spans="1:23">
      <c r="A393" s="4" t="s">
        <v>1281</v>
      </c>
      <c r="B393" s="4" t="s">
        <v>1400</v>
      </c>
      <c r="C393" s="4">
        <v>1.750040499</v>
      </c>
      <c r="D393" s="4">
        <v>2.098914084</v>
      </c>
      <c r="F393" s="4" t="s">
        <v>2288</v>
      </c>
      <c r="G393" s="4">
        <v>1</v>
      </c>
      <c r="H393" s="4" t="s">
        <v>1279</v>
      </c>
      <c r="I393" s="4">
        <v>1</v>
      </c>
      <c r="J393" s="4" t="s">
        <v>196</v>
      </c>
      <c r="K393" s="4" t="s">
        <v>2255</v>
      </c>
      <c r="L393" s="4">
        <v>-0.82108577362736002</v>
      </c>
      <c r="M393" s="4">
        <v>5.7423764789051701E-2</v>
      </c>
      <c r="N393" s="4">
        <v>2.6291935868453802</v>
      </c>
      <c r="O393" s="4">
        <v>10</v>
      </c>
      <c r="V393" s="4">
        <v>0.01</v>
      </c>
      <c r="W393" s="4">
        <v>1.00572577426872E-2</v>
      </c>
    </row>
    <row r="394" spans="1:23">
      <c r="A394" s="4" t="s">
        <v>1281</v>
      </c>
      <c r="B394" s="4" t="s">
        <v>1400</v>
      </c>
      <c r="C394" s="4">
        <v>1.8504778879999999</v>
      </c>
      <c r="D394" s="4">
        <v>2.0765528670000002</v>
      </c>
      <c r="F394" s="4" t="s">
        <v>2288</v>
      </c>
      <c r="G394" s="4">
        <v>2</v>
      </c>
      <c r="H394" s="4" t="s">
        <v>1280</v>
      </c>
      <c r="I394" s="4">
        <v>1</v>
      </c>
      <c r="J394" s="4" t="s">
        <v>196</v>
      </c>
      <c r="K394" s="4" t="s">
        <v>2255</v>
      </c>
      <c r="L394" s="4">
        <v>-1.24021213174571</v>
      </c>
      <c r="M394" s="4">
        <v>5.74237647890498E-2</v>
      </c>
      <c r="N394" s="4">
        <v>1.0016043595262101</v>
      </c>
      <c r="O394" s="4">
        <v>10</v>
      </c>
      <c r="V394" s="4">
        <v>0.01</v>
      </c>
      <c r="W394" s="4">
        <v>1.00572577426872E-2</v>
      </c>
    </row>
    <row r="395" spans="1:23">
      <c r="A395" s="4" t="s">
        <v>1281</v>
      </c>
      <c r="B395" s="4" t="s">
        <v>1400</v>
      </c>
      <c r="C395" s="4">
        <v>1.6463631949999999</v>
      </c>
      <c r="D395" s="4">
        <v>2.1080039529999999</v>
      </c>
      <c r="F395" s="4" t="s">
        <v>2288</v>
      </c>
      <c r="G395" s="4">
        <v>1</v>
      </c>
      <c r="H395" s="4" t="s">
        <v>1279</v>
      </c>
      <c r="I395" s="4">
        <v>2</v>
      </c>
      <c r="J395" s="4" t="s">
        <v>196</v>
      </c>
      <c r="K395" s="4" t="s">
        <v>2256</v>
      </c>
      <c r="L395" s="4">
        <v>5.7157147000152203E-2</v>
      </c>
      <c r="M395" s="4">
        <v>0.12939723784618701</v>
      </c>
      <c r="N395" s="4">
        <v>8.8151994133370408</v>
      </c>
      <c r="O395" s="4">
        <v>10</v>
      </c>
      <c r="V395" s="4">
        <v>6.8113000000000007E-2</v>
      </c>
      <c r="W395" s="4">
        <v>0.27121559713996801</v>
      </c>
    </row>
    <row r="396" spans="1:23">
      <c r="A396" s="4" t="s">
        <v>1281</v>
      </c>
      <c r="B396" s="4" t="s">
        <v>1400</v>
      </c>
      <c r="C396" s="4">
        <v>1.79539932</v>
      </c>
      <c r="D396" s="4">
        <v>2.108003933</v>
      </c>
      <c r="F396" s="4" t="s">
        <v>2288</v>
      </c>
      <c r="G396" s="4">
        <v>2</v>
      </c>
      <c r="H396" s="4" t="s">
        <v>1280</v>
      </c>
      <c r="I396" s="4">
        <v>2</v>
      </c>
      <c r="J396" s="4" t="s">
        <v>196</v>
      </c>
      <c r="K396" s="4" t="s">
        <v>2256</v>
      </c>
      <c r="L396" s="4">
        <v>-0.88650458841891999</v>
      </c>
      <c r="M396" s="4">
        <v>0.129397237846191</v>
      </c>
      <c r="N396" s="4">
        <v>1.0036225384245701</v>
      </c>
      <c r="O396" s="4">
        <v>10</v>
      </c>
      <c r="V396" s="4">
        <v>7.5802999999999995E-2</v>
      </c>
      <c r="W396" s="4">
        <v>0.27121559713996801</v>
      </c>
    </row>
    <row r="397" spans="1:23">
      <c r="A397" s="4" t="s">
        <v>1281</v>
      </c>
      <c r="B397" s="4" t="s">
        <v>1400</v>
      </c>
      <c r="C397" s="4">
        <v>1.7435606669999999</v>
      </c>
      <c r="D397" s="4">
        <v>2.1080019330000002</v>
      </c>
      <c r="F397" s="4" t="s">
        <v>2288</v>
      </c>
      <c r="G397" s="4">
        <v>1</v>
      </c>
      <c r="H397" s="4" t="s">
        <v>1279</v>
      </c>
      <c r="I397" s="4">
        <v>3</v>
      </c>
      <c r="J397" s="4" t="s">
        <v>2257</v>
      </c>
      <c r="K397" s="4" t="s">
        <v>724</v>
      </c>
      <c r="L397" s="4">
        <v>2.2516375907395498</v>
      </c>
      <c r="M397" s="4">
        <v>2.9229087117556798</v>
      </c>
      <c r="N397" s="4">
        <v>61.069215218666997</v>
      </c>
      <c r="O397" s="4">
        <v>10</v>
      </c>
      <c r="V397" s="4">
        <v>0.16067000000000001</v>
      </c>
      <c r="W397" s="4">
        <v>0.55090912913956602</v>
      </c>
    </row>
    <row r="398" spans="1:23">
      <c r="A398" s="4" t="s">
        <v>1281</v>
      </c>
      <c r="B398" s="4" t="s">
        <v>1400</v>
      </c>
      <c r="C398" s="4">
        <v>1.7435606669999999</v>
      </c>
      <c r="D398" s="4">
        <v>2.1079545309999999</v>
      </c>
      <c r="F398" s="4" t="s">
        <v>2288</v>
      </c>
      <c r="G398" s="4">
        <v>2</v>
      </c>
      <c r="H398" s="4" t="s">
        <v>1280</v>
      </c>
      <c r="I398" s="4">
        <v>3</v>
      </c>
      <c r="J398" s="4" t="s">
        <v>2257</v>
      </c>
      <c r="K398" s="4" t="s">
        <v>724</v>
      </c>
      <c r="L398" s="4">
        <v>0.50276573828174798</v>
      </c>
      <c r="M398" s="4">
        <v>2.9229087117556798</v>
      </c>
      <c r="N398" s="4">
        <v>1.0888059527579399</v>
      </c>
      <c r="O398" s="4">
        <v>10</v>
      </c>
      <c r="V398" s="4">
        <v>0.209009</v>
      </c>
      <c r="W398" s="4">
        <v>0.55090912913956602</v>
      </c>
    </row>
    <row r="399" spans="1:23">
      <c r="A399" s="4" t="s">
        <v>1281</v>
      </c>
      <c r="B399" s="4" t="s">
        <v>1400</v>
      </c>
      <c r="C399" s="4">
        <v>1.79539932</v>
      </c>
      <c r="D399" s="4">
        <v>2.1078121190000001</v>
      </c>
      <c r="F399" s="4" t="s">
        <v>2288</v>
      </c>
      <c r="G399" s="4">
        <v>1</v>
      </c>
      <c r="H399" s="4" t="s">
        <v>1279</v>
      </c>
      <c r="I399" s="4">
        <v>4</v>
      </c>
      <c r="J399" s="4" t="s">
        <v>2258</v>
      </c>
      <c r="K399" s="4" t="s">
        <v>2259</v>
      </c>
      <c r="L399" s="4">
        <v>-2.0811367566636498</v>
      </c>
      <c r="M399" s="4">
        <v>7.7543465456618504E-3</v>
      </c>
      <c r="N399" s="4">
        <v>1.06983804355519</v>
      </c>
      <c r="O399" s="4">
        <v>10</v>
      </c>
      <c r="V399" s="4">
        <v>0.01</v>
      </c>
      <c r="W399" s="4">
        <v>1.00238572376818E-2</v>
      </c>
    </row>
    <row r="400" spans="1:23">
      <c r="A400" s="4" t="s">
        <v>1281</v>
      </c>
      <c r="B400" s="4" t="s">
        <v>1400</v>
      </c>
      <c r="C400" s="4">
        <v>1.7435606669999999</v>
      </c>
      <c r="D400" s="4">
        <v>2.10448966</v>
      </c>
      <c r="F400" s="4" t="s">
        <v>2288</v>
      </c>
      <c r="G400" s="4">
        <v>2</v>
      </c>
      <c r="H400" s="4" t="s">
        <v>1280</v>
      </c>
      <c r="I400" s="4">
        <v>4</v>
      </c>
      <c r="J400" s="4" t="s">
        <v>2258</v>
      </c>
      <c r="K400" s="4" t="s">
        <v>2259</v>
      </c>
      <c r="L400" s="4">
        <v>-2.1103608460135099</v>
      </c>
      <c r="M400" s="4">
        <v>7.7543465456599804E-3</v>
      </c>
      <c r="N400" s="4">
        <v>1.0002163467607199</v>
      </c>
      <c r="O400" s="4">
        <v>10</v>
      </c>
      <c r="V400" s="4">
        <v>0.01</v>
      </c>
      <c r="W400" s="4">
        <v>1.00238572376818E-2</v>
      </c>
    </row>
    <row r="401" spans="1:23">
      <c r="A401" s="4" t="s">
        <v>1281</v>
      </c>
      <c r="B401" s="4" t="s">
        <v>1400</v>
      </c>
      <c r="C401" s="4">
        <v>1.79539932</v>
      </c>
      <c r="D401" s="4">
        <v>2.098914084</v>
      </c>
      <c r="F401" s="4" t="s">
        <v>2288</v>
      </c>
      <c r="G401" s="4">
        <v>1</v>
      </c>
      <c r="H401" s="4" t="s">
        <v>1279</v>
      </c>
      <c r="I401" s="4">
        <v>5</v>
      </c>
      <c r="J401" s="4" t="s">
        <v>2260</v>
      </c>
      <c r="K401" s="4" t="s">
        <v>2261</v>
      </c>
      <c r="L401" s="4">
        <v>-1.3783229541255699</v>
      </c>
      <c r="M401" s="4">
        <v>2.6399601557748099E-2</v>
      </c>
      <c r="N401" s="4">
        <v>1.5851839762740001</v>
      </c>
      <c r="O401" s="4">
        <v>10</v>
      </c>
      <c r="V401" s="4">
        <v>6.0419999999999996E-3</v>
      </c>
      <c r="W401" s="4">
        <v>0.118839124539248</v>
      </c>
    </row>
    <row r="402" spans="1:23">
      <c r="A402" s="4" t="s">
        <v>1281</v>
      </c>
      <c r="B402" s="4" t="s">
        <v>1400</v>
      </c>
      <c r="C402" s="4">
        <v>1.9930341810000001</v>
      </c>
      <c r="D402" s="4">
        <v>2.0765528670000002</v>
      </c>
      <c r="F402" s="4" t="s">
        <v>2288</v>
      </c>
      <c r="G402" s="4">
        <v>2</v>
      </c>
      <c r="H402" s="4" t="s">
        <v>1280</v>
      </c>
      <c r="I402" s="4">
        <v>5</v>
      </c>
      <c r="J402" s="4" t="s">
        <v>2260</v>
      </c>
      <c r="K402" s="4" t="s">
        <v>2261</v>
      </c>
      <c r="L402" s="4">
        <v>-1.5780826985944101</v>
      </c>
      <c r="M402" s="4">
        <v>2.6399601557749001E-2</v>
      </c>
      <c r="N402" s="4">
        <v>1.00073693556163</v>
      </c>
      <c r="O402" s="4">
        <v>10</v>
      </c>
      <c r="V402" s="4">
        <v>7.1409999999999998E-3</v>
      </c>
      <c r="W402" s="4">
        <v>0.118839124539248</v>
      </c>
    </row>
    <row r="403" spans="1:23">
      <c r="A403" s="4" t="s">
        <v>1281</v>
      </c>
      <c r="B403" s="4" t="s">
        <v>1400</v>
      </c>
      <c r="C403" s="4">
        <v>1.8634375510000001</v>
      </c>
      <c r="D403" s="4">
        <v>2.1079784020000001</v>
      </c>
      <c r="F403" s="4" t="s">
        <v>2288</v>
      </c>
      <c r="G403" s="4">
        <v>1</v>
      </c>
      <c r="H403" s="4" t="s">
        <v>1279</v>
      </c>
      <c r="I403" s="4">
        <v>6</v>
      </c>
      <c r="J403" s="4" t="s">
        <v>2262</v>
      </c>
      <c r="K403" s="4" t="s">
        <v>2263</v>
      </c>
      <c r="L403" s="4">
        <v>1.17218419540952</v>
      </c>
      <c r="M403" s="4">
        <v>0.41282406047564402</v>
      </c>
      <c r="N403" s="4">
        <v>36.009674377798603</v>
      </c>
      <c r="O403" s="4">
        <v>10</v>
      </c>
      <c r="V403" s="4">
        <v>4.5866999999999998E-2</v>
      </c>
      <c r="W403" s="4">
        <v>0.23537733854878401</v>
      </c>
    </row>
    <row r="404" spans="1:23">
      <c r="A404" s="4" t="s">
        <v>1281</v>
      </c>
      <c r="B404" s="4" t="s">
        <v>1400</v>
      </c>
      <c r="C404" s="4">
        <v>1.8990766240000001</v>
      </c>
      <c r="D404" s="4">
        <v>2.1079762259999999</v>
      </c>
      <c r="F404" s="4" t="s">
        <v>2288</v>
      </c>
      <c r="G404" s="4">
        <v>2</v>
      </c>
      <c r="H404" s="4" t="s">
        <v>1280</v>
      </c>
      <c r="I404" s="4">
        <v>6</v>
      </c>
      <c r="J404" s="4" t="s">
        <v>2262</v>
      </c>
      <c r="K404" s="4" t="s">
        <v>2263</v>
      </c>
      <c r="L404" s="4">
        <v>-0.37920469072956098</v>
      </c>
      <c r="M404" s="4">
        <v>0.41282406047564202</v>
      </c>
      <c r="N404" s="4">
        <v>1.01165005176311</v>
      </c>
      <c r="O404" s="4">
        <v>10</v>
      </c>
      <c r="V404" s="4">
        <v>4.0099000000000003E-2</v>
      </c>
      <c r="W404" s="4">
        <v>0.23537733854878401</v>
      </c>
    </row>
    <row r="405" spans="1:23">
      <c r="A405" s="4" t="s">
        <v>1281</v>
      </c>
      <c r="B405" s="4" t="s">
        <v>1400</v>
      </c>
      <c r="C405" s="4">
        <v>1.6560829420000001</v>
      </c>
      <c r="D405" s="4">
        <v>2.1077587819999999</v>
      </c>
      <c r="F405" s="4" t="s">
        <v>2288</v>
      </c>
      <c r="G405" s="4">
        <v>1</v>
      </c>
      <c r="H405" s="4" t="s">
        <v>1279</v>
      </c>
      <c r="I405" s="4">
        <v>7</v>
      </c>
      <c r="J405" s="4" t="s">
        <v>2264</v>
      </c>
      <c r="K405" s="4" t="s">
        <v>2265</v>
      </c>
      <c r="L405" s="4">
        <v>5.1053569874333203E-2</v>
      </c>
      <c r="M405" s="4">
        <v>0.112417374072027</v>
      </c>
      <c r="N405" s="4">
        <v>10.005070042992299</v>
      </c>
      <c r="O405" s="4">
        <v>10</v>
      </c>
      <c r="V405" s="4">
        <v>0.01</v>
      </c>
      <c r="W405" s="4">
        <v>1.00210083132991E-2</v>
      </c>
    </row>
    <row r="406" spans="1:23">
      <c r="A406" s="4" t="s">
        <v>1281</v>
      </c>
      <c r="B406" s="4" t="s">
        <v>1400</v>
      </c>
      <c r="C406" s="4">
        <v>1.9671148549999999</v>
      </c>
      <c r="D406" s="4">
        <v>2.1027021129999999</v>
      </c>
      <c r="F406" s="4" t="s">
        <v>2288</v>
      </c>
      <c r="G406" s="4">
        <v>2</v>
      </c>
      <c r="H406" s="4" t="s">
        <v>1280</v>
      </c>
      <c r="I406" s="4">
        <v>7</v>
      </c>
      <c r="J406" s="4" t="s">
        <v>2264</v>
      </c>
      <c r="K406" s="4" t="s">
        <v>2265</v>
      </c>
      <c r="L406" s="4">
        <v>-0.94780255751966203</v>
      </c>
      <c r="M406" s="4">
        <v>0.11241737407202999</v>
      </c>
      <c r="N406" s="4">
        <v>1.0031456771177101</v>
      </c>
      <c r="O406" s="4">
        <v>10</v>
      </c>
      <c r="V406" s="4">
        <v>0.01</v>
      </c>
      <c r="W406" s="4">
        <v>1.00210083132991E-2</v>
      </c>
    </row>
    <row r="407" spans="1:23">
      <c r="A407" s="4" t="s">
        <v>1281</v>
      </c>
      <c r="B407" s="4" t="s">
        <v>1400</v>
      </c>
      <c r="C407" s="4">
        <v>1.960635023</v>
      </c>
      <c r="D407" s="4">
        <v>2.0885460870000001</v>
      </c>
      <c r="F407" s="4" t="s">
        <v>2288</v>
      </c>
      <c r="G407" s="4">
        <v>1</v>
      </c>
      <c r="H407" s="4" t="s">
        <v>1279</v>
      </c>
      <c r="I407" s="4">
        <v>8</v>
      </c>
      <c r="J407" s="4" t="s">
        <v>2266</v>
      </c>
      <c r="K407" s="4" t="s">
        <v>2267</v>
      </c>
      <c r="L407" s="4">
        <v>-0.34100047094548602</v>
      </c>
      <c r="M407" s="4">
        <v>8.0691329106262893E-2</v>
      </c>
      <c r="N407" s="4">
        <v>5.6516161832976799</v>
      </c>
      <c r="O407" s="4">
        <v>10</v>
      </c>
      <c r="V407" s="4">
        <v>2.7460000000000002E-3</v>
      </c>
      <c r="W407" s="4">
        <v>0.10584204416375401</v>
      </c>
    </row>
    <row r="408" spans="1:23">
      <c r="A408" s="4" t="s">
        <v>1281</v>
      </c>
      <c r="B408" s="4" t="s">
        <v>1400</v>
      </c>
      <c r="C408" s="4">
        <v>1.8407581399999999</v>
      </c>
      <c r="D408" s="4">
        <v>1.9325289450000001</v>
      </c>
      <c r="F408" s="4" t="s">
        <v>2288</v>
      </c>
      <c r="G408" s="4">
        <v>2</v>
      </c>
      <c r="H408" s="4" t="s">
        <v>1280</v>
      </c>
      <c r="I408" s="4">
        <v>8</v>
      </c>
      <c r="J408" s="4" t="s">
        <v>2266</v>
      </c>
      <c r="K408" s="4" t="s">
        <v>2267</v>
      </c>
      <c r="L408" s="4">
        <v>-1.0921945079431401</v>
      </c>
      <c r="M408" s="4">
        <v>8.06913291062656E-2</v>
      </c>
      <c r="N408" s="4">
        <v>1.0022559035882601</v>
      </c>
      <c r="O408" s="4">
        <v>10</v>
      </c>
      <c r="V408" s="4">
        <v>1E-3</v>
      </c>
      <c r="W408" s="4">
        <v>0.10584204416375401</v>
      </c>
    </row>
    <row r="409" spans="1:23">
      <c r="A409" s="4" t="s">
        <v>1281</v>
      </c>
      <c r="B409" s="4" t="s">
        <v>1400</v>
      </c>
      <c r="C409" s="4">
        <v>1.7727199090000001</v>
      </c>
      <c r="D409" s="4">
        <v>1.843710438</v>
      </c>
      <c r="F409" s="4" t="s">
        <v>2288</v>
      </c>
      <c r="G409" s="4">
        <v>1</v>
      </c>
      <c r="H409" s="4" t="s">
        <v>1279</v>
      </c>
      <c r="I409" s="4">
        <v>9</v>
      </c>
      <c r="J409" s="4" t="s">
        <v>2268</v>
      </c>
      <c r="K409" s="4" t="s">
        <v>2269</v>
      </c>
      <c r="L409" s="4">
        <v>-0.85371649564826901</v>
      </c>
      <c r="M409" s="4">
        <v>4.7363800063491099E-2</v>
      </c>
      <c r="N409" s="4">
        <v>2.9569022325658998</v>
      </c>
      <c r="O409" s="4">
        <v>10</v>
      </c>
      <c r="V409" s="4">
        <v>3.5154999999999999E-2</v>
      </c>
      <c r="W409" s="4">
        <v>0.20846378704482099</v>
      </c>
    </row>
    <row r="410" spans="1:23">
      <c r="A410" s="4" t="s">
        <v>1281</v>
      </c>
      <c r="B410" s="4" t="s">
        <v>1400</v>
      </c>
      <c r="C410" s="4">
        <v>1.380690102</v>
      </c>
      <c r="D410" s="4">
        <v>1.7266660840000001</v>
      </c>
      <c r="F410" s="4" t="s">
        <v>2288</v>
      </c>
      <c r="G410" s="4">
        <v>2</v>
      </c>
      <c r="H410" s="4" t="s">
        <v>1280</v>
      </c>
      <c r="I410" s="4">
        <v>9</v>
      </c>
      <c r="J410" s="4" t="s">
        <v>2268</v>
      </c>
      <c r="K410" s="4" t="s">
        <v>2269</v>
      </c>
      <c r="L410" s="4">
        <v>-1.3239793031257101</v>
      </c>
      <c r="M410" s="4">
        <v>4.73638000634935E-2</v>
      </c>
      <c r="N410" s="4">
        <v>1.0013229212775601</v>
      </c>
      <c r="O410" s="4">
        <v>10</v>
      </c>
      <c r="V410" s="4">
        <v>3.2134000000000003E-2</v>
      </c>
      <c r="W410" s="4">
        <v>0.20846378704482099</v>
      </c>
    </row>
    <row r="411" spans="1:23">
      <c r="A411" s="4" t="s">
        <v>1281</v>
      </c>
      <c r="B411" s="4" t="s">
        <v>1400</v>
      </c>
      <c r="C411" s="4">
        <v>1.750040499</v>
      </c>
      <c r="D411" s="4">
        <v>2.1079784020000001</v>
      </c>
      <c r="F411" s="4" t="s">
        <v>2288</v>
      </c>
      <c r="G411" s="4">
        <v>1</v>
      </c>
      <c r="H411" s="4" t="s">
        <v>1279</v>
      </c>
      <c r="I411" s="4">
        <v>10</v>
      </c>
      <c r="J411" s="4" t="s">
        <v>2270</v>
      </c>
      <c r="K411" s="4" t="s">
        <v>2271</v>
      </c>
      <c r="L411" s="4">
        <v>1.1648849591594601</v>
      </c>
      <c r="M411" s="4">
        <v>0.39002529532614899</v>
      </c>
      <c r="N411" s="4">
        <v>37.4793616008931</v>
      </c>
      <c r="O411" s="4">
        <v>10</v>
      </c>
      <c r="V411" s="4">
        <v>8.2399999999999997E-4</v>
      </c>
      <c r="W411" s="4">
        <v>9.9532738999283096E-2</v>
      </c>
    </row>
    <row r="412" spans="1:23">
      <c r="A412" s="4" t="s">
        <v>1281</v>
      </c>
      <c r="B412" s="4" t="s">
        <v>1400</v>
      </c>
      <c r="C412" s="4">
        <v>1.8861169609999999</v>
      </c>
      <c r="D412" s="4">
        <v>2.1079762259999999</v>
      </c>
      <c r="F412" s="4" t="s">
        <v>2288</v>
      </c>
      <c r="G412" s="4">
        <v>2</v>
      </c>
      <c r="H412" s="4" t="s">
        <v>1280</v>
      </c>
      <c r="I412" s="4">
        <v>10</v>
      </c>
      <c r="J412" s="4" t="s">
        <v>2270</v>
      </c>
      <c r="K412" s="4" t="s">
        <v>2271</v>
      </c>
      <c r="L412" s="4">
        <v>-0.404156261670368</v>
      </c>
      <c r="M412" s="4">
        <v>0.39002529532614699</v>
      </c>
      <c r="N412" s="4">
        <v>1.01099955389674</v>
      </c>
      <c r="O412" s="4">
        <v>10</v>
      </c>
      <c r="V412" s="4">
        <v>7.9649999999999999E-3</v>
      </c>
      <c r="W412" s="4">
        <v>9.9532738999283096E-2</v>
      </c>
    </row>
    <row r="413" spans="1:23">
      <c r="A413" s="4" t="s">
        <v>1281</v>
      </c>
      <c r="B413" s="4" t="s">
        <v>1400</v>
      </c>
      <c r="C413" s="4">
        <v>1.766240078</v>
      </c>
      <c r="D413" s="4">
        <v>2.1077587819999999</v>
      </c>
      <c r="F413" s="4" t="s">
        <v>2288</v>
      </c>
      <c r="G413" s="4">
        <v>1</v>
      </c>
      <c r="H413" s="4" t="s">
        <v>1279</v>
      </c>
      <c r="I413" s="4">
        <v>11</v>
      </c>
      <c r="J413" s="4" t="s">
        <v>1319</v>
      </c>
      <c r="K413" s="4" t="s">
        <v>2272</v>
      </c>
      <c r="L413" s="4">
        <v>1.54379561114884</v>
      </c>
      <c r="M413" s="4">
        <v>2.1880153180223099</v>
      </c>
      <c r="N413" s="4">
        <v>15.986200404911401</v>
      </c>
      <c r="O413" s="4">
        <v>10</v>
      </c>
      <c r="V413" s="4">
        <v>9.5196369999999995</v>
      </c>
      <c r="W413" s="4">
        <v>26.013392628236499</v>
      </c>
    </row>
    <row r="414" spans="1:23">
      <c r="A414" s="4" t="s">
        <v>1281</v>
      </c>
      <c r="B414" s="4" t="s">
        <v>1400</v>
      </c>
      <c r="C414" s="4">
        <v>2.0092337599999999</v>
      </c>
      <c r="D414" s="4">
        <v>2.1027021129999999</v>
      </c>
      <c r="F414" s="4" t="s">
        <v>2288</v>
      </c>
      <c r="G414" s="4">
        <v>2</v>
      </c>
      <c r="H414" s="4" t="s">
        <v>1280</v>
      </c>
      <c r="I414" s="4">
        <v>11</v>
      </c>
      <c r="J414" s="4" t="s">
        <v>1319</v>
      </c>
      <c r="K414" s="4" t="s">
        <v>2272</v>
      </c>
      <c r="L414" s="4">
        <v>0.36740767812648201</v>
      </c>
      <c r="M414" s="4">
        <v>2.1880153180223099</v>
      </c>
      <c r="N414" s="4">
        <v>1.06501891252812</v>
      </c>
      <c r="O414" s="4">
        <v>10</v>
      </c>
      <c r="V414" s="4">
        <v>10.060700000000001</v>
      </c>
      <c r="W414" s="4">
        <v>26.013392628236499</v>
      </c>
    </row>
    <row r="415" spans="1:23">
      <c r="A415" s="4" t="s">
        <v>1281</v>
      </c>
      <c r="B415" s="4" t="s">
        <v>1400</v>
      </c>
      <c r="C415" s="4">
        <v>2.0416329179999999</v>
      </c>
      <c r="D415" s="4">
        <v>2.0885460870000001</v>
      </c>
      <c r="F415" s="4" t="s">
        <v>2288</v>
      </c>
      <c r="G415" s="4">
        <v>1</v>
      </c>
      <c r="H415" s="4" t="s">
        <v>1279</v>
      </c>
      <c r="I415" s="4">
        <v>12</v>
      </c>
      <c r="J415" s="4" t="s">
        <v>1319</v>
      </c>
      <c r="K415" s="4" t="s">
        <v>2273</v>
      </c>
      <c r="L415" s="4">
        <v>0.71726008946738395</v>
      </c>
      <c r="M415" s="4">
        <v>0.78589909850558104</v>
      </c>
      <c r="N415" s="4">
        <v>6.63580016434857</v>
      </c>
      <c r="O415" s="4">
        <v>10</v>
      </c>
      <c r="V415" s="4">
        <v>15.040100000000001</v>
      </c>
      <c r="W415" s="4">
        <v>27.583489595190599</v>
      </c>
    </row>
    <row r="416" spans="1:23">
      <c r="A416" s="4" t="s">
        <v>1281</v>
      </c>
      <c r="B416" s="4" t="s">
        <v>1400</v>
      </c>
      <c r="C416" s="4">
        <v>1.750040499</v>
      </c>
      <c r="D416" s="4">
        <v>1.9325289450000001</v>
      </c>
      <c r="F416" s="4" t="s">
        <v>2288</v>
      </c>
      <c r="G416" s="4">
        <v>2</v>
      </c>
      <c r="H416" s="4" t="s">
        <v>1280</v>
      </c>
      <c r="I416" s="4">
        <v>12</v>
      </c>
      <c r="J416" s="4" t="s">
        <v>1319</v>
      </c>
      <c r="K416" s="4" t="s">
        <v>2273</v>
      </c>
      <c r="L416" s="4">
        <v>-9.5005820590462406E-2</v>
      </c>
      <c r="M416" s="4">
        <v>0.78589909850558803</v>
      </c>
      <c r="N416" s="4">
        <v>1.0224154151637399</v>
      </c>
      <c r="O416" s="4">
        <v>10</v>
      </c>
      <c r="V416" s="4">
        <v>15.08404</v>
      </c>
      <c r="W416" s="4">
        <v>27.583489595190599</v>
      </c>
    </row>
    <row r="417" spans="1:23">
      <c r="A417" s="4" t="s">
        <v>1281</v>
      </c>
      <c r="B417" s="4" t="s">
        <v>1400</v>
      </c>
      <c r="C417" s="4">
        <v>1.73384092</v>
      </c>
      <c r="D417" s="4">
        <v>1.843710438</v>
      </c>
      <c r="F417" s="4" t="s">
        <v>2288</v>
      </c>
      <c r="G417" s="4">
        <v>1</v>
      </c>
      <c r="H417" s="4" t="s">
        <v>1279</v>
      </c>
      <c r="I417" s="4">
        <v>13</v>
      </c>
      <c r="J417" s="4" t="s">
        <v>1319</v>
      </c>
      <c r="K417" s="4" t="s">
        <v>2274</v>
      </c>
      <c r="L417" s="4">
        <v>0.489574260202358</v>
      </c>
      <c r="M417" s="4">
        <v>0.79471373750277796</v>
      </c>
      <c r="N417" s="4">
        <v>3.8847541549574198</v>
      </c>
      <c r="O417" s="4">
        <v>10</v>
      </c>
      <c r="V417" s="4">
        <v>8.8437000000000002E-2</v>
      </c>
      <c r="W417" s="4">
        <v>9.2366691562559805E-2</v>
      </c>
    </row>
    <row r="418" spans="1:23">
      <c r="A418" s="4" t="s">
        <v>1281</v>
      </c>
      <c r="B418" s="4" t="s">
        <v>1400</v>
      </c>
      <c r="C418" s="4">
        <v>1.367730439</v>
      </c>
      <c r="D418" s="4">
        <v>1.7266660840000001</v>
      </c>
      <c r="F418" s="4" t="s">
        <v>2288</v>
      </c>
      <c r="G418" s="4">
        <v>2</v>
      </c>
      <c r="H418" s="4" t="s">
        <v>1280</v>
      </c>
      <c r="I418" s="4">
        <v>13</v>
      </c>
      <c r="J418" s="4" t="s">
        <v>1319</v>
      </c>
      <c r="K418" s="4" t="s">
        <v>2274</v>
      </c>
      <c r="L418" s="4">
        <v>-9.0052679700932295E-2</v>
      </c>
      <c r="M418" s="4">
        <v>0.79471373750278196</v>
      </c>
      <c r="N418" s="4">
        <v>1.0226725522162601</v>
      </c>
      <c r="O418" s="4">
        <v>10</v>
      </c>
      <c r="V418" s="4">
        <v>9.3656000000000003E-2</v>
      </c>
      <c r="W418" s="4">
        <v>9.2366691562559805E-2</v>
      </c>
    </row>
    <row r="419" spans="1:23">
      <c r="A419" s="4" t="s">
        <v>1281</v>
      </c>
      <c r="B419" s="4" t="s">
        <v>1400</v>
      </c>
      <c r="C419" s="4">
        <v>1.876397214</v>
      </c>
      <c r="D419" s="4">
        <v>2.1069723470000001</v>
      </c>
      <c r="F419" s="4" t="s">
        <v>2288</v>
      </c>
      <c r="G419" s="4">
        <v>1</v>
      </c>
      <c r="H419" s="4" t="s">
        <v>1279</v>
      </c>
      <c r="I419" s="4">
        <v>14</v>
      </c>
      <c r="J419" s="4" t="s">
        <v>1281</v>
      </c>
      <c r="K419" s="4" t="s">
        <v>2275</v>
      </c>
      <c r="L419" s="4">
        <v>1.28651908758821</v>
      </c>
      <c r="M419" s="4">
        <v>0.477290879046816</v>
      </c>
      <c r="N419" s="4">
        <v>40.526206444803499</v>
      </c>
      <c r="O419" s="4">
        <v>10</v>
      </c>
      <c r="V419" s="4">
        <v>9.6954130000000003</v>
      </c>
      <c r="W419" s="4">
        <v>23.932125516647499</v>
      </c>
    </row>
    <row r="420" spans="1:23">
      <c r="A420" s="4" t="s">
        <v>1281</v>
      </c>
      <c r="B420" s="4" t="s">
        <v>1400</v>
      </c>
      <c r="C420" s="4">
        <v>1.9476753600000001</v>
      </c>
      <c r="D420" s="4">
        <v>2.1068853930000002</v>
      </c>
      <c r="F420" s="4" t="s">
        <v>2288</v>
      </c>
      <c r="G420" s="4">
        <v>2</v>
      </c>
      <c r="H420" s="4" t="s">
        <v>1280</v>
      </c>
      <c r="I420" s="4">
        <v>14</v>
      </c>
      <c r="J420" s="4" t="s">
        <v>1281</v>
      </c>
      <c r="K420" s="4" t="s">
        <v>2275</v>
      </c>
      <c r="L420" s="4">
        <v>-0.31539568838610099</v>
      </c>
      <c r="M420" s="4">
        <v>0.47729087904681899</v>
      </c>
      <c r="N420" s="4">
        <v>1.0134939871727899</v>
      </c>
      <c r="O420" s="4">
        <v>10</v>
      </c>
      <c r="V420" s="4">
        <v>9.0060420000000008</v>
      </c>
      <c r="W420" s="4">
        <v>23.932125516647499</v>
      </c>
    </row>
    <row r="421" spans="1:23">
      <c r="A421" s="4" t="s">
        <v>1281</v>
      </c>
      <c r="B421" s="4" t="s">
        <v>1400</v>
      </c>
      <c r="C421" s="4">
        <v>2.0027539280000002</v>
      </c>
      <c r="D421" s="4">
        <v>2.0982752570000001</v>
      </c>
      <c r="F421" s="4" t="s">
        <v>2288</v>
      </c>
      <c r="G421" s="4">
        <v>1</v>
      </c>
      <c r="H421" s="4" t="s">
        <v>1279</v>
      </c>
      <c r="I421" s="4">
        <v>15</v>
      </c>
      <c r="J421" s="4" t="s">
        <v>2276</v>
      </c>
      <c r="K421" s="4" t="s">
        <v>2277</v>
      </c>
      <c r="L421" s="4">
        <v>5.3014819049793799E-2</v>
      </c>
      <c r="M421" s="4">
        <v>8.7681466295368202E-2</v>
      </c>
      <c r="N421" s="4">
        <v>12.885670303001501</v>
      </c>
      <c r="O421" s="4">
        <v>10</v>
      </c>
      <c r="V421" s="4">
        <v>15.46031</v>
      </c>
      <c r="W421" s="4">
        <v>25.376554605334899</v>
      </c>
    </row>
    <row r="422" spans="1:23">
      <c r="A422" s="4" t="s">
        <v>1281</v>
      </c>
      <c r="B422" s="4" t="s">
        <v>1400</v>
      </c>
      <c r="C422" s="4">
        <v>1.8213186459999999</v>
      </c>
      <c r="D422" s="4">
        <v>1.6734682789999999</v>
      </c>
      <c r="F422" s="4" t="s">
        <v>2288</v>
      </c>
      <c r="G422" s="4">
        <v>2</v>
      </c>
      <c r="H422" s="4" t="s">
        <v>1280</v>
      </c>
      <c r="I422" s="4">
        <v>15</v>
      </c>
      <c r="J422" s="4" t="s">
        <v>2276</v>
      </c>
      <c r="K422" s="4" t="s">
        <v>2277</v>
      </c>
      <c r="L422" s="4">
        <v>-1.05602869200571</v>
      </c>
      <c r="M422" s="4">
        <v>8.7681466295364802E-2</v>
      </c>
      <c r="N422" s="4">
        <v>1.00245180945764</v>
      </c>
      <c r="O422" s="4">
        <v>10</v>
      </c>
      <c r="V422" s="4">
        <v>15.41362</v>
      </c>
      <c r="W422" s="4">
        <v>25.376554605334899</v>
      </c>
    </row>
    <row r="423" spans="1:23">
      <c r="A423" s="4" t="s">
        <v>1281</v>
      </c>
      <c r="B423" s="4" t="s">
        <v>1400</v>
      </c>
      <c r="C423" s="4">
        <v>1.1636157460000001</v>
      </c>
      <c r="D423" s="4">
        <v>1.155328709</v>
      </c>
      <c r="F423" s="4" t="s">
        <v>2289</v>
      </c>
      <c r="G423" s="4">
        <v>1</v>
      </c>
      <c r="H423" s="4" t="s">
        <v>1279</v>
      </c>
      <c r="I423" s="4">
        <v>1</v>
      </c>
      <c r="J423" s="4" t="s">
        <v>196</v>
      </c>
      <c r="K423" s="4" t="s">
        <v>2255</v>
      </c>
      <c r="L423" s="4">
        <v>1.7059406863236399</v>
      </c>
      <c r="M423" s="4">
        <v>9.2317679699687005</v>
      </c>
      <c r="N423" s="4">
        <v>5.50371334271858</v>
      </c>
      <c r="O423" s="4">
        <v>2.99929964982491</v>
      </c>
      <c r="V423" s="4">
        <v>6.0419999999999996E-3</v>
      </c>
      <c r="W423" s="4">
        <v>4.1874199217474699E-2</v>
      </c>
    </row>
    <row r="424" spans="1:23">
      <c r="A424" s="4" t="s">
        <v>1281</v>
      </c>
      <c r="B424" s="4" t="s">
        <v>1400</v>
      </c>
      <c r="C424" s="4">
        <v>0.88822290599999998</v>
      </c>
      <c r="D424" s="4">
        <v>1.0800967459999999</v>
      </c>
      <c r="F424" s="4" t="s">
        <v>2289</v>
      </c>
      <c r="G424" s="4">
        <v>2</v>
      </c>
      <c r="H424" s="4" t="s">
        <v>1280</v>
      </c>
      <c r="I424" s="4">
        <v>1</v>
      </c>
      <c r="J424" s="4" t="s">
        <v>196</v>
      </c>
      <c r="K424" s="4" t="s">
        <v>2255</v>
      </c>
      <c r="L424" s="4">
        <v>1.41525433132687</v>
      </c>
      <c r="M424" s="4">
        <v>12.654652415112301</v>
      </c>
      <c r="N424" s="4">
        <v>2.0559100542409001</v>
      </c>
      <c r="O424" s="4">
        <v>9.0783391695847904</v>
      </c>
      <c r="V424" s="4">
        <v>1.923E-3</v>
      </c>
      <c r="W424" s="4">
        <v>4.1874199217474699E-2</v>
      </c>
    </row>
    <row r="425" spans="1:23">
      <c r="A425" s="4" t="s">
        <v>1281</v>
      </c>
      <c r="B425" s="4" t="s">
        <v>1400</v>
      </c>
      <c r="C425" s="4">
        <v>0.638749393</v>
      </c>
      <c r="D425" s="4">
        <v>1.0154225050000001</v>
      </c>
      <c r="F425" s="4" t="s">
        <v>2289</v>
      </c>
      <c r="G425" s="4">
        <v>1</v>
      </c>
      <c r="H425" s="4" t="s">
        <v>1279</v>
      </c>
      <c r="I425" s="4">
        <v>2</v>
      </c>
      <c r="J425" s="4" t="s">
        <v>196</v>
      </c>
      <c r="K425" s="4" t="s">
        <v>2256</v>
      </c>
      <c r="L425" s="4">
        <v>1.83440468841946</v>
      </c>
      <c r="M425" s="4">
        <v>10.4448911664477</v>
      </c>
      <c r="N425" s="4">
        <v>6.5388408833430196</v>
      </c>
      <c r="O425" s="4">
        <v>1.8815407703851901</v>
      </c>
      <c r="V425" s="4">
        <v>3.5322710000000002</v>
      </c>
      <c r="W425" s="4">
        <v>9.2673658108377506</v>
      </c>
    </row>
    <row r="426" spans="1:23">
      <c r="A426" s="4" t="s">
        <v>1281</v>
      </c>
      <c r="B426" s="4" t="s">
        <v>1400</v>
      </c>
      <c r="C426" s="4">
        <v>1.8504778879999999</v>
      </c>
      <c r="D426" s="4">
        <v>2.1069723470000001</v>
      </c>
      <c r="F426" s="4" t="s">
        <v>2289</v>
      </c>
      <c r="G426" s="4">
        <v>2</v>
      </c>
      <c r="H426" s="4" t="s">
        <v>1280</v>
      </c>
      <c r="I426" s="4">
        <v>2</v>
      </c>
      <c r="J426" s="4" t="s">
        <v>196</v>
      </c>
      <c r="K426" s="4" t="s">
        <v>2256</v>
      </c>
      <c r="L426" s="4">
        <v>1.5428644990085101</v>
      </c>
      <c r="M426" s="4">
        <v>14.272349161710199</v>
      </c>
      <c r="N426" s="4">
        <v>2.4455077145501001</v>
      </c>
      <c r="O426" s="4">
        <v>5.9701850925462701</v>
      </c>
      <c r="V426" s="4">
        <v>3.5789620000000002</v>
      </c>
      <c r="W426" s="4">
        <v>9.2673658108377506</v>
      </c>
    </row>
    <row r="427" spans="1:23">
      <c r="A427" s="4" t="s">
        <v>1281</v>
      </c>
      <c r="B427" s="4" t="s">
        <v>1400</v>
      </c>
      <c r="C427" s="4">
        <v>1.905556456</v>
      </c>
      <c r="D427" s="4">
        <v>2.1068853930000002</v>
      </c>
      <c r="F427" s="4" t="s">
        <v>2289</v>
      </c>
      <c r="G427" s="4">
        <v>1</v>
      </c>
      <c r="H427" s="4" t="s">
        <v>1279</v>
      </c>
      <c r="I427" s="4">
        <v>3</v>
      </c>
      <c r="J427" s="4" t="s">
        <v>2257</v>
      </c>
      <c r="K427" s="4" t="s">
        <v>724</v>
      </c>
      <c r="L427" s="4">
        <v>2.1141340938723499</v>
      </c>
      <c r="M427" s="4">
        <v>14.552942292511</v>
      </c>
      <c r="N427" s="4">
        <v>8.9368256779295496</v>
      </c>
      <c r="O427" s="4">
        <v>0.36178089044522199</v>
      </c>
      <c r="V427" s="4">
        <v>7.5311729999999999</v>
      </c>
      <c r="W427" s="4">
        <v>9.8263298733115807</v>
      </c>
    </row>
    <row r="428" spans="1:23">
      <c r="A428" s="4" t="s">
        <v>1281</v>
      </c>
      <c r="B428" s="4" t="s">
        <v>1400</v>
      </c>
      <c r="C428" s="4">
        <v>1.8990766240000001</v>
      </c>
      <c r="D428" s="4">
        <v>2.0982752570000001</v>
      </c>
      <c r="F428" s="4" t="s">
        <v>2289</v>
      </c>
      <c r="G428" s="4">
        <v>2</v>
      </c>
      <c r="H428" s="4" t="s">
        <v>1280</v>
      </c>
      <c r="I428" s="4">
        <v>3</v>
      </c>
      <c r="J428" s="4" t="s">
        <v>2257</v>
      </c>
      <c r="K428" s="4" t="s">
        <v>724</v>
      </c>
      <c r="L428" s="4">
        <v>1.93297805066865</v>
      </c>
      <c r="M428" s="4">
        <v>17.405062491101202</v>
      </c>
      <c r="N428" s="4">
        <v>4.9238233525232804</v>
      </c>
      <c r="O428" s="4">
        <v>1.2834417208604301</v>
      </c>
      <c r="V428" s="4">
        <v>7.6492719999999998</v>
      </c>
      <c r="W428" s="4">
        <v>9.8263298733115807</v>
      </c>
    </row>
    <row r="429" spans="1:23">
      <c r="A429" s="4" t="s">
        <v>1281</v>
      </c>
      <c r="B429" s="4" t="s">
        <v>1400</v>
      </c>
      <c r="C429" s="4">
        <v>1.827798477</v>
      </c>
      <c r="D429" s="4">
        <v>1.6734682789999999</v>
      </c>
      <c r="F429" s="4" t="s">
        <v>2289</v>
      </c>
      <c r="G429" s="4">
        <v>1</v>
      </c>
      <c r="H429" s="4" t="s">
        <v>1279</v>
      </c>
      <c r="I429" s="4">
        <v>4</v>
      </c>
      <c r="J429" s="4" t="s">
        <v>2258</v>
      </c>
      <c r="K429" s="4" t="s">
        <v>2259</v>
      </c>
      <c r="L429" s="4">
        <v>1.2938629919295399</v>
      </c>
      <c r="M429" s="4">
        <v>5.9128542105667803</v>
      </c>
      <c r="N429" s="4">
        <v>3.3270997441891699</v>
      </c>
      <c r="O429" s="4">
        <v>10</v>
      </c>
      <c r="V429" s="4">
        <v>1E-3</v>
      </c>
      <c r="W429" s="4">
        <v>2.56678826513962E-2</v>
      </c>
    </row>
    <row r="430" spans="1:23">
      <c r="A430" s="4" t="s">
        <v>1281</v>
      </c>
      <c r="B430" s="4" t="s">
        <v>1400</v>
      </c>
      <c r="C430" s="4">
        <v>1.1182569250000001</v>
      </c>
      <c r="D430" s="4">
        <v>1.155328709</v>
      </c>
      <c r="F430" s="4" t="s">
        <v>2289</v>
      </c>
      <c r="G430" s="4">
        <v>2</v>
      </c>
      <c r="H430" s="4" t="s">
        <v>1280</v>
      </c>
      <c r="I430" s="4">
        <v>4</v>
      </c>
      <c r="J430" s="4" t="s">
        <v>2258</v>
      </c>
      <c r="K430" s="4" t="s">
        <v>2259</v>
      </c>
      <c r="L430" s="4">
        <v>0.85635771973029495</v>
      </c>
      <c r="M430" s="4">
        <v>5.9128542105667803</v>
      </c>
      <c r="N430" s="4">
        <v>1.2149559960985501</v>
      </c>
      <c r="O430" s="4">
        <v>10</v>
      </c>
      <c r="V430" s="4">
        <v>3.8449999999999999E-3</v>
      </c>
      <c r="W430" s="4">
        <v>2.56678826513962E-2</v>
      </c>
    </row>
    <row r="431" spans="1:23">
      <c r="A431" s="4" t="s">
        <v>1281</v>
      </c>
      <c r="B431" s="4" t="s">
        <v>1400</v>
      </c>
      <c r="C431" s="4">
        <v>0.99190021100000003</v>
      </c>
      <c r="D431" s="4">
        <v>1.0800967459999999</v>
      </c>
      <c r="F431" s="4" t="s">
        <v>2289</v>
      </c>
      <c r="G431" s="4">
        <v>1</v>
      </c>
      <c r="H431" s="4" t="s">
        <v>1279</v>
      </c>
      <c r="I431" s="4">
        <v>5</v>
      </c>
      <c r="J431" s="4" t="s">
        <v>2260</v>
      </c>
      <c r="K431" s="4" t="s">
        <v>2261</v>
      </c>
      <c r="L431" s="4">
        <v>1.5633354204473999</v>
      </c>
      <c r="M431" s="4">
        <v>7.9924670929379804</v>
      </c>
      <c r="N431" s="4">
        <v>4.5777762705529099</v>
      </c>
      <c r="O431" s="4">
        <v>4.7592796398199102</v>
      </c>
      <c r="V431" s="4">
        <v>1.76902</v>
      </c>
      <c r="W431" s="4">
        <v>4.5604930240172203</v>
      </c>
    </row>
    <row r="432" spans="1:23">
      <c r="A432" s="4" t="s">
        <v>1281</v>
      </c>
      <c r="B432" s="4" t="s">
        <v>1400</v>
      </c>
      <c r="C432" s="4">
        <v>0.59663048799999996</v>
      </c>
      <c r="D432" s="4">
        <v>1.0154225050000001</v>
      </c>
      <c r="F432" s="4" t="s">
        <v>2289</v>
      </c>
      <c r="G432" s="4">
        <v>2</v>
      </c>
      <c r="H432" s="4" t="s">
        <v>1280</v>
      </c>
      <c r="I432" s="4">
        <v>5</v>
      </c>
      <c r="J432" s="4" t="s">
        <v>2260</v>
      </c>
      <c r="K432" s="4" t="s">
        <v>2261</v>
      </c>
      <c r="L432" s="4">
        <v>1.25723070785255</v>
      </c>
      <c r="M432" s="4">
        <v>11.097886417059</v>
      </c>
      <c r="N432" s="4">
        <v>1.6292601385535299</v>
      </c>
      <c r="O432" s="4">
        <v>10</v>
      </c>
      <c r="V432" s="4">
        <v>1.6646529999999999</v>
      </c>
      <c r="W432" s="4">
        <v>4.5604930240172203</v>
      </c>
    </row>
    <row r="433" spans="1:23">
      <c r="A433" s="4" t="s">
        <v>1281</v>
      </c>
      <c r="B433" s="4" t="s">
        <v>1400</v>
      </c>
      <c r="C433" s="4">
        <v>1.8861169609999999</v>
      </c>
      <c r="D433" s="4">
        <v>2.1010540459999998</v>
      </c>
      <c r="F433" s="4" t="s">
        <v>2289</v>
      </c>
      <c r="G433" s="4">
        <v>1</v>
      </c>
      <c r="H433" s="4" t="s">
        <v>1279</v>
      </c>
      <c r="I433" s="4">
        <v>6</v>
      </c>
      <c r="J433" s="4" t="s">
        <v>2262</v>
      </c>
      <c r="K433" s="4" t="s">
        <v>2263</v>
      </c>
      <c r="L433" s="4">
        <v>1.9744209714354599</v>
      </c>
      <c r="M433" s="4">
        <v>12.106120035283</v>
      </c>
      <c r="N433" s="4">
        <v>7.7878216244229996</v>
      </c>
      <c r="O433" s="4">
        <v>1.0040020010005</v>
      </c>
      <c r="V433" s="4">
        <v>4.1172750000000002</v>
      </c>
      <c r="W433" s="4">
        <v>4.8352539137711599</v>
      </c>
    </row>
    <row r="434" spans="1:23">
      <c r="A434" s="4" t="s">
        <v>1281</v>
      </c>
      <c r="B434" s="4" t="s">
        <v>1400</v>
      </c>
      <c r="C434" s="4">
        <v>1.892596792</v>
      </c>
      <c r="D434" s="4">
        <v>2.1004712809999999</v>
      </c>
      <c r="F434" s="4" t="s">
        <v>2289</v>
      </c>
      <c r="G434" s="4">
        <v>2</v>
      </c>
      <c r="H434" s="4" t="s">
        <v>1280</v>
      </c>
      <c r="I434" s="4">
        <v>6</v>
      </c>
      <c r="J434" s="4" t="s">
        <v>2262</v>
      </c>
      <c r="K434" s="4" t="s">
        <v>2263</v>
      </c>
      <c r="L434" s="4">
        <v>1.7074424609676</v>
      </c>
      <c r="M434" s="4">
        <v>16.016031124365199</v>
      </c>
      <c r="N434" s="4">
        <v>3.1833732081566599</v>
      </c>
      <c r="O434" s="4">
        <v>3.35717858929464</v>
      </c>
      <c r="V434" s="4">
        <v>4.0156549999999998</v>
      </c>
      <c r="W434" s="4">
        <v>4.8352539137711599</v>
      </c>
    </row>
    <row r="435" spans="1:23">
      <c r="A435" s="4" t="s">
        <v>1281</v>
      </c>
      <c r="B435" s="4" t="s">
        <v>1400</v>
      </c>
      <c r="C435" s="4">
        <v>1.92499595</v>
      </c>
      <c r="D435" s="4">
        <v>2.0449251469999998</v>
      </c>
      <c r="F435" s="4" t="s">
        <v>2289</v>
      </c>
      <c r="G435" s="4">
        <v>1</v>
      </c>
      <c r="H435" s="4" t="s">
        <v>1279</v>
      </c>
      <c r="I435" s="4">
        <v>7</v>
      </c>
      <c r="J435" s="4" t="s">
        <v>2264</v>
      </c>
      <c r="K435" s="4" t="s">
        <v>2265</v>
      </c>
      <c r="L435" s="4">
        <v>1.8152584377963401</v>
      </c>
      <c r="M435" s="4">
        <v>10.2064936944161</v>
      </c>
      <c r="N435" s="4">
        <v>6.4029758852867502</v>
      </c>
      <c r="O435" s="4">
        <v>2.0286143071535698</v>
      </c>
      <c r="V435" s="4">
        <v>1E-3</v>
      </c>
      <c r="W435" s="4">
        <v>1.65282419956259E-2</v>
      </c>
    </row>
    <row r="436" spans="1:23">
      <c r="A436" s="4" t="s">
        <v>1281</v>
      </c>
      <c r="B436" s="4" t="s">
        <v>1400</v>
      </c>
      <c r="C436" s="4">
        <v>1.7824396570000001</v>
      </c>
      <c r="D436" s="4">
        <v>1.4434441499999999</v>
      </c>
      <c r="F436" s="4" t="s">
        <v>2289</v>
      </c>
      <c r="G436" s="4">
        <v>2</v>
      </c>
      <c r="H436" s="4" t="s">
        <v>1280</v>
      </c>
      <c r="I436" s="4">
        <v>7</v>
      </c>
      <c r="J436" s="4" t="s">
        <v>2264</v>
      </c>
      <c r="K436" s="4" t="s">
        <v>2265</v>
      </c>
      <c r="L436" s="4">
        <v>1.5216631357372301</v>
      </c>
      <c r="M436" s="4">
        <v>14.0128342044527</v>
      </c>
      <c r="N436" s="4">
        <v>2.37212271433929</v>
      </c>
      <c r="O436" s="4">
        <v>6.4163081540770301</v>
      </c>
      <c r="V436" s="4">
        <v>1E-3</v>
      </c>
      <c r="W436" s="4">
        <v>1.65282419956259E-2</v>
      </c>
    </row>
    <row r="437" spans="1:23">
      <c r="A437" s="4" t="s">
        <v>1281</v>
      </c>
      <c r="B437" s="4" t="s">
        <v>1400</v>
      </c>
      <c r="C437" s="4">
        <v>1.555645553</v>
      </c>
      <c r="D437" s="4">
        <v>1.0888945649999999</v>
      </c>
      <c r="F437" s="4" t="s">
        <v>2289</v>
      </c>
      <c r="G437" s="4">
        <v>1</v>
      </c>
      <c r="H437" s="4" t="s">
        <v>1279</v>
      </c>
      <c r="I437" s="4">
        <v>8</v>
      </c>
      <c r="J437" s="4" t="s">
        <v>2266</v>
      </c>
      <c r="K437" s="4" t="s">
        <v>2267</v>
      </c>
      <c r="L437" s="4">
        <v>1.7644383862777899</v>
      </c>
      <c r="M437" s="4">
        <v>9.6978133318601305</v>
      </c>
      <c r="N437" s="4">
        <v>5.9946601343745503</v>
      </c>
      <c r="O437" s="4">
        <v>2.44532266133066</v>
      </c>
      <c r="V437" s="4">
        <v>0.31337500000000001</v>
      </c>
      <c r="W437" s="4">
        <v>1.90602643325546</v>
      </c>
    </row>
    <row r="438" spans="1:23">
      <c r="A438" s="4" t="s">
        <v>1281</v>
      </c>
      <c r="B438" s="4" t="s">
        <v>1400</v>
      </c>
      <c r="C438" s="4">
        <v>0.75538636000000003</v>
      </c>
      <c r="D438" s="4">
        <v>0.80664377600000003</v>
      </c>
      <c r="F438" s="4" t="s">
        <v>2289</v>
      </c>
      <c r="G438" s="4">
        <v>2</v>
      </c>
      <c r="H438" s="4" t="s">
        <v>1280</v>
      </c>
      <c r="I438" s="4">
        <v>8</v>
      </c>
      <c r="J438" s="4" t="s">
        <v>2266</v>
      </c>
      <c r="K438" s="4" t="s">
        <v>2267</v>
      </c>
      <c r="L438" s="4">
        <v>1.4700825022384501</v>
      </c>
      <c r="M438" s="4">
        <v>13.366223143875199</v>
      </c>
      <c r="N438" s="4">
        <v>2.2083799475103199</v>
      </c>
      <c r="O438" s="4">
        <v>7.6076038019009502</v>
      </c>
      <c r="V438" s="4">
        <v>0.30788199999999999</v>
      </c>
      <c r="W438" s="4">
        <v>1.90602643325546</v>
      </c>
    </row>
    <row r="439" spans="1:23">
      <c r="A439" s="4" t="s">
        <v>1281</v>
      </c>
      <c r="B439" s="4" t="s">
        <v>1400</v>
      </c>
      <c r="C439" s="4">
        <v>0.60959015100000002</v>
      </c>
      <c r="D439" s="4">
        <v>0.77876782499999997</v>
      </c>
      <c r="F439" s="4" t="s">
        <v>2289</v>
      </c>
      <c r="G439" s="4">
        <v>1</v>
      </c>
      <c r="H439" s="4" t="s">
        <v>1279</v>
      </c>
      <c r="I439" s="4">
        <v>9</v>
      </c>
      <c r="J439" s="4" t="s">
        <v>2268</v>
      </c>
      <c r="K439" s="4" t="s">
        <v>2269</v>
      </c>
      <c r="L439" s="4">
        <v>1.6749103821565701</v>
      </c>
      <c r="M439" s="4">
        <v>8.8582283954519898</v>
      </c>
      <c r="N439" s="4">
        <v>5.3402736063195704</v>
      </c>
      <c r="O439" s="4">
        <v>3.3228614307153501</v>
      </c>
      <c r="V439" s="4">
        <v>0.82697100000000001</v>
      </c>
      <c r="W439" s="4">
        <v>2.0205093930245801</v>
      </c>
    </row>
    <row r="440" spans="1:23">
      <c r="A440" s="4" t="s">
        <v>1281</v>
      </c>
      <c r="B440" s="4" t="s">
        <v>1400</v>
      </c>
      <c r="C440" s="4">
        <v>0.43139478399999998</v>
      </c>
      <c r="D440" s="4">
        <v>0.75557577300000001</v>
      </c>
      <c r="F440" s="4" t="s">
        <v>2289</v>
      </c>
      <c r="G440" s="4">
        <v>2</v>
      </c>
      <c r="H440" s="4" t="s">
        <v>1280</v>
      </c>
      <c r="I440" s="4">
        <v>9</v>
      </c>
      <c r="J440" s="4" t="s">
        <v>2268</v>
      </c>
      <c r="K440" s="4" t="s">
        <v>2269</v>
      </c>
      <c r="L440" s="4">
        <v>1.3840733949734501</v>
      </c>
      <c r="M440" s="4">
        <v>12.256059395707799</v>
      </c>
      <c r="N440" s="4">
        <v>1.9757069973417301</v>
      </c>
      <c r="O440" s="4">
        <v>10</v>
      </c>
      <c r="V440" s="4">
        <v>0.87091499999999999</v>
      </c>
      <c r="W440" s="4">
        <v>2.0205093930245801</v>
      </c>
    </row>
    <row r="441" spans="1:23">
      <c r="A441" s="4" t="s">
        <v>1281</v>
      </c>
      <c r="B441" s="4" t="s">
        <v>1400</v>
      </c>
      <c r="C441" s="4">
        <v>1.876397214</v>
      </c>
      <c r="D441" s="4">
        <v>2.1010540459999998</v>
      </c>
      <c r="F441" s="4" t="s">
        <v>2289</v>
      </c>
      <c r="G441" s="4">
        <v>1</v>
      </c>
      <c r="H441" s="4" t="s">
        <v>1279</v>
      </c>
      <c r="I441" s="4">
        <v>10</v>
      </c>
      <c r="J441" s="4" t="s">
        <v>2270</v>
      </c>
      <c r="K441" s="4" t="s">
        <v>2271</v>
      </c>
      <c r="L441" s="4">
        <v>1.9688716751562001</v>
      </c>
      <c r="M441" s="4">
        <v>12.016288656034099</v>
      </c>
      <c r="N441" s="4">
        <v>7.7464250406281403</v>
      </c>
      <c r="O441" s="4">
        <v>1.0334167083541701</v>
      </c>
      <c r="V441" s="4">
        <v>1E-3</v>
      </c>
      <c r="W441" s="4">
        <v>1.5748668599689299E-2</v>
      </c>
    </row>
    <row r="442" spans="1:23">
      <c r="A442" s="4" t="s">
        <v>1281</v>
      </c>
      <c r="B442" s="4" t="s">
        <v>1400</v>
      </c>
      <c r="C442" s="4">
        <v>1.905556456</v>
      </c>
      <c r="D442" s="4">
        <v>2.1004712809999999</v>
      </c>
      <c r="F442" s="4" t="s">
        <v>2289</v>
      </c>
      <c r="G442" s="4">
        <v>2</v>
      </c>
      <c r="H442" s="4" t="s">
        <v>1280</v>
      </c>
      <c r="I442" s="4">
        <v>10</v>
      </c>
      <c r="J442" s="4" t="s">
        <v>2270</v>
      </c>
      <c r="K442" s="4" t="s">
        <v>2271</v>
      </c>
      <c r="L442" s="4">
        <v>1.69994203026101</v>
      </c>
      <c r="M442" s="4">
        <v>15.9407354862873</v>
      </c>
      <c r="N442" s="4">
        <v>3.1436462886063898</v>
      </c>
      <c r="O442" s="4">
        <v>3.4552276138068998</v>
      </c>
      <c r="V442" s="4">
        <v>1E-3</v>
      </c>
      <c r="W442" s="4">
        <v>1.5748668599689299E-2</v>
      </c>
    </row>
    <row r="443" spans="1:23">
      <c r="A443" s="4" t="s">
        <v>1281</v>
      </c>
      <c r="B443" s="4" t="s">
        <v>1400</v>
      </c>
      <c r="C443" s="4">
        <v>1.8213186459999999</v>
      </c>
      <c r="D443" s="4">
        <v>2.0449251469999998</v>
      </c>
      <c r="F443" s="4" t="s">
        <v>2289</v>
      </c>
      <c r="G443" s="4">
        <v>1</v>
      </c>
      <c r="H443" s="4" t="s">
        <v>1279</v>
      </c>
      <c r="I443" s="4">
        <v>11</v>
      </c>
      <c r="J443" s="4" t="s">
        <v>1319</v>
      </c>
      <c r="K443" s="4" t="s">
        <v>2272</v>
      </c>
      <c r="L443" s="4">
        <v>2.07729046614942</v>
      </c>
      <c r="M443" s="4">
        <v>14.731295779243499</v>
      </c>
      <c r="N443" s="4">
        <v>8.1105352591851094</v>
      </c>
      <c r="O443" s="4">
        <v>0.44022011005502698</v>
      </c>
      <c r="V443" s="4">
        <v>0.200769</v>
      </c>
      <c r="W443" s="4">
        <v>1.6796114556322701</v>
      </c>
    </row>
    <row r="444" spans="1:23">
      <c r="A444" s="4" t="s">
        <v>1281</v>
      </c>
      <c r="B444" s="4" t="s">
        <v>1400</v>
      </c>
      <c r="C444" s="4">
        <v>1.766240078</v>
      </c>
      <c r="D444" s="4">
        <v>1.4434441499999999</v>
      </c>
      <c r="F444" s="4" t="s">
        <v>2289</v>
      </c>
      <c r="G444" s="4">
        <v>2</v>
      </c>
      <c r="H444" s="4" t="s">
        <v>1280</v>
      </c>
      <c r="I444" s="4">
        <v>11</v>
      </c>
      <c r="J444" s="4" t="s">
        <v>1319</v>
      </c>
      <c r="K444" s="4" t="s">
        <v>2272</v>
      </c>
      <c r="L444" s="4">
        <v>1.8952994344796099</v>
      </c>
      <c r="M444" s="4">
        <v>17.378462824822101</v>
      </c>
      <c r="N444" s="4">
        <v>4.5215576790213099</v>
      </c>
      <c r="O444" s="4">
        <v>1.4648324162080999</v>
      </c>
      <c r="V444" s="4">
        <v>0.19253000000000001</v>
      </c>
      <c r="W444" s="4">
        <v>1.6796114556322701</v>
      </c>
    </row>
    <row r="445" spans="1:23">
      <c r="A445" s="4" t="s">
        <v>1281</v>
      </c>
      <c r="B445" s="4" t="s">
        <v>1400</v>
      </c>
      <c r="C445" s="4">
        <v>1.4876073219999999</v>
      </c>
      <c r="D445" s="4">
        <v>1.0888945649999999</v>
      </c>
      <c r="F445" s="4" t="s">
        <v>2289</v>
      </c>
      <c r="G445" s="4">
        <v>1</v>
      </c>
      <c r="H445" s="4" t="s">
        <v>1279</v>
      </c>
      <c r="I445" s="4">
        <v>12</v>
      </c>
      <c r="J445" s="4" t="s">
        <v>1319</v>
      </c>
      <c r="K445" s="4" t="s">
        <v>2273</v>
      </c>
      <c r="L445" s="4">
        <v>2.0071246681652402</v>
      </c>
      <c r="M445" s="4">
        <v>13.6482793698524</v>
      </c>
      <c r="N445" s="4">
        <v>7.4481217052487496</v>
      </c>
      <c r="O445" s="4">
        <v>0.763781890945472</v>
      </c>
      <c r="V445" s="4">
        <v>0.54408100000000004</v>
      </c>
      <c r="W445" s="4">
        <v>1.78042337352154</v>
      </c>
    </row>
    <row r="446" spans="1:23">
      <c r="A446" s="4" t="s">
        <v>1281</v>
      </c>
      <c r="B446" s="4" t="s">
        <v>1400</v>
      </c>
      <c r="C446" s="4">
        <v>0.69382796000000002</v>
      </c>
      <c r="D446" s="4">
        <v>0.80664377600000003</v>
      </c>
      <c r="F446" s="4" t="s">
        <v>2289</v>
      </c>
      <c r="G446" s="4">
        <v>2</v>
      </c>
      <c r="H446" s="4" t="s">
        <v>1280</v>
      </c>
      <c r="I446" s="4">
        <v>12</v>
      </c>
      <c r="J446" s="4" t="s">
        <v>1319</v>
      </c>
      <c r="K446" s="4" t="s">
        <v>2273</v>
      </c>
      <c r="L446" s="4">
        <v>1.7818117078842</v>
      </c>
      <c r="M446" s="4">
        <v>16.701585652586299</v>
      </c>
      <c r="N446" s="4">
        <v>3.6228804466372599</v>
      </c>
      <c r="O446" s="4">
        <v>2.42571285642821</v>
      </c>
      <c r="V446" s="4">
        <v>0.52210900000000005</v>
      </c>
      <c r="W446" s="4">
        <v>1.78042337352154</v>
      </c>
    </row>
    <row r="447" spans="1:23">
      <c r="A447" s="4" t="s">
        <v>1281</v>
      </c>
      <c r="B447" s="4" t="s">
        <v>1400</v>
      </c>
      <c r="C447" s="4">
        <v>0.58043090900000005</v>
      </c>
      <c r="D447" s="4">
        <v>0.77876782499999997</v>
      </c>
      <c r="F447" s="4" t="s">
        <v>2289</v>
      </c>
      <c r="G447" s="4">
        <v>1</v>
      </c>
      <c r="H447" s="4" t="s">
        <v>1279</v>
      </c>
      <c r="I447" s="4">
        <v>13</v>
      </c>
      <c r="J447" s="4" t="s">
        <v>1319</v>
      </c>
      <c r="K447" s="4" t="s">
        <v>2274</v>
      </c>
      <c r="L447" s="4">
        <v>1.9841745097132399</v>
      </c>
      <c r="M447" s="4">
        <v>14.1771372698379</v>
      </c>
      <c r="N447" s="4">
        <v>6.8012065638524701</v>
      </c>
      <c r="O447" s="4">
        <v>0.79809904952476196</v>
      </c>
    </row>
    <row r="448" spans="1:23">
      <c r="A448" s="4" t="s">
        <v>1281</v>
      </c>
      <c r="B448" s="4" t="s">
        <v>1400</v>
      </c>
      <c r="C448" s="4">
        <v>0.43139478399999998</v>
      </c>
      <c r="D448" s="4">
        <v>0.75557577300000001</v>
      </c>
      <c r="F448" s="4" t="s">
        <v>2289</v>
      </c>
      <c r="G448" s="4">
        <v>2</v>
      </c>
      <c r="H448" s="4" t="s">
        <v>1280</v>
      </c>
      <c r="I448" s="4">
        <v>13</v>
      </c>
      <c r="J448" s="4" t="s">
        <v>1319</v>
      </c>
      <c r="K448" s="4" t="s">
        <v>2274</v>
      </c>
      <c r="L448" s="4">
        <v>1.77528561572259</v>
      </c>
      <c r="M448" s="4">
        <v>16.7412434176054</v>
      </c>
      <c r="N448" s="4">
        <v>3.56039272230776</v>
      </c>
      <c r="O448" s="4">
        <v>2.38159079539769</v>
      </c>
    </row>
    <row r="449" spans="1:15">
      <c r="A449" s="4" t="s">
        <v>1281</v>
      </c>
      <c r="B449" s="4" t="s">
        <v>1400</v>
      </c>
      <c r="C449" s="4">
        <v>1.8828770450000001</v>
      </c>
      <c r="D449" s="4">
        <v>2.0726156570000001</v>
      </c>
      <c r="F449" s="4" t="s">
        <v>2289</v>
      </c>
      <c r="G449" s="4">
        <v>1</v>
      </c>
      <c r="H449" s="4" t="s">
        <v>1279</v>
      </c>
      <c r="I449" s="4">
        <v>14</v>
      </c>
      <c r="J449" s="4" t="s">
        <v>1281</v>
      </c>
      <c r="K449" s="4" t="s">
        <v>2275</v>
      </c>
      <c r="L449" s="4">
        <v>1.9887068698949999</v>
      </c>
      <c r="M449" s="4">
        <v>12.307602104618301</v>
      </c>
      <c r="N449" s="4">
        <v>7.9165037623180403</v>
      </c>
      <c r="O449" s="4">
        <v>0.93046523261630798</v>
      </c>
    </row>
    <row r="450" spans="1:15">
      <c r="A450" s="4" t="s">
        <v>1281</v>
      </c>
      <c r="B450" s="4" t="s">
        <v>1400</v>
      </c>
      <c r="C450" s="4">
        <v>1.960635023</v>
      </c>
      <c r="D450" s="4">
        <v>2.0697121630000002</v>
      </c>
      <c r="F450" s="4" t="s">
        <v>2289</v>
      </c>
      <c r="G450" s="4">
        <v>2</v>
      </c>
      <c r="H450" s="4" t="s">
        <v>1280</v>
      </c>
      <c r="I450" s="4">
        <v>14</v>
      </c>
      <c r="J450" s="4" t="s">
        <v>1281</v>
      </c>
      <c r="K450" s="4" t="s">
        <v>2275</v>
      </c>
      <c r="L450" s="4">
        <v>1.7264820605812301</v>
      </c>
      <c r="M450" s="4">
        <v>16.185533123102601</v>
      </c>
      <c r="N450" s="4">
        <v>3.2912058910256801</v>
      </c>
      <c r="O450" s="4">
        <v>3.1267633816908398</v>
      </c>
    </row>
    <row r="451" spans="1:15">
      <c r="A451" s="4" t="s">
        <v>1281</v>
      </c>
      <c r="B451" s="4" t="s">
        <v>1400</v>
      </c>
      <c r="C451" s="4">
        <v>1.636643447</v>
      </c>
      <c r="D451" s="4">
        <v>1.8312085979999999</v>
      </c>
      <c r="F451" s="4" t="s">
        <v>2289</v>
      </c>
      <c r="G451" s="4">
        <v>1</v>
      </c>
      <c r="H451" s="4" t="s">
        <v>1279</v>
      </c>
      <c r="I451" s="4">
        <v>15</v>
      </c>
      <c r="J451" s="4" t="s">
        <v>2276</v>
      </c>
      <c r="K451" s="4" t="s">
        <v>2277</v>
      </c>
      <c r="L451" s="4">
        <v>1.7792655104827699</v>
      </c>
      <c r="M451" s="4">
        <v>9.7753434168470701</v>
      </c>
      <c r="N451" s="4">
        <v>6.1536598569193499</v>
      </c>
      <c r="O451" s="4">
        <v>2.3178589294647298</v>
      </c>
    </row>
    <row r="452" spans="1:15">
      <c r="A452" s="4" t="s">
        <v>1281</v>
      </c>
      <c r="B452" s="4" t="s">
        <v>1400</v>
      </c>
      <c r="C452" s="4">
        <v>1.4584480799999999</v>
      </c>
      <c r="D452" s="4">
        <v>0.92367432699999996</v>
      </c>
      <c r="F452" s="4" t="s">
        <v>2289</v>
      </c>
      <c r="G452" s="4">
        <v>2</v>
      </c>
      <c r="H452" s="4" t="s">
        <v>1280</v>
      </c>
      <c r="I452" s="4">
        <v>15</v>
      </c>
      <c r="J452" s="4" t="s">
        <v>2276</v>
      </c>
      <c r="K452" s="4" t="s">
        <v>2277</v>
      </c>
      <c r="L452" s="4">
        <v>1.48341322546849</v>
      </c>
      <c r="M452" s="4">
        <v>13.5355341101839</v>
      </c>
      <c r="N452" s="4">
        <v>2.2487326616055401</v>
      </c>
      <c r="O452" s="4">
        <v>7.2889444722361096</v>
      </c>
    </row>
    <row r="453" spans="1:15">
      <c r="A453" s="4" t="s">
        <v>1281</v>
      </c>
      <c r="B453" s="4" t="s">
        <v>1400</v>
      </c>
      <c r="C453" s="4">
        <v>1.050218694</v>
      </c>
      <c r="D453" s="4">
        <v>0.75181856700000005</v>
      </c>
      <c r="F453" s="4" t="s">
        <v>2290</v>
      </c>
      <c r="G453" s="4">
        <v>1</v>
      </c>
      <c r="H453" s="4" t="s">
        <v>1279</v>
      </c>
      <c r="I453" s="4">
        <v>1</v>
      </c>
      <c r="J453" s="4" t="s">
        <v>196</v>
      </c>
      <c r="K453" s="4" t="s">
        <v>2255</v>
      </c>
      <c r="L453" s="4">
        <v>0.93114619125434195</v>
      </c>
      <c r="M453" s="4">
        <v>4.8950359403901098</v>
      </c>
      <c r="N453" s="4">
        <v>1.74337296280228</v>
      </c>
      <c r="O453" s="4">
        <v>2.87673836918459</v>
      </c>
    </row>
    <row r="454" spans="1:15">
      <c r="A454" s="4" t="s">
        <v>1281</v>
      </c>
      <c r="B454" s="4" t="s">
        <v>1400</v>
      </c>
      <c r="C454" s="4">
        <v>0.49619309900000003</v>
      </c>
      <c r="D454" s="4">
        <v>0.65403634200000005</v>
      </c>
      <c r="F454" s="4" t="s">
        <v>2290</v>
      </c>
      <c r="G454" s="4">
        <v>2</v>
      </c>
      <c r="H454" s="4" t="s">
        <v>1280</v>
      </c>
      <c r="I454" s="4">
        <v>1</v>
      </c>
      <c r="J454" s="4" t="s">
        <v>196</v>
      </c>
      <c r="K454" s="4" t="s">
        <v>2255</v>
      </c>
      <c r="L454" s="4">
        <v>0.827800369688935</v>
      </c>
      <c r="M454" s="4">
        <v>5.25875143500725</v>
      </c>
      <c r="N454" s="4">
        <v>1.2791389578797701</v>
      </c>
      <c r="O454" s="4">
        <v>4.6759379689844902</v>
      </c>
    </row>
    <row r="455" spans="1:15">
      <c r="A455" s="4" t="s">
        <v>1281</v>
      </c>
      <c r="B455" s="4" t="s">
        <v>1400</v>
      </c>
      <c r="C455" s="4">
        <v>0.42491495200000001</v>
      </c>
      <c r="D455" s="4">
        <v>0.64477239099999994</v>
      </c>
      <c r="F455" s="4" t="s">
        <v>2290</v>
      </c>
      <c r="G455" s="4">
        <v>1</v>
      </c>
      <c r="H455" s="4" t="s">
        <v>1279</v>
      </c>
      <c r="I455" s="4">
        <v>2</v>
      </c>
      <c r="J455" s="4" t="s">
        <v>196</v>
      </c>
      <c r="K455" s="4" t="s">
        <v>2256</v>
      </c>
      <c r="L455" s="4">
        <v>1.05129109606374</v>
      </c>
      <c r="M455" s="4">
        <v>5.8944943440146096</v>
      </c>
      <c r="N455" s="4">
        <v>1.9091697333689399</v>
      </c>
      <c r="O455" s="4">
        <v>1.76388194097048</v>
      </c>
    </row>
    <row r="456" spans="1:15">
      <c r="A456" s="4" t="s">
        <v>1281</v>
      </c>
      <c r="B456" s="4" t="s">
        <v>1400</v>
      </c>
      <c r="C456" s="4">
        <v>0.34067714199999999</v>
      </c>
      <c r="D456" s="4">
        <v>0.63697636899999999</v>
      </c>
      <c r="F456" s="4" t="s">
        <v>2290</v>
      </c>
      <c r="G456" s="4">
        <v>2</v>
      </c>
      <c r="H456" s="4" t="s">
        <v>1280</v>
      </c>
      <c r="I456" s="4">
        <v>2</v>
      </c>
      <c r="J456" s="4" t="s">
        <v>196</v>
      </c>
      <c r="K456" s="4" t="s">
        <v>2256</v>
      </c>
      <c r="L456" s="4">
        <v>0.94338222707201203</v>
      </c>
      <c r="M456" s="4">
        <v>6.3882622308818799</v>
      </c>
      <c r="N456" s="4">
        <v>1.3740403676084201</v>
      </c>
      <c r="O456" s="4">
        <v>2.9551775887943901</v>
      </c>
    </row>
    <row r="457" spans="1:15">
      <c r="A457" s="4" t="s">
        <v>1281</v>
      </c>
      <c r="B457" s="4" t="s">
        <v>1400</v>
      </c>
      <c r="C457" s="4">
        <v>1.9476753600000001</v>
      </c>
      <c r="D457" s="4">
        <v>2.0726156570000001</v>
      </c>
      <c r="F457" s="4" t="s">
        <v>2290</v>
      </c>
      <c r="G457" s="4">
        <v>1</v>
      </c>
      <c r="H457" s="4" t="s">
        <v>1279</v>
      </c>
      <c r="I457" s="4">
        <v>3</v>
      </c>
      <c r="J457" s="4" t="s">
        <v>2257</v>
      </c>
      <c r="K457" s="4" t="s">
        <v>724</v>
      </c>
      <c r="L457" s="4">
        <v>1.3384462951812199</v>
      </c>
      <c r="M457" s="4">
        <v>9.1569476750866201</v>
      </c>
      <c r="N457" s="4">
        <v>2.38065006548414</v>
      </c>
      <c r="O457" s="4">
        <v>0.31765882941470702</v>
      </c>
    </row>
    <row r="458" spans="1:15">
      <c r="A458" s="4" t="s">
        <v>1281</v>
      </c>
      <c r="B458" s="4" t="s">
        <v>1400</v>
      </c>
      <c r="C458" s="4">
        <v>1.8828770450000001</v>
      </c>
      <c r="D458" s="4">
        <v>2.0697121630000002</v>
      </c>
      <c r="F458" s="4" t="s">
        <v>2290</v>
      </c>
      <c r="G458" s="4">
        <v>2</v>
      </c>
      <c r="H458" s="4" t="s">
        <v>1280</v>
      </c>
      <c r="I458" s="4">
        <v>3</v>
      </c>
      <c r="J458" s="4" t="s">
        <v>2257</v>
      </c>
      <c r="K458" s="4" t="s">
        <v>724</v>
      </c>
      <c r="L458" s="4">
        <v>1.2672002666278801</v>
      </c>
      <c r="M458" s="4">
        <v>9.8063692050267903</v>
      </c>
      <c r="N458" s="4">
        <v>1.88665298230312</v>
      </c>
      <c r="O458" s="4">
        <v>0.58239119559779895</v>
      </c>
    </row>
    <row r="459" spans="1:15">
      <c r="A459" s="4" t="s">
        <v>1281</v>
      </c>
      <c r="B459" s="4" t="s">
        <v>1400</v>
      </c>
      <c r="C459" s="4">
        <v>1.954155192</v>
      </c>
      <c r="D459" s="4">
        <v>1.8312085979999999</v>
      </c>
      <c r="F459" s="4" t="s">
        <v>2290</v>
      </c>
      <c r="G459" s="4">
        <v>1</v>
      </c>
      <c r="H459" s="4" t="s">
        <v>1279</v>
      </c>
      <c r="I459" s="4">
        <v>4</v>
      </c>
      <c r="J459" s="4" t="s">
        <v>2258</v>
      </c>
      <c r="K459" s="4" t="s">
        <v>2259</v>
      </c>
      <c r="L459" s="4">
        <v>0.56458938490894095</v>
      </c>
      <c r="M459" s="4">
        <v>2.5867383863622901</v>
      </c>
      <c r="N459" s="4">
        <v>1.41852461722877</v>
      </c>
      <c r="O459" s="4">
        <v>10</v>
      </c>
    </row>
    <row r="460" spans="1:15">
      <c r="A460" s="4" t="s">
        <v>1281</v>
      </c>
      <c r="B460" s="4" t="s">
        <v>1400</v>
      </c>
      <c r="C460" s="4">
        <v>1.403369512</v>
      </c>
      <c r="D460" s="4">
        <v>0.92367432699999996</v>
      </c>
      <c r="F460" s="4" t="s">
        <v>2290</v>
      </c>
      <c r="G460" s="4">
        <v>2</v>
      </c>
      <c r="H460" s="4" t="s">
        <v>1280</v>
      </c>
      <c r="I460" s="4">
        <v>4</v>
      </c>
      <c r="J460" s="4" t="s">
        <v>2258</v>
      </c>
      <c r="K460" s="4" t="s">
        <v>2259</v>
      </c>
      <c r="L460" s="4">
        <v>0.452215362622784</v>
      </c>
      <c r="M460" s="4">
        <v>2.5867383863622901</v>
      </c>
      <c r="N460" s="4">
        <v>1.0951228852769399</v>
      </c>
      <c r="O460" s="4">
        <v>10</v>
      </c>
    </row>
    <row r="461" spans="1:15">
      <c r="A461" s="4" t="s">
        <v>1281</v>
      </c>
      <c r="B461" s="4" t="s">
        <v>1400</v>
      </c>
      <c r="C461" s="4">
        <v>0.99838004199999997</v>
      </c>
      <c r="D461" s="4">
        <v>0.75181856700000005</v>
      </c>
      <c r="F461" s="4" t="s">
        <v>2290</v>
      </c>
      <c r="G461" s="4">
        <v>1</v>
      </c>
      <c r="H461" s="4" t="s">
        <v>1279</v>
      </c>
      <c r="I461" s="4">
        <v>5</v>
      </c>
      <c r="J461" s="4" t="s">
        <v>2260</v>
      </c>
      <c r="K461" s="4" t="s">
        <v>2261</v>
      </c>
      <c r="L461" s="4">
        <v>0.80025507173023103</v>
      </c>
      <c r="M461" s="4">
        <v>3.9691694201953398</v>
      </c>
      <c r="N461" s="4">
        <v>1.5905796984489</v>
      </c>
      <c r="O461" s="4">
        <v>4.73966983491745</v>
      </c>
    </row>
    <row r="462" spans="1:15">
      <c r="A462" s="4" t="s">
        <v>1281</v>
      </c>
      <c r="B462" s="4" t="s">
        <v>1400</v>
      </c>
      <c r="C462" s="4">
        <v>0.45731411</v>
      </c>
      <c r="D462" s="4">
        <v>0.65403634200000005</v>
      </c>
      <c r="F462" s="4" t="s">
        <v>2290</v>
      </c>
      <c r="G462" s="4">
        <v>2</v>
      </c>
      <c r="H462" s="4" t="s">
        <v>1280</v>
      </c>
      <c r="I462" s="4">
        <v>5</v>
      </c>
      <c r="J462" s="4" t="s">
        <v>2260</v>
      </c>
      <c r="K462" s="4" t="s">
        <v>2261</v>
      </c>
      <c r="L462" s="4">
        <v>0.706500429039151</v>
      </c>
      <c r="M462" s="4">
        <v>4.21673947648633</v>
      </c>
      <c r="N462" s="4">
        <v>1.2064898129714099</v>
      </c>
      <c r="O462" s="4">
        <v>7.4654327163581797</v>
      </c>
    </row>
    <row r="463" spans="1:15">
      <c r="A463" s="4" t="s">
        <v>1281</v>
      </c>
      <c r="B463" s="4" t="s">
        <v>1400</v>
      </c>
      <c r="C463" s="4">
        <v>0.421675036</v>
      </c>
      <c r="D463" s="4">
        <v>0.64477239099999994</v>
      </c>
      <c r="F463" s="4" t="s">
        <v>2290</v>
      </c>
      <c r="G463" s="4">
        <v>1</v>
      </c>
      <c r="H463" s="4" t="s">
        <v>1279</v>
      </c>
      <c r="I463" s="4">
        <v>6</v>
      </c>
      <c r="J463" s="4" t="s">
        <v>2262</v>
      </c>
      <c r="K463" s="4" t="s">
        <v>2263</v>
      </c>
      <c r="L463" s="4">
        <v>1.1890776283770501</v>
      </c>
      <c r="M463" s="4">
        <v>7.2868533171722598</v>
      </c>
      <c r="N463" s="4">
        <v>2.1209850190704498</v>
      </c>
      <c r="O463" s="4">
        <v>0.92066033016508197</v>
      </c>
    </row>
    <row r="464" spans="1:15">
      <c r="A464" s="4" t="s">
        <v>1281</v>
      </c>
      <c r="B464" s="4" t="s">
        <v>1400</v>
      </c>
      <c r="C464" s="4">
        <v>0.343917058</v>
      </c>
      <c r="D464" s="4">
        <v>0.63697636899999999</v>
      </c>
      <c r="F464" s="4" t="s">
        <v>2290</v>
      </c>
      <c r="G464" s="4">
        <v>2</v>
      </c>
      <c r="H464" s="4" t="s">
        <v>1280</v>
      </c>
      <c r="I464" s="4">
        <v>6</v>
      </c>
      <c r="J464" s="4" t="s">
        <v>2262</v>
      </c>
      <c r="K464" s="4" t="s">
        <v>2263</v>
      </c>
      <c r="L464" s="4">
        <v>1.0862882527715201</v>
      </c>
      <c r="M464" s="4">
        <v>7.90676190987024</v>
      </c>
      <c r="N464" s="4">
        <v>1.5427288150746701</v>
      </c>
      <c r="O464" s="4">
        <v>1.59719859929964</v>
      </c>
    </row>
    <row r="465" spans="1:15">
      <c r="A465" s="4" t="s">
        <v>1281</v>
      </c>
      <c r="B465" s="4" t="s">
        <v>1400</v>
      </c>
      <c r="C465" s="4">
        <v>1.8472379720000001</v>
      </c>
      <c r="D465" s="4">
        <v>2.015647312</v>
      </c>
      <c r="F465" s="4" t="s">
        <v>2290</v>
      </c>
      <c r="G465" s="4">
        <v>1</v>
      </c>
      <c r="H465" s="4" t="s">
        <v>1279</v>
      </c>
      <c r="I465" s="4">
        <v>7</v>
      </c>
      <c r="J465" s="4" t="s">
        <v>2264</v>
      </c>
      <c r="K465" s="4" t="s">
        <v>2265</v>
      </c>
      <c r="L465" s="4">
        <v>1.03210689771849</v>
      </c>
      <c r="M465" s="4">
        <v>5.7222907565077303</v>
      </c>
      <c r="N465" s="4">
        <v>1.8816419059821301</v>
      </c>
      <c r="O465" s="4">
        <v>1.9158579289644799</v>
      </c>
    </row>
    <row r="466" spans="1:15">
      <c r="A466" s="4" t="s">
        <v>1281</v>
      </c>
      <c r="B466" s="4" t="s">
        <v>1400</v>
      </c>
      <c r="C466" s="4">
        <v>1.827798477</v>
      </c>
      <c r="D466" s="4">
        <v>2.0083881130000001</v>
      </c>
      <c r="F466" s="4" t="s">
        <v>2290</v>
      </c>
      <c r="G466" s="4">
        <v>2</v>
      </c>
      <c r="H466" s="4" t="s">
        <v>1280</v>
      </c>
      <c r="I466" s="4">
        <v>7</v>
      </c>
      <c r="J466" s="4" t="s">
        <v>2264</v>
      </c>
      <c r="K466" s="4" t="s">
        <v>2265</v>
      </c>
      <c r="L466" s="4">
        <v>0.92434978389470002</v>
      </c>
      <c r="M466" s="4">
        <v>6.1937934457250696</v>
      </c>
      <c r="N466" s="4">
        <v>1.3564165052113899</v>
      </c>
      <c r="O466" s="4">
        <v>3.1953976988494199</v>
      </c>
    </row>
    <row r="467" spans="1:15">
      <c r="A467" s="4" t="s">
        <v>1281</v>
      </c>
      <c r="B467" s="4" t="s">
        <v>1400</v>
      </c>
      <c r="C467" s="4">
        <v>1.856957719</v>
      </c>
      <c r="D467" s="4">
        <v>1.5371624850000001</v>
      </c>
      <c r="F467" s="4" t="s">
        <v>2290</v>
      </c>
      <c r="G467" s="4">
        <v>1</v>
      </c>
      <c r="H467" s="4" t="s">
        <v>1279</v>
      </c>
      <c r="I467" s="4">
        <v>8</v>
      </c>
      <c r="J467" s="4" t="s">
        <v>2266</v>
      </c>
      <c r="K467" s="4" t="s">
        <v>2267</v>
      </c>
      <c r="L467" s="4">
        <v>0.98406805100614003</v>
      </c>
      <c r="M467" s="4">
        <v>5.31083893776343</v>
      </c>
      <c r="N467" s="4">
        <v>1.81511823694654</v>
      </c>
      <c r="O467" s="4">
        <v>2.3325662831415701</v>
      </c>
    </row>
    <row r="468" spans="1:15">
      <c r="A468" s="4" t="s">
        <v>1281</v>
      </c>
      <c r="B468" s="4" t="s">
        <v>1400</v>
      </c>
      <c r="C468" s="4">
        <v>1.173335493</v>
      </c>
      <c r="D468" s="4">
        <v>0.73544162999999996</v>
      </c>
      <c r="F468" s="4" t="s">
        <v>2290</v>
      </c>
      <c r="G468" s="4">
        <v>2</v>
      </c>
      <c r="H468" s="4" t="s">
        <v>1280</v>
      </c>
      <c r="I468" s="4">
        <v>8</v>
      </c>
      <c r="J468" s="4" t="s">
        <v>2266</v>
      </c>
      <c r="K468" s="4" t="s">
        <v>2267</v>
      </c>
      <c r="L468" s="4">
        <v>0.87780253820376997</v>
      </c>
      <c r="M468" s="4">
        <v>5.7322605871825596</v>
      </c>
      <c r="N468" s="4">
        <v>1.31666900777786</v>
      </c>
      <c r="O468" s="4">
        <v>3.84742371185592</v>
      </c>
    </row>
    <row r="469" spans="1:15">
      <c r="A469" s="4" t="s">
        <v>1281</v>
      </c>
      <c r="B469" s="4" t="s">
        <v>1400</v>
      </c>
      <c r="C469" s="4">
        <v>0.83314433799999998</v>
      </c>
      <c r="D469" s="4">
        <v>0.65155154999999998</v>
      </c>
      <c r="F469" s="4" t="s">
        <v>2290</v>
      </c>
      <c r="G469" s="4">
        <v>1</v>
      </c>
      <c r="H469" s="4" t="s">
        <v>1279</v>
      </c>
      <c r="I469" s="4">
        <v>9</v>
      </c>
      <c r="J469" s="4" t="s">
        <v>2268</v>
      </c>
      <c r="K469" s="4" t="s">
        <v>2269</v>
      </c>
      <c r="L469" s="4">
        <v>0.90057406491689496</v>
      </c>
      <c r="M469" s="4">
        <v>4.6584210978404403</v>
      </c>
      <c r="N469" s="4">
        <v>1.70740017227926</v>
      </c>
      <c r="O469" s="4">
        <v>3.2395197598799399</v>
      </c>
    </row>
    <row r="470" spans="1:15">
      <c r="A470" s="4" t="s">
        <v>1281</v>
      </c>
      <c r="B470" s="4" t="s">
        <v>1400</v>
      </c>
      <c r="C470" s="4">
        <v>0.38279604699999997</v>
      </c>
      <c r="D470" s="4">
        <v>0.60530015100000001</v>
      </c>
      <c r="F470" s="4" t="s">
        <v>2290</v>
      </c>
      <c r="G470" s="4">
        <v>2</v>
      </c>
      <c r="H470" s="4" t="s">
        <v>1280</v>
      </c>
      <c r="I470" s="4">
        <v>9</v>
      </c>
      <c r="J470" s="4" t="s">
        <v>2268</v>
      </c>
      <c r="K470" s="4" t="s">
        <v>2269</v>
      </c>
      <c r="L470" s="4">
        <v>0.79885755388657897</v>
      </c>
      <c r="M470" s="4">
        <v>4.9954391828631701</v>
      </c>
      <c r="N470" s="4">
        <v>1.2597485811366</v>
      </c>
      <c r="O470" s="4">
        <v>5.2397198599299601</v>
      </c>
    </row>
    <row r="471" spans="1:15">
      <c r="A471" s="4" t="s">
        <v>1281</v>
      </c>
      <c r="B471" s="4" t="s">
        <v>1400</v>
      </c>
      <c r="C471" s="4">
        <v>0.35687672100000001</v>
      </c>
      <c r="D471" s="4">
        <v>0.60078514100000002</v>
      </c>
      <c r="F471" s="4" t="s">
        <v>2290</v>
      </c>
      <c r="G471" s="4">
        <v>1</v>
      </c>
      <c r="H471" s="4" t="s">
        <v>1279</v>
      </c>
      <c r="I471" s="4">
        <v>10</v>
      </c>
      <c r="J471" s="4" t="s">
        <v>2270</v>
      </c>
      <c r="K471" s="4" t="s">
        <v>2271</v>
      </c>
      <c r="L471" s="4">
        <v>1.18329218079926</v>
      </c>
      <c r="M471" s="4">
        <v>7.2236404218640304</v>
      </c>
      <c r="N471" s="4">
        <v>2.1112324928244801</v>
      </c>
      <c r="O471" s="4">
        <v>0.95007503751875899</v>
      </c>
    </row>
    <row r="472" spans="1:15">
      <c r="A472" s="4" t="s">
        <v>1281</v>
      </c>
      <c r="B472" s="4" t="s">
        <v>1400</v>
      </c>
      <c r="C472" s="4">
        <v>0.29531832200000002</v>
      </c>
      <c r="D472" s="4">
        <v>0.59694395300000003</v>
      </c>
      <c r="F472" s="4" t="s">
        <v>2290</v>
      </c>
      <c r="G472" s="4">
        <v>2</v>
      </c>
      <c r="H472" s="4" t="s">
        <v>1280</v>
      </c>
      <c r="I472" s="4">
        <v>10</v>
      </c>
      <c r="J472" s="4" t="s">
        <v>2270</v>
      </c>
      <c r="K472" s="4" t="s">
        <v>2271</v>
      </c>
      <c r="L472" s="4">
        <v>1.0799327106550001</v>
      </c>
      <c r="M472" s="4">
        <v>7.8417083293757504</v>
      </c>
      <c r="N472" s="4">
        <v>1.5329289491206901</v>
      </c>
      <c r="O472" s="4">
        <v>1.64132066033016</v>
      </c>
    </row>
    <row r="473" spans="1:15">
      <c r="A473" s="4" t="s">
        <v>1281</v>
      </c>
      <c r="B473" s="4" t="s">
        <v>1400</v>
      </c>
      <c r="C473" s="4">
        <v>1.7727199090000001</v>
      </c>
      <c r="D473" s="4">
        <v>2.015647312</v>
      </c>
      <c r="F473" s="4" t="s">
        <v>2290</v>
      </c>
      <c r="G473" s="4">
        <v>1</v>
      </c>
      <c r="H473" s="4" t="s">
        <v>1279</v>
      </c>
      <c r="I473" s="4">
        <v>11</v>
      </c>
      <c r="J473" s="4" t="s">
        <v>1319</v>
      </c>
      <c r="K473" s="4" t="s">
        <v>2272</v>
      </c>
      <c r="L473" s="4">
        <v>1.3168959584536499</v>
      </c>
      <c r="M473" s="4">
        <v>8.9612335718915599</v>
      </c>
      <c r="N473" s="4">
        <v>2.3148782862328501</v>
      </c>
      <c r="O473" s="4">
        <v>0.376488244122061</v>
      </c>
    </row>
    <row r="474" spans="1:15">
      <c r="A474" s="4" t="s">
        <v>1281</v>
      </c>
      <c r="B474" s="4" t="s">
        <v>1400</v>
      </c>
      <c r="C474" s="4">
        <v>1.8180787300000001</v>
      </c>
      <c r="D474" s="4">
        <v>2.0083881130000001</v>
      </c>
      <c r="F474" s="4" t="s">
        <v>2290</v>
      </c>
      <c r="G474" s="4">
        <v>2</v>
      </c>
      <c r="H474" s="4" t="s">
        <v>1280</v>
      </c>
      <c r="I474" s="4">
        <v>11</v>
      </c>
      <c r="J474" s="4" t="s">
        <v>1319</v>
      </c>
      <c r="K474" s="4" t="s">
        <v>2272</v>
      </c>
      <c r="L474" s="4">
        <v>1.2420472419880699</v>
      </c>
      <c r="M474" s="4">
        <v>9.5683790728589493</v>
      </c>
      <c r="N474" s="4">
        <v>1.8247730971093701</v>
      </c>
      <c r="O474" s="4">
        <v>0.67553776888444195</v>
      </c>
    </row>
    <row r="475" spans="1:15">
      <c r="A475" s="4" t="s">
        <v>1281</v>
      </c>
      <c r="B475" s="4" t="s">
        <v>1400</v>
      </c>
      <c r="C475" s="4">
        <v>1.798639235</v>
      </c>
      <c r="D475" s="4">
        <v>1.5371624850000001</v>
      </c>
      <c r="F475" s="4" t="s">
        <v>2290</v>
      </c>
      <c r="G475" s="4">
        <v>1</v>
      </c>
      <c r="H475" s="4" t="s">
        <v>1279</v>
      </c>
      <c r="I475" s="4">
        <v>12</v>
      </c>
      <c r="J475" s="4" t="s">
        <v>1319</v>
      </c>
      <c r="K475" s="4" t="s">
        <v>2273</v>
      </c>
      <c r="L475" s="4">
        <v>1.2432271555916301</v>
      </c>
      <c r="M475" s="4">
        <v>8.0111034105016898</v>
      </c>
      <c r="N475" s="4">
        <v>2.18541951964963</v>
      </c>
      <c r="O475" s="4">
        <v>0.65592796398199105</v>
      </c>
    </row>
    <row r="476" spans="1:15">
      <c r="A476" s="4" t="s">
        <v>1281</v>
      </c>
      <c r="B476" s="4" t="s">
        <v>1400</v>
      </c>
      <c r="C476" s="4">
        <v>1.1020573469999999</v>
      </c>
      <c r="D476" s="4">
        <v>0.73544162999999996</v>
      </c>
      <c r="F476" s="4" t="s">
        <v>2290</v>
      </c>
      <c r="G476" s="4">
        <v>2</v>
      </c>
      <c r="H476" s="4" t="s">
        <v>1280</v>
      </c>
      <c r="I476" s="4">
        <v>12</v>
      </c>
      <c r="J476" s="4" t="s">
        <v>1319</v>
      </c>
      <c r="K476" s="4" t="s">
        <v>2273</v>
      </c>
      <c r="L476" s="4">
        <v>1.1512622870222899</v>
      </c>
      <c r="M476" s="4">
        <v>8.6213368285212297</v>
      </c>
      <c r="N476" s="4">
        <v>1.64318958685298</v>
      </c>
      <c r="O476" s="4">
        <v>1.1412706353176501</v>
      </c>
    </row>
    <row r="477" spans="1:15">
      <c r="A477" s="4" t="s">
        <v>1281</v>
      </c>
      <c r="B477" s="4" t="s">
        <v>1400</v>
      </c>
      <c r="C477" s="4">
        <v>0.83638425400000005</v>
      </c>
      <c r="D477" s="4">
        <v>0.65155154999999998</v>
      </c>
      <c r="F477" s="4" t="s">
        <v>2290</v>
      </c>
      <c r="G477" s="4">
        <v>1</v>
      </c>
      <c r="H477" s="4" t="s">
        <v>1279</v>
      </c>
      <c r="I477" s="4">
        <v>13</v>
      </c>
      <c r="J477" s="4" t="s">
        <v>1319</v>
      </c>
      <c r="K477" s="4" t="s">
        <v>2274</v>
      </c>
      <c r="L477" s="4">
        <v>1.23819869723124</v>
      </c>
      <c r="M477" s="4">
        <v>8.0605851511004492</v>
      </c>
      <c r="N477" s="4">
        <v>2.1470004084393399</v>
      </c>
      <c r="O477" s="4">
        <v>0.66083041520760299</v>
      </c>
    </row>
    <row r="478" spans="1:15">
      <c r="A478" s="4" t="s">
        <v>1281</v>
      </c>
      <c r="B478" s="4" t="s">
        <v>1400</v>
      </c>
      <c r="C478" s="4">
        <v>0.36983638400000002</v>
      </c>
      <c r="D478" s="4">
        <v>0.60530015100000001</v>
      </c>
      <c r="F478" s="4" t="s">
        <v>2290</v>
      </c>
      <c r="G478" s="4">
        <v>2</v>
      </c>
      <c r="H478" s="4" t="s">
        <v>1280</v>
      </c>
      <c r="I478" s="4">
        <v>13</v>
      </c>
      <c r="J478" s="4" t="s">
        <v>1319</v>
      </c>
      <c r="K478" s="4" t="s">
        <v>2274</v>
      </c>
      <c r="L478" s="4">
        <v>1.14934567356094</v>
      </c>
      <c r="M478" s="4">
        <v>8.6065717366427599</v>
      </c>
      <c r="N478" s="4">
        <v>1.6387604743956801</v>
      </c>
      <c r="O478" s="4">
        <v>1.1314657328664299</v>
      </c>
    </row>
    <row r="479" spans="1:15">
      <c r="A479" s="4" t="s">
        <v>1281</v>
      </c>
      <c r="B479" s="4" t="s">
        <v>1400</v>
      </c>
      <c r="C479" s="4">
        <v>0.35687672100000001</v>
      </c>
      <c r="D479" s="4">
        <v>0.60078514100000002</v>
      </c>
      <c r="F479" s="4" t="s">
        <v>2290</v>
      </c>
      <c r="G479" s="4">
        <v>1</v>
      </c>
      <c r="H479" s="4" t="s">
        <v>1279</v>
      </c>
      <c r="I479" s="4">
        <v>14</v>
      </c>
      <c r="J479" s="4" t="s">
        <v>1281</v>
      </c>
      <c r="K479" s="4" t="s">
        <v>2275</v>
      </c>
      <c r="L479" s="4">
        <v>1.2035573605529799</v>
      </c>
      <c r="M479" s="4">
        <v>7.4564631233943803</v>
      </c>
      <c r="N479" s="4">
        <v>2.1430114240155902</v>
      </c>
      <c r="O479" s="4">
        <v>0.85202601300650305</v>
      </c>
    </row>
    <row r="480" spans="1:15">
      <c r="A480" s="4" t="s">
        <v>1281</v>
      </c>
      <c r="B480" s="4" t="s">
        <v>1400</v>
      </c>
      <c r="C480" s="4">
        <v>0.26615907999999999</v>
      </c>
      <c r="D480" s="4">
        <v>0.59694395300000003</v>
      </c>
      <c r="F480" s="4" t="s">
        <v>2290</v>
      </c>
      <c r="G480" s="4">
        <v>2</v>
      </c>
      <c r="H480" s="4" t="s">
        <v>1280</v>
      </c>
      <c r="I480" s="4">
        <v>14</v>
      </c>
      <c r="J480" s="4" t="s">
        <v>1281</v>
      </c>
      <c r="K480" s="4" t="s">
        <v>2275</v>
      </c>
      <c r="L480" s="4">
        <v>1.10227852519115</v>
      </c>
      <c r="M480" s="4">
        <v>8.0832700277105101</v>
      </c>
      <c r="N480" s="4">
        <v>1.5656383048634099</v>
      </c>
      <c r="O480" s="4">
        <v>1.47953976988494</v>
      </c>
    </row>
    <row r="481" spans="1:15">
      <c r="A481" s="4" t="s">
        <v>1281</v>
      </c>
      <c r="B481" s="4" t="s">
        <v>1400</v>
      </c>
      <c r="C481" s="4">
        <v>1.689219096</v>
      </c>
      <c r="D481" s="4">
        <v>2.108003933</v>
      </c>
      <c r="F481" s="4" t="s">
        <v>2290</v>
      </c>
      <c r="G481" s="4">
        <v>1</v>
      </c>
      <c r="H481" s="4" t="s">
        <v>1279</v>
      </c>
      <c r="I481" s="4">
        <v>15</v>
      </c>
      <c r="J481" s="4" t="s">
        <v>2276</v>
      </c>
      <c r="K481" s="4" t="s">
        <v>2277</v>
      </c>
      <c r="L481" s="4">
        <v>0.99673184233538403</v>
      </c>
      <c r="M481" s="4">
        <v>5.4098685647389901</v>
      </c>
      <c r="N481" s="4">
        <v>1.83461579613894</v>
      </c>
      <c r="O481" s="4">
        <v>2.2149074537268598</v>
      </c>
    </row>
    <row r="482" spans="1:15">
      <c r="A482" s="4" t="s">
        <v>1281</v>
      </c>
      <c r="B482" s="4" t="s">
        <v>1400</v>
      </c>
      <c r="C482" s="4">
        <v>1.7872273160000001</v>
      </c>
      <c r="D482" s="4">
        <v>2.1080019330000002</v>
      </c>
      <c r="F482" s="4" t="s">
        <v>2290</v>
      </c>
      <c r="G482" s="4">
        <v>2</v>
      </c>
      <c r="H482" s="4" t="s">
        <v>1280</v>
      </c>
      <c r="I482" s="4">
        <v>15</v>
      </c>
      <c r="J482" s="4" t="s">
        <v>2276</v>
      </c>
      <c r="K482" s="4" t="s">
        <v>2277</v>
      </c>
      <c r="L482" s="4">
        <v>0.88977926794354401</v>
      </c>
      <c r="M482" s="4">
        <v>5.8492138791315398</v>
      </c>
      <c r="N482" s="4">
        <v>1.3264221516548</v>
      </c>
      <c r="O482" s="4">
        <v>3.6709354677338601</v>
      </c>
    </row>
    <row r="483" spans="1:15">
      <c r="A483" s="4" t="s">
        <v>1281</v>
      </c>
      <c r="B483" s="4" t="s">
        <v>1400</v>
      </c>
      <c r="C483" s="4">
        <v>1.7809042049999999</v>
      </c>
      <c r="D483" s="4">
        <v>2.1079545309999999</v>
      </c>
      <c r="F483" s="4" t="s">
        <v>2291</v>
      </c>
      <c r="G483" s="4">
        <v>1</v>
      </c>
      <c r="H483" s="4" t="s">
        <v>1279</v>
      </c>
      <c r="I483" s="4">
        <v>1</v>
      </c>
      <c r="J483" s="4" t="s">
        <v>196</v>
      </c>
      <c r="K483" s="4" t="s">
        <v>2255</v>
      </c>
      <c r="L483" s="4">
        <v>0.26835101618624901</v>
      </c>
      <c r="M483" s="4">
        <v>0.65239420756171795</v>
      </c>
      <c r="N483" s="4">
        <v>2.8434193843093798</v>
      </c>
      <c r="O483" s="4">
        <v>10</v>
      </c>
    </row>
    <row r="484" spans="1:15">
      <c r="A484" s="4" t="s">
        <v>1281</v>
      </c>
      <c r="B484" s="4" t="s">
        <v>1400</v>
      </c>
      <c r="C484" s="4">
        <v>1.641795764</v>
      </c>
      <c r="D484" s="4">
        <v>2.1078121190000001</v>
      </c>
      <c r="F484" s="4" t="s">
        <v>2291</v>
      </c>
      <c r="G484" s="4">
        <v>2</v>
      </c>
      <c r="H484" s="4" t="s">
        <v>1280</v>
      </c>
      <c r="I484" s="4">
        <v>1</v>
      </c>
      <c r="J484" s="4" t="s">
        <v>196</v>
      </c>
      <c r="K484" s="4" t="s">
        <v>2255</v>
      </c>
      <c r="L484" s="4">
        <v>-0.17744161131800301</v>
      </c>
      <c r="M484" s="4">
        <v>0.65239420756171995</v>
      </c>
      <c r="N484" s="4">
        <v>1.01870465875383</v>
      </c>
      <c r="O484" s="4">
        <v>10</v>
      </c>
    </row>
    <row r="485" spans="1:15">
      <c r="A485" s="4" t="s">
        <v>1281</v>
      </c>
      <c r="B485" s="4" t="s">
        <v>1400</v>
      </c>
      <c r="C485" s="4">
        <v>1.600695542</v>
      </c>
      <c r="D485" s="4">
        <v>2.10448966</v>
      </c>
      <c r="F485" s="4" t="s">
        <v>2291</v>
      </c>
      <c r="G485" s="4">
        <v>1</v>
      </c>
      <c r="H485" s="4" t="s">
        <v>1279</v>
      </c>
      <c r="I485" s="4">
        <v>2</v>
      </c>
      <c r="J485" s="4" t="s">
        <v>196</v>
      </c>
      <c r="K485" s="4" t="s">
        <v>2256</v>
      </c>
      <c r="L485" s="4">
        <v>0.61642062682872101</v>
      </c>
      <c r="M485" s="4">
        <v>1.40875928772875</v>
      </c>
      <c r="N485" s="4">
        <v>2.93483597868391</v>
      </c>
      <c r="O485" s="4">
        <v>10</v>
      </c>
    </row>
    <row r="486" spans="1:15">
      <c r="A486" s="4" t="s">
        <v>1281</v>
      </c>
      <c r="B486" s="4" t="s">
        <v>1400</v>
      </c>
      <c r="C486" s="4">
        <v>1.7777426489999999</v>
      </c>
      <c r="D486" s="4">
        <v>2.098914084</v>
      </c>
      <c r="F486" s="4" t="s">
        <v>2291</v>
      </c>
      <c r="G486" s="4">
        <v>2</v>
      </c>
      <c r="H486" s="4" t="s">
        <v>1280</v>
      </c>
      <c r="I486" s="4">
        <v>2</v>
      </c>
      <c r="J486" s="4" t="s">
        <v>196</v>
      </c>
      <c r="K486" s="4" t="s">
        <v>2256</v>
      </c>
      <c r="L486" s="4">
        <v>0.166607319029041</v>
      </c>
      <c r="M486" s="4">
        <v>1.40875928772874</v>
      </c>
      <c r="N486" s="4">
        <v>1.04176683338152</v>
      </c>
      <c r="O486" s="4">
        <v>10</v>
      </c>
    </row>
    <row r="487" spans="1:15">
      <c r="A487" s="4" t="s">
        <v>1281</v>
      </c>
      <c r="B487" s="4" t="s">
        <v>1400</v>
      </c>
      <c r="C487" s="4">
        <v>1.948466646</v>
      </c>
      <c r="D487" s="4">
        <v>2.0765528670000002</v>
      </c>
      <c r="F487" s="4" t="s">
        <v>2291</v>
      </c>
      <c r="G487" s="4">
        <v>1</v>
      </c>
      <c r="H487" s="4" t="s">
        <v>1279</v>
      </c>
      <c r="I487" s="4">
        <v>3</v>
      </c>
      <c r="J487" s="4" t="s">
        <v>2257</v>
      </c>
      <c r="K487" s="4" t="s">
        <v>724</v>
      </c>
      <c r="L487" s="4">
        <v>1.27518490468683</v>
      </c>
      <c r="M487" s="4">
        <v>9.1725661495215096</v>
      </c>
      <c r="N487" s="4">
        <v>2.0544427913090102</v>
      </c>
      <c r="O487" s="4">
        <v>8.0047023511755793</v>
      </c>
    </row>
    <row r="488" spans="1:15">
      <c r="A488" s="4" t="s">
        <v>1281</v>
      </c>
      <c r="B488" s="4" t="s">
        <v>1400</v>
      </c>
      <c r="C488" s="4">
        <v>1.809358204</v>
      </c>
      <c r="D488" s="4">
        <v>2.1080039529999999</v>
      </c>
      <c r="F488" s="4" t="s">
        <v>2291</v>
      </c>
      <c r="G488" s="4">
        <v>2</v>
      </c>
      <c r="H488" s="4" t="s">
        <v>1280</v>
      </c>
      <c r="I488" s="4">
        <v>3</v>
      </c>
      <c r="J488" s="4" t="s">
        <v>2257</v>
      </c>
      <c r="K488" s="4" t="s">
        <v>724</v>
      </c>
      <c r="L488" s="4">
        <v>1.2224805919438799</v>
      </c>
      <c r="M488" s="4">
        <v>9.8362631344309701</v>
      </c>
      <c r="N488" s="4">
        <v>1.6968773538547499</v>
      </c>
      <c r="O488" s="4">
        <v>10</v>
      </c>
    </row>
    <row r="489" spans="1:15">
      <c r="A489" s="4" t="s">
        <v>1281</v>
      </c>
      <c r="B489" s="4" t="s">
        <v>1400</v>
      </c>
      <c r="C489" s="4">
        <v>1.793550427</v>
      </c>
      <c r="D489" s="4">
        <v>2.108003933</v>
      </c>
      <c r="F489" s="4" t="s">
        <v>2291</v>
      </c>
      <c r="G489" s="4">
        <v>1</v>
      </c>
      <c r="H489" s="4" t="s">
        <v>1279</v>
      </c>
      <c r="I489" s="4">
        <v>4</v>
      </c>
      <c r="J489" s="4" t="s">
        <v>2258</v>
      </c>
      <c r="K489" s="4" t="s">
        <v>2259</v>
      </c>
      <c r="L489" s="4">
        <v>-0.84106471522734505</v>
      </c>
      <c r="M489" s="4">
        <v>9.0786441223971004E-2</v>
      </c>
      <c r="N489" s="4">
        <v>1.5882332814728399</v>
      </c>
      <c r="O489" s="4">
        <v>10</v>
      </c>
    </row>
    <row r="490" spans="1:15">
      <c r="A490" s="4" t="s">
        <v>1281</v>
      </c>
      <c r="B490" s="4" t="s">
        <v>1400</v>
      </c>
      <c r="C490" s="4">
        <v>1.74928865</v>
      </c>
      <c r="D490" s="4">
        <v>2.1080019330000002</v>
      </c>
      <c r="F490" s="4" t="s">
        <v>2291</v>
      </c>
      <c r="G490" s="4">
        <v>2</v>
      </c>
      <c r="H490" s="4" t="s">
        <v>1280</v>
      </c>
      <c r="I490" s="4">
        <v>4</v>
      </c>
      <c r="J490" s="4" t="s">
        <v>2258</v>
      </c>
      <c r="K490" s="4" t="s">
        <v>2259</v>
      </c>
      <c r="L490" s="4">
        <v>-1.04087647208518</v>
      </c>
      <c r="M490" s="4">
        <v>9.0786441223968894E-2</v>
      </c>
      <c r="N490" s="4">
        <v>1.0025419071624899</v>
      </c>
      <c r="O490" s="4">
        <v>10</v>
      </c>
    </row>
    <row r="491" spans="1:15">
      <c r="A491" s="4" t="s">
        <v>1281</v>
      </c>
      <c r="B491" s="4" t="s">
        <v>1400</v>
      </c>
      <c r="C491" s="4">
        <v>1.7777426489999999</v>
      </c>
      <c r="D491" s="4">
        <v>2.1079545309999999</v>
      </c>
      <c r="F491" s="4" t="s">
        <v>2291</v>
      </c>
      <c r="G491" s="4">
        <v>1</v>
      </c>
      <c r="H491" s="4" t="s">
        <v>1279</v>
      </c>
      <c r="I491" s="4">
        <v>5</v>
      </c>
      <c r="J491" s="4" t="s">
        <v>2260</v>
      </c>
      <c r="K491" s="4" t="s">
        <v>2261</v>
      </c>
      <c r="L491" s="4">
        <v>-0.101546399197361</v>
      </c>
      <c r="M491" s="4">
        <v>0.305594111012082</v>
      </c>
      <c r="N491" s="4">
        <v>2.5900528141954502</v>
      </c>
      <c r="O491" s="4">
        <v>10</v>
      </c>
    </row>
    <row r="492" spans="1:15">
      <c r="A492" s="4" t="s">
        <v>1281</v>
      </c>
      <c r="B492" s="4" t="s">
        <v>1400</v>
      </c>
      <c r="C492" s="4">
        <v>1.7145115399999999</v>
      </c>
      <c r="D492" s="4">
        <v>2.1078121190000001</v>
      </c>
      <c r="F492" s="4" t="s">
        <v>2291</v>
      </c>
      <c r="G492" s="4">
        <v>2</v>
      </c>
      <c r="H492" s="4" t="s">
        <v>1280</v>
      </c>
      <c r="I492" s="4">
        <v>5</v>
      </c>
      <c r="J492" s="4" t="s">
        <v>2260</v>
      </c>
      <c r="K492" s="4" t="s">
        <v>2261</v>
      </c>
      <c r="L492" s="4">
        <v>-0.51112172492227903</v>
      </c>
      <c r="M492" s="4">
        <v>0.305594111012084</v>
      </c>
      <c r="N492" s="4">
        <v>1.0086332812748</v>
      </c>
      <c r="O492" s="4">
        <v>10</v>
      </c>
    </row>
    <row r="493" spans="1:15">
      <c r="A493" s="4" t="s">
        <v>1281</v>
      </c>
      <c r="B493" s="4" t="s">
        <v>1400</v>
      </c>
      <c r="C493" s="4">
        <v>1.7587733160000001</v>
      </c>
      <c r="D493" s="4">
        <v>2.10448966</v>
      </c>
      <c r="F493" s="4" t="s">
        <v>2291</v>
      </c>
      <c r="G493" s="4">
        <v>1</v>
      </c>
      <c r="H493" s="4" t="s">
        <v>1279</v>
      </c>
      <c r="I493" s="4">
        <v>6</v>
      </c>
      <c r="J493" s="4" t="s">
        <v>2262</v>
      </c>
      <c r="K493" s="4" t="s">
        <v>2263</v>
      </c>
      <c r="L493" s="4">
        <v>1.0218562774037201</v>
      </c>
      <c r="M493" s="4">
        <v>3.8365641309496401</v>
      </c>
      <c r="N493" s="4">
        <v>2.7410301668215298</v>
      </c>
      <c r="O493" s="4">
        <v>10</v>
      </c>
    </row>
    <row r="494" spans="1:15">
      <c r="A494" s="4" t="s">
        <v>1281</v>
      </c>
      <c r="B494" s="4" t="s">
        <v>1400</v>
      </c>
      <c r="C494" s="4">
        <v>1.559595321</v>
      </c>
      <c r="D494" s="4">
        <v>2.098914084</v>
      </c>
      <c r="F494" s="4" t="s">
        <v>2291</v>
      </c>
      <c r="G494" s="4">
        <v>2</v>
      </c>
      <c r="H494" s="4" t="s">
        <v>1280</v>
      </c>
      <c r="I494" s="4">
        <v>6</v>
      </c>
      <c r="J494" s="4" t="s">
        <v>2262</v>
      </c>
      <c r="K494" s="4" t="s">
        <v>2263</v>
      </c>
      <c r="L494" s="4">
        <v>0.63650490262276505</v>
      </c>
      <c r="M494" s="4">
        <v>3.8365641309496299</v>
      </c>
      <c r="N494" s="4">
        <v>1.12865819814767</v>
      </c>
      <c r="O494" s="4">
        <v>10</v>
      </c>
    </row>
    <row r="495" spans="1:15">
      <c r="A495" s="4" t="s">
        <v>1281</v>
      </c>
      <c r="B495" s="4" t="s">
        <v>1400</v>
      </c>
      <c r="C495" s="4">
        <v>1.942143535</v>
      </c>
      <c r="D495" s="4">
        <v>2.0765528670000002</v>
      </c>
      <c r="F495" s="4" t="s">
        <v>2291</v>
      </c>
      <c r="G495" s="4">
        <v>1</v>
      </c>
      <c r="H495" s="4" t="s">
        <v>1279</v>
      </c>
      <c r="I495" s="4">
        <v>7</v>
      </c>
      <c r="J495" s="4" t="s">
        <v>2264</v>
      </c>
      <c r="K495" s="4" t="s">
        <v>2265</v>
      </c>
      <c r="L495" s="4">
        <v>0.56277853179730097</v>
      </c>
      <c r="M495" s="4">
        <v>1.2361599300933901</v>
      </c>
      <c r="N495" s="4">
        <v>2.9559961895506301</v>
      </c>
      <c r="O495" s="4">
        <v>10</v>
      </c>
    </row>
    <row r="496" spans="1:15">
      <c r="A496" s="4" t="s">
        <v>1281</v>
      </c>
      <c r="B496" s="4" t="s">
        <v>1400</v>
      </c>
      <c r="C496" s="4">
        <v>1.989566867</v>
      </c>
      <c r="D496" s="4">
        <v>2.1079784020000001</v>
      </c>
      <c r="F496" s="4" t="s">
        <v>2291</v>
      </c>
      <c r="G496" s="4">
        <v>2</v>
      </c>
      <c r="H496" s="4" t="s">
        <v>1280</v>
      </c>
      <c r="I496" s="4">
        <v>7</v>
      </c>
      <c r="J496" s="4" t="s">
        <v>2264</v>
      </c>
      <c r="K496" s="4" t="s">
        <v>2265</v>
      </c>
      <c r="L496" s="4">
        <v>0.10758707142288</v>
      </c>
      <c r="M496" s="4">
        <v>1.2361599300934001</v>
      </c>
      <c r="N496" s="4">
        <v>1.0363642170495</v>
      </c>
      <c r="O496" s="4">
        <v>10</v>
      </c>
    </row>
    <row r="497" spans="1:15">
      <c r="A497" s="4" t="s">
        <v>1281</v>
      </c>
      <c r="B497" s="4" t="s">
        <v>1400</v>
      </c>
      <c r="C497" s="4">
        <v>1.765096427</v>
      </c>
      <c r="D497" s="4">
        <v>2.1079762259999999</v>
      </c>
      <c r="F497" s="4" t="s">
        <v>2291</v>
      </c>
      <c r="G497" s="4">
        <v>1</v>
      </c>
      <c r="H497" s="4" t="s">
        <v>1279</v>
      </c>
      <c r="I497" s="4">
        <v>8</v>
      </c>
      <c r="J497" s="4" t="s">
        <v>2266</v>
      </c>
      <c r="K497" s="4" t="s">
        <v>2267</v>
      </c>
      <c r="L497" s="4">
        <v>0.42593821399735698</v>
      </c>
      <c r="M497" s="4">
        <v>0.90409947385049405</v>
      </c>
      <c r="N497" s="4">
        <v>2.9493206900797002</v>
      </c>
      <c r="O497" s="4">
        <v>10</v>
      </c>
    </row>
    <row r="498" spans="1:15">
      <c r="A498" s="4" t="s">
        <v>1281</v>
      </c>
      <c r="B498" s="4" t="s">
        <v>1400</v>
      </c>
      <c r="C498" s="4">
        <v>1.9358204240000001</v>
      </c>
      <c r="D498" s="4">
        <v>2.1077587819999999</v>
      </c>
      <c r="F498" s="4" t="s">
        <v>2291</v>
      </c>
      <c r="G498" s="4">
        <v>2</v>
      </c>
      <c r="H498" s="4" t="s">
        <v>1280</v>
      </c>
      <c r="I498" s="4">
        <v>8</v>
      </c>
      <c r="J498" s="4" t="s">
        <v>2266</v>
      </c>
      <c r="K498" s="4" t="s">
        <v>2267</v>
      </c>
      <c r="L498" s="4">
        <v>-3.2549036368024302E-2</v>
      </c>
      <c r="M498" s="4">
        <v>0.90409947385049305</v>
      </c>
      <c r="N498" s="4">
        <v>1.02620646686631</v>
      </c>
      <c r="O498" s="4">
        <v>10</v>
      </c>
    </row>
    <row r="499" spans="1:15">
      <c r="A499" s="4" t="s">
        <v>1281</v>
      </c>
      <c r="B499" s="4" t="s">
        <v>1400</v>
      </c>
      <c r="C499" s="4">
        <v>1.9579513120000001</v>
      </c>
      <c r="D499" s="4">
        <v>2.1027021129999999</v>
      </c>
      <c r="F499" s="4" t="s">
        <v>2291</v>
      </c>
      <c r="G499" s="4">
        <v>1</v>
      </c>
      <c r="H499" s="4" t="s">
        <v>1279</v>
      </c>
      <c r="I499" s="4">
        <v>9</v>
      </c>
      <c r="J499" s="4" t="s">
        <v>2268</v>
      </c>
      <c r="K499" s="4" t="s">
        <v>2269</v>
      </c>
      <c r="L499" s="4">
        <v>0.193469928341088</v>
      </c>
      <c r="M499" s="4">
        <v>0.54137165308229396</v>
      </c>
      <c r="N499" s="4">
        <v>2.8838616152679499</v>
      </c>
      <c r="O499" s="4">
        <v>10</v>
      </c>
    </row>
    <row r="500" spans="1:15">
      <c r="A500" s="4" t="s">
        <v>1281</v>
      </c>
      <c r="B500" s="4" t="s">
        <v>1400</v>
      </c>
      <c r="C500" s="4">
        <v>1.8061966490000001</v>
      </c>
      <c r="D500" s="4">
        <v>2.0885460870000001</v>
      </c>
      <c r="F500" s="4" t="s">
        <v>2291</v>
      </c>
      <c r="G500" s="4">
        <v>2</v>
      </c>
      <c r="H500" s="4" t="s">
        <v>1280</v>
      </c>
      <c r="I500" s="4">
        <v>9</v>
      </c>
      <c r="J500" s="4" t="s">
        <v>2268</v>
      </c>
      <c r="K500" s="4" t="s">
        <v>2269</v>
      </c>
      <c r="L500" s="4">
        <v>-0.25984689050061599</v>
      </c>
      <c r="M500" s="4">
        <v>0.54137165308229296</v>
      </c>
      <c r="N500" s="4">
        <v>1.01544778753568</v>
      </c>
      <c r="O500" s="4">
        <v>10</v>
      </c>
    </row>
    <row r="501" spans="1:15">
      <c r="A501" s="4" t="s">
        <v>1281</v>
      </c>
      <c r="B501" s="4" t="s">
        <v>1400</v>
      </c>
      <c r="C501" s="4">
        <v>1.7556117609999999</v>
      </c>
      <c r="D501" s="4">
        <v>1.9325289450000001</v>
      </c>
      <c r="F501" s="4" t="s">
        <v>2291</v>
      </c>
      <c r="G501" s="4">
        <v>1</v>
      </c>
      <c r="H501" s="4" t="s">
        <v>1279</v>
      </c>
      <c r="I501" s="4">
        <v>10</v>
      </c>
      <c r="J501" s="4" t="s">
        <v>2270</v>
      </c>
      <c r="K501" s="4" t="s">
        <v>2271</v>
      </c>
      <c r="L501" s="4">
        <v>1.00516361079988</v>
      </c>
      <c r="M501" s="4">
        <v>3.6692498962573699</v>
      </c>
      <c r="N501" s="4">
        <v>2.7579495666833398</v>
      </c>
      <c r="O501" s="4">
        <v>10</v>
      </c>
    </row>
    <row r="502" spans="1:15">
      <c r="A502" s="4" t="s">
        <v>1281</v>
      </c>
      <c r="B502" s="4" t="s">
        <v>1400</v>
      </c>
      <c r="C502" s="4">
        <v>1.733480873</v>
      </c>
      <c r="D502" s="4">
        <v>1.843710438</v>
      </c>
      <c r="F502" s="4" t="s">
        <v>2291</v>
      </c>
      <c r="G502" s="4">
        <v>2</v>
      </c>
      <c r="H502" s="4" t="s">
        <v>1280</v>
      </c>
      <c r="I502" s="4">
        <v>10</v>
      </c>
      <c r="J502" s="4" t="s">
        <v>2270</v>
      </c>
      <c r="K502" s="4" t="s">
        <v>2271</v>
      </c>
      <c r="L502" s="4">
        <v>0.61452826270054695</v>
      </c>
      <c r="M502" s="4">
        <v>3.6692498962573699</v>
      </c>
      <c r="N502" s="4">
        <v>1.1218917957025001</v>
      </c>
      <c r="O502" s="4">
        <v>10</v>
      </c>
    </row>
    <row r="503" spans="1:15">
      <c r="A503" s="4" t="s">
        <v>1281</v>
      </c>
      <c r="B503" s="4" t="s">
        <v>1400</v>
      </c>
      <c r="C503" s="4">
        <v>1.3161555490000001</v>
      </c>
      <c r="D503" s="4">
        <v>1.7266660840000001</v>
      </c>
      <c r="F503" s="4" t="s">
        <v>2291</v>
      </c>
      <c r="G503" s="4">
        <v>1</v>
      </c>
      <c r="H503" s="4" t="s">
        <v>1279</v>
      </c>
      <c r="I503" s="4">
        <v>11</v>
      </c>
      <c r="J503" s="4" t="s">
        <v>1319</v>
      </c>
      <c r="K503" s="4" t="s">
        <v>2272</v>
      </c>
      <c r="L503" s="4">
        <v>1.27052489125365</v>
      </c>
      <c r="M503" s="4">
        <v>9.1604105658127093</v>
      </c>
      <c r="N503" s="4">
        <v>2.0352133945867399</v>
      </c>
      <c r="O503" s="4">
        <v>9.3969984992496194</v>
      </c>
    </row>
    <row r="504" spans="1:15">
      <c r="A504" s="4" t="s">
        <v>1281</v>
      </c>
      <c r="B504" s="4" t="s">
        <v>1400</v>
      </c>
      <c r="C504" s="4">
        <v>1.9358204240000001</v>
      </c>
      <c r="D504" s="4">
        <v>2.1079784020000001</v>
      </c>
      <c r="F504" s="4" t="s">
        <v>2291</v>
      </c>
      <c r="G504" s="4">
        <v>2</v>
      </c>
      <c r="H504" s="4" t="s">
        <v>1280</v>
      </c>
      <c r="I504" s="4">
        <v>11</v>
      </c>
      <c r="J504" s="4" t="s">
        <v>1319</v>
      </c>
      <c r="K504" s="4" t="s">
        <v>2272</v>
      </c>
      <c r="L504" s="4">
        <v>1.1665698774303599</v>
      </c>
      <c r="M504" s="4">
        <v>9.4183372724232601</v>
      </c>
      <c r="N504" s="4">
        <v>1.55810111687118</v>
      </c>
      <c r="O504" s="4">
        <v>10</v>
      </c>
    </row>
    <row r="505" spans="1:15">
      <c r="A505" s="4" t="s">
        <v>1281</v>
      </c>
      <c r="B505" s="4" t="s">
        <v>1400</v>
      </c>
      <c r="C505" s="4">
        <v>1.4584255450000001</v>
      </c>
      <c r="D505" s="4">
        <v>2.1079762259999999</v>
      </c>
      <c r="F505" s="4" t="s">
        <v>2291</v>
      </c>
      <c r="G505" s="4">
        <v>1</v>
      </c>
      <c r="H505" s="4" t="s">
        <v>1279</v>
      </c>
      <c r="I505" s="4">
        <v>12</v>
      </c>
      <c r="J505" s="4" t="s">
        <v>1319</v>
      </c>
      <c r="K505" s="4" t="s">
        <v>2273</v>
      </c>
      <c r="L505" s="4">
        <v>1.1722799800328101</v>
      </c>
      <c r="M505" s="4">
        <v>6.0386711285870902</v>
      </c>
      <c r="N505" s="4">
        <v>2.4622866012587901</v>
      </c>
      <c r="O505" s="4">
        <v>10</v>
      </c>
    </row>
    <row r="506" spans="1:15">
      <c r="A506" s="4" t="s">
        <v>1281</v>
      </c>
      <c r="B506" s="4" t="s">
        <v>1400</v>
      </c>
      <c r="C506" s="4">
        <v>1.923174202</v>
      </c>
      <c r="D506" s="4">
        <v>2.1077587819999999</v>
      </c>
      <c r="F506" s="4" t="s">
        <v>2291</v>
      </c>
      <c r="G506" s="4">
        <v>2</v>
      </c>
      <c r="H506" s="4" t="s">
        <v>1280</v>
      </c>
      <c r="I506" s="4">
        <v>12</v>
      </c>
      <c r="J506" s="4" t="s">
        <v>1319</v>
      </c>
      <c r="K506" s="4" t="s">
        <v>2273</v>
      </c>
      <c r="L506" s="4">
        <v>0.87222006536909102</v>
      </c>
      <c r="M506" s="4">
        <v>6.0386711285870902</v>
      </c>
      <c r="N506" s="4">
        <v>1.2338963717095099</v>
      </c>
      <c r="O506" s="4">
        <v>10</v>
      </c>
    </row>
    <row r="507" spans="1:15">
      <c r="A507" s="4" t="s">
        <v>1281</v>
      </c>
      <c r="B507" s="4" t="s">
        <v>1400</v>
      </c>
      <c r="C507" s="4">
        <v>1.9294973129999999</v>
      </c>
      <c r="D507" s="4">
        <v>2.1027021129999999</v>
      </c>
      <c r="F507" s="4" t="s">
        <v>2291</v>
      </c>
      <c r="G507" s="4">
        <v>1</v>
      </c>
      <c r="H507" s="4" t="s">
        <v>1279</v>
      </c>
      <c r="I507" s="4">
        <v>13</v>
      </c>
      <c r="J507" s="4" t="s">
        <v>1319</v>
      </c>
      <c r="K507" s="4" t="s">
        <v>2274</v>
      </c>
      <c r="L507" s="4">
        <v>1.16540169069449</v>
      </c>
      <c r="M507" s="4">
        <v>6.0716559926043798</v>
      </c>
      <c r="N507" s="4">
        <v>2.41043005240441</v>
      </c>
      <c r="O507" s="4">
        <v>10</v>
      </c>
    </row>
    <row r="508" spans="1:15">
      <c r="A508" s="4" t="s">
        <v>1281</v>
      </c>
      <c r="B508" s="4" t="s">
        <v>1400</v>
      </c>
      <c r="C508" s="4">
        <v>1.74928865</v>
      </c>
      <c r="D508" s="4">
        <v>2.0885460870000001</v>
      </c>
      <c r="F508" s="4" t="s">
        <v>2291</v>
      </c>
      <c r="G508" s="4">
        <v>2</v>
      </c>
      <c r="H508" s="4" t="s">
        <v>1280</v>
      </c>
      <c r="I508" s="4">
        <v>13</v>
      </c>
      <c r="J508" s="4" t="s">
        <v>1319</v>
      </c>
      <c r="K508" s="4" t="s">
        <v>2274</v>
      </c>
      <c r="L508" s="4">
        <v>0.87526712605818002</v>
      </c>
      <c r="M508" s="4">
        <v>6.0716559926043798</v>
      </c>
      <c r="N508" s="4">
        <v>1.2358335146406001</v>
      </c>
      <c r="O508" s="4">
        <v>10</v>
      </c>
    </row>
    <row r="509" spans="1:15">
      <c r="A509" s="4" t="s">
        <v>1281</v>
      </c>
      <c r="B509" s="4" t="s">
        <v>1400</v>
      </c>
      <c r="C509" s="4">
        <v>1.771419538</v>
      </c>
      <c r="D509" s="4">
        <v>1.9325289450000001</v>
      </c>
      <c r="F509" s="4" t="s">
        <v>2291</v>
      </c>
      <c r="G509" s="4">
        <v>1</v>
      </c>
      <c r="H509" s="4" t="s">
        <v>1279</v>
      </c>
      <c r="I509" s="4">
        <v>14</v>
      </c>
      <c r="J509" s="4" t="s">
        <v>1281</v>
      </c>
      <c r="K509" s="4" t="s">
        <v>2275</v>
      </c>
      <c r="L509" s="4">
        <v>1.0630137963817901</v>
      </c>
      <c r="M509" s="4">
        <v>4.2870293142223401</v>
      </c>
      <c r="N509" s="4">
        <v>2.6968534261105201</v>
      </c>
      <c r="O509" s="4">
        <v>10</v>
      </c>
    </row>
    <row r="510" spans="1:15">
      <c r="A510" s="4" t="s">
        <v>1281</v>
      </c>
      <c r="B510" s="4" t="s">
        <v>1400</v>
      </c>
      <c r="C510" s="4">
        <v>1.6576035410000001</v>
      </c>
      <c r="D510" s="4">
        <v>1.843710438</v>
      </c>
      <c r="F510" s="4" t="s">
        <v>2291</v>
      </c>
      <c r="G510" s="4">
        <v>2</v>
      </c>
      <c r="H510" s="4" t="s">
        <v>1280</v>
      </c>
      <c r="I510" s="4">
        <v>14</v>
      </c>
      <c r="J510" s="4" t="s">
        <v>1281</v>
      </c>
      <c r="K510" s="4" t="s">
        <v>2275</v>
      </c>
      <c r="L510" s="4">
        <v>0.69194391897561602</v>
      </c>
      <c r="M510" s="4">
        <v>4.2870293142223401</v>
      </c>
      <c r="N510" s="4">
        <v>1.14759187774028</v>
      </c>
      <c r="O510" s="4">
        <v>10</v>
      </c>
    </row>
    <row r="511" spans="1:15">
      <c r="A511" s="4" t="s">
        <v>1281</v>
      </c>
      <c r="B511" s="4" t="s">
        <v>1400</v>
      </c>
      <c r="C511" s="4">
        <v>1.3477711029999999</v>
      </c>
      <c r="D511" s="4">
        <v>1.7266660840000001</v>
      </c>
      <c r="F511" s="4" t="s">
        <v>2291</v>
      </c>
      <c r="G511" s="4">
        <v>1</v>
      </c>
      <c r="H511" s="4" t="s">
        <v>1279</v>
      </c>
      <c r="I511" s="4">
        <v>15</v>
      </c>
      <c r="J511" s="4" t="s">
        <v>2276</v>
      </c>
      <c r="K511" s="4" t="s">
        <v>2277</v>
      </c>
      <c r="L511" s="4">
        <v>0.46591174159771598</v>
      </c>
      <c r="M511" s="4">
        <v>0.97836194925429498</v>
      </c>
      <c r="N511" s="4">
        <v>2.9882173841164801</v>
      </c>
      <c r="O511" s="4">
        <v>10</v>
      </c>
    </row>
    <row r="512" spans="1:15">
      <c r="A512" s="4" t="s">
        <v>1281</v>
      </c>
      <c r="B512" s="4" t="s">
        <v>1400</v>
      </c>
      <c r="C512" s="4">
        <v>2.0148593109999999</v>
      </c>
      <c r="D512" s="4">
        <v>2.1069723470000001</v>
      </c>
      <c r="F512" s="4" t="s">
        <v>2291</v>
      </c>
      <c r="G512" s="4">
        <v>2</v>
      </c>
      <c r="H512" s="4" t="s">
        <v>1280</v>
      </c>
      <c r="I512" s="4">
        <v>15</v>
      </c>
      <c r="J512" s="4" t="s">
        <v>2276</v>
      </c>
      <c r="K512" s="4" t="s">
        <v>2277</v>
      </c>
      <c r="L512" s="4">
        <v>2.6835266707693202E-3</v>
      </c>
      <c r="M512" s="4">
        <v>0.97836194925429898</v>
      </c>
      <c r="N512" s="4">
        <v>1.02845187200579</v>
      </c>
      <c r="O512" s="4">
        <v>10</v>
      </c>
    </row>
    <row r="513" spans="1:15">
      <c r="A513" s="4" t="s">
        <v>1281</v>
      </c>
      <c r="B513" s="4" t="s">
        <v>1400</v>
      </c>
      <c r="C513" s="4">
        <v>2.0338286440000002</v>
      </c>
      <c r="D513" s="4">
        <v>2.1068853930000002</v>
      </c>
      <c r="F513" s="4" t="s">
        <v>2292</v>
      </c>
      <c r="G513" s="4">
        <v>1</v>
      </c>
      <c r="H513" s="4" t="s">
        <v>1279</v>
      </c>
      <c r="I513" s="4">
        <v>1</v>
      </c>
      <c r="J513" s="4" t="s">
        <v>196</v>
      </c>
      <c r="K513" s="4" t="s">
        <v>2255</v>
      </c>
      <c r="L513" s="4">
        <v>0.94624913858302695</v>
      </c>
      <c r="M513" s="4">
        <v>5.49017717674419</v>
      </c>
      <c r="N513" s="4">
        <v>1.6093954846707099</v>
      </c>
      <c r="O513" s="4">
        <v>8.5341670835417691</v>
      </c>
    </row>
    <row r="514" spans="1:15">
      <c r="A514" s="4" t="s">
        <v>1281</v>
      </c>
      <c r="B514" s="4" t="s">
        <v>1400</v>
      </c>
      <c r="C514" s="4">
        <v>2.0812519759999999</v>
      </c>
      <c r="D514" s="4">
        <v>2.0982752570000001</v>
      </c>
      <c r="F514" s="4" t="s">
        <v>2292</v>
      </c>
      <c r="G514" s="4">
        <v>2</v>
      </c>
      <c r="H514" s="4" t="s">
        <v>1280</v>
      </c>
      <c r="I514" s="4">
        <v>1</v>
      </c>
      <c r="J514" s="4" t="s">
        <v>196</v>
      </c>
      <c r="K514" s="4" t="s">
        <v>2255</v>
      </c>
      <c r="L514" s="4">
        <v>0.87079942540484601</v>
      </c>
      <c r="M514" s="4">
        <v>5.7167417407732</v>
      </c>
      <c r="N514" s="4">
        <v>1.2991247371144801</v>
      </c>
      <c r="O514" s="4">
        <v>10</v>
      </c>
    </row>
    <row r="515" spans="1:15">
      <c r="A515" s="4" t="s">
        <v>1281</v>
      </c>
      <c r="B515" s="4" t="s">
        <v>1400</v>
      </c>
      <c r="C515" s="4">
        <v>1.7556117609999999</v>
      </c>
      <c r="D515" s="4">
        <v>1.9341934000000001</v>
      </c>
      <c r="F515" s="4" t="s">
        <v>2292</v>
      </c>
      <c r="G515" s="4">
        <v>1</v>
      </c>
      <c r="H515" s="4" t="s">
        <v>1279</v>
      </c>
      <c r="I515" s="4">
        <v>2</v>
      </c>
      <c r="J515" s="4" t="s">
        <v>196</v>
      </c>
      <c r="K515" s="4" t="s">
        <v>2256</v>
      </c>
      <c r="L515" s="4">
        <v>1.0071855799402301</v>
      </c>
      <c r="M515" s="4">
        <v>6.1047548027189196</v>
      </c>
      <c r="N515" s="4">
        <v>1.6653953769027501</v>
      </c>
      <c r="O515" s="4">
        <v>5.55837918959479</v>
      </c>
    </row>
    <row r="516" spans="1:15">
      <c r="A516" s="4" t="s">
        <v>1281</v>
      </c>
      <c r="B516" s="4" t="s">
        <v>1400</v>
      </c>
      <c r="C516" s="4">
        <v>1.7777426489999999</v>
      </c>
      <c r="D516" s="4">
        <v>1.6734682789999999</v>
      </c>
      <c r="F516" s="4" t="s">
        <v>2292</v>
      </c>
      <c r="G516" s="4">
        <v>2</v>
      </c>
      <c r="H516" s="4" t="s">
        <v>1280</v>
      </c>
      <c r="I516" s="4">
        <v>2</v>
      </c>
      <c r="J516" s="4" t="s">
        <v>196</v>
      </c>
      <c r="K516" s="4" t="s">
        <v>2256</v>
      </c>
      <c r="L516" s="4">
        <v>0.95529703257545096</v>
      </c>
      <c r="M516" s="4">
        <v>6.3144754589924501</v>
      </c>
      <c r="N516" s="4">
        <v>1.42876154551718</v>
      </c>
      <c r="O516" s="4">
        <v>8.2155077538769294</v>
      </c>
    </row>
    <row r="517" spans="1:15">
      <c r="A517" s="4" t="s">
        <v>1281</v>
      </c>
      <c r="B517" s="4" t="s">
        <v>1400</v>
      </c>
      <c r="C517" s="4">
        <v>1.120139108</v>
      </c>
      <c r="D517" s="4">
        <v>1.155328709</v>
      </c>
      <c r="F517" s="4" t="s">
        <v>2292</v>
      </c>
      <c r="G517" s="4">
        <v>1</v>
      </c>
      <c r="H517" s="4" t="s">
        <v>1279</v>
      </c>
      <c r="I517" s="4">
        <v>3</v>
      </c>
      <c r="J517" s="4" t="s">
        <v>2257</v>
      </c>
      <c r="K517" s="4" t="s">
        <v>724</v>
      </c>
      <c r="L517" s="4">
        <v>1.1255042337015599</v>
      </c>
      <c r="M517" s="4">
        <v>7.5233957820701596</v>
      </c>
      <c r="N517" s="4">
        <v>1.7745585146012901</v>
      </c>
      <c r="O517" s="4">
        <v>1.0971485742871401</v>
      </c>
    </row>
    <row r="518" spans="1:15">
      <c r="A518" s="4" t="s">
        <v>1281</v>
      </c>
      <c r="B518" s="4" t="s">
        <v>1400</v>
      </c>
      <c r="C518" s="4">
        <v>0.99683844499999996</v>
      </c>
      <c r="D518" s="4">
        <v>1.0800967459999999</v>
      </c>
      <c r="F518" s="4" t="s">
        <v>2292</v>
      </c>
      <c r="G518" s="4">
        <v>2</v>
      </c>
      <c r="H518" s="4" t="s">
        <v>1280</v>
      </c>
      <c r="I518" s="4">
        <v>3</v>
      </c>
      <c r="J518" s="4" t="s">
        <v>2257</v>
      </c>
      <c r="K518" s="4" t="s">
        <v>724</v>
      </c>
      <c r="L518" s="4">
        <v>1.10647935935796</v>
      </c>
      <c r="M518" s="4">
        <v>7.6401216452770697</v>
      </c>
      <c r="N518" s="4">
        <v>1.6725499087043401</v>
      </c>
      <c r="O518" s="4">
        <v>1.7148574287143501</v>
      </c>
    </row>
    <row r="519" spans="1:15">
      <c r="A519" s="4" t="s">
        <v>1281</v>
      </c>
      <c r="B519" s="4" t="s">
        <v>1400</v>
      </c>
      <c r="C519" s="4">
        <v>0.69332911799999997</v>
      </c>
      <c r="D519" s="4">
        <v>1.0154225050000001</v>
      </c>
      <c r="F519" s="4" t="s">
        <v>2292</v>
      </c>
      <c r="G519" s="4">
        <v>1</v>
      </c>
      <c r="H519" s="4" t="s">
        <v>1279</v>
      </c>
      <c r="I519" s="4">
        <v>4</v>
      </c>
      <c r="J519" s="4" t="s">
        <v>2258</v>
      </c>
      <c r="K519" s="4" t="s">
        <v>2259</v>
      </c>
      <c r="L519" s="4">
        <v>0.50763121790022303</v>
      </c>
      <c r="M519" s="4">
        <v>1.76315147376093</v>
      </c>
      <c r="N519" s="4">
        <v>1.8253308479738499</v>
      </c>
      <c r="O519" s="4">
        <v>10</v>
      </c>
    </row>
    <row r="520" spans="1:15">
      <c r="A520" s="4" t="s">
        <v>1281</v>
      </c>
      <c r="B520" s="4" t="s">
        <v>1400</v>
      </c>
      <c r="C520" s="4">
        <v>1.964274423</v>
      </c>
      <c r="D520" s="4">
        <v>2.1069723470000001</v>
      </c>
      <c r="F520" s="4" t="s">
        <v>2292</v>
      </c>
      <c r="G520" s="4">
        <v>2</v>
      </c>
      <c r="H520" s="4" t="s">
        <v>1280</v>
      </c>
      <c r="I520" s="4">
        <v>4</v>
      </c>
      <c r="J520" s="4" t="s">
        <v>2258</v>
      </c>
      <c r="K520" s="4" t="s">
        <v>2259</v>
      </c>
      <c r="L520" s="4">
        <v>0.269539081179761</v>
      </c>
      <c r="M520" s="4">
        <v>1.76315147376093</v>
      </c>
      <c r="N520" s="4">
        <v>1.05499270519119</v>
      </c>
      <c r="O520" s="4">
        <v>10</v>
      </c>
    </row>
    <row r="521" spans="1:15">
      <c r="A521" s="4" t="s">
        <v>1281</v>
      </c>
      <c r="B521" s="4" t="s">
        <v>1400</v>
      </c>
      <c r="C521" s="4">
        <v>1.9705975339999999</v>
      </c>
      <c r="D521" s="4">
        <v>2.1068853930000002</v>
      </c>
      <c r="F521" s="4" t="s">
        <v>2292</v>
      </c>
      <c r="G521" s="4">
        <v>1</v>
      </c>
      <c r="H521" s="4" t="s">
        <v>1279</v>
      </c>
      <c r="I521" s="4">
        <v>5</v>
      </c>
      <c r="J521" s="4" t="s">
        <v>2260</v>
      </c>
      <c r="K521" s="4" t="s">
        <v>2261</v>
      </c>
      <c r="L521" s="4">
        <v>0.85235442966658603</v>
      </c>
      <c r="M521" s="4">
        <v>4.2145437993306496</v>
      </c>
      <c r="N521" s="4">
        <v>1.68889969822992</v>
      </c>
      <c r="O521" s="4">
        <v>10</v>
      </c>
    </row>
    <row r="522" spans="1:15">
      <c r="A522" s="4" t="s">
        <v>1281</v>
      </c>
      <c r="B522" s="4" t="s">
        <v>1400</v>
      </c>
      <c r="C522" s="4">
        <v>2.0464748660000001</v>
      </c>
      <c r="D522" s="4">
        <v>2.0982752570000001</v>
      </c>
      <c r="F522" s="4" t="s">
        <v>2292</v>
      </c>
      <c r="G522" s="4">
        <v>2</v>
      </c>
      <c r="H522" s="4" t="s">
        <v>1280</v>
      </c>
      <c r="I522" s="4">
        <v>5</v>
      </c>
      <c r="J522" s="4" t="s">
        <v>2260</v>
      </c>
      <c r="K522" s="4" t="s">
        <v>2261</v>
      </c>
      <c r="L522" s="4">
        <v>0.69102842670402798</v>
      </c>
      <c r="M522" s="4">
        <v>4.2145437993306496</v>
      </c>
      <c r="N522" s="4">
        <v>1.1648710581927499</v>
      </c>
      <c r="O522" s="4">
        <v>10</v>
      </c>
    </row>
    <row r="523" spans="1:15">
      <c r="A523" s="4" t="s">
        <v>1281</v>
      </c>
      <c r="B523" s="4" t="s">
        <v>1400</v>
      </c>
      <c r="C523" s="4">
        <v>1.7872273160000001</v>
      </c>
      <c r="D523" s="4">
        <v>1.9341934000000001</v>
      </c>
      <c r="F523" s="4" t="s">
        <v>2292</v>
      </c>
      <c r="G523" s="4">
        <v>1</v>
      </c>
      <c r="H523" s="4" t="s">
        <v>1279</v>
      </c>
      <c r="I523" s="4">
        <v>6</v>
      </c>
      <c r="J523" s="4" t="s">
        <v>2262</v>
      </c>
      <c r="K523" s="4" t="s">
        <v>2263</v>
      </c>
      <c r="L523" s="4">
        <v>1.06889933572426</v>
      </c>
      <c r="M523" s="4">
        <v>6.8021050102866898</v>
      </c>
      <c r="N523" s="4">
        <v>1.7228838637030599</v>
      </c>
      <c r="O523" s="4">
        <v>3.0532266133066499</v>
      </c>
    </row>
    <row r="524" spans="1:15">
      <c r="A524" s="4" t="s">
        <v>1281</v>
      </c>
      <c r="B524" s="4" t="s">
        <v>1400</v>
      </c>
      <c r="C524" s="4">
        <v>1.6955422069999999</v>
      </c>
      <c r="D524" s="4">
        <v>1.6734682789999999</v>
      </c>
      <c r="F524" s="4" t="s">
        <v>2292</v>
      </c>
      <c r="G524" s="4">
        <v>2</v>
      </c>
      <c r="H524" s="4" t="s">
        <v>1280</v>
      </c>
      <c r="I524" s="4">
        <v>6</v>
      </c>
      <c r="J524" s="4" t="s">
        <v>2262</v>
      </c>
      <c r="K524" s="4" t="s">
        <v>2263</v>
      </c>
      <c r="L524" s="4">
        <v>1.0300062932116301</v>
      </c>
      <c r="M524" s="4">
        <v>6.9925349493078599</v>
      </c>
      <c r="N524" s="4">
        <v>1.53239825061304</v>
      </c>
      <c r="O524" s="4">
        <v>4.6220110055027499</v>
      </c>
    </row>
    <row r="525" spans="1:15">
      <c r="A525" s="4" t="s">
        <v>1281</v>
      </c>
      <c r="B525" s="4" t="s">
        <v>1400</v>
      </c>
      <c r="C525" s="4">
        <v>1.069554221</v>
      </c>
      <c r="D525" s="4">
        <v>1.155328709</v>
      </c>
      <c r="F525" s="4" t="s">
        <v>2292</v>
      </c>
      <c r="G525" s="4">
        <v>1</v>
      </c>
      <c r="H525" s="4" t="s">
        <v>1279</v>
      </c>
      <c r="I525" s="4">
        <v>7</v>
      </c>
      <c r="J525" s="4" t="s">
        <v>2264</v>
      </c>
      <c r="K525" s="4" t="s">
        <v>2265</v>
      </c>
      <c r="L525" s="4">
        <v>0.99795863455195299</v>
      </c>
      <c r="M525" s="4">
        <v>6.0052481247360801</v>
      </c>
      <c r="N525" s="4">
        <v>1.65740131190437</v>
      </c>
      <c r="O525" s="4">
        <v>5.9799899949974904</v>
      </c>
    </row>
    <row r="526" spans="1:15">
      <c r="A526" s="4" t="s">
        <v>1281</v>
      </c>
      <c r="B526" s="4" t="s">
        <v>1400</v>
      </c>
      <c r="C526" s="4">
        <v>0.97154600099999999</v>
      </c>
      <c r="D526" s="4">
        <v>1.0800967459999999</v>
      </c>
      <c r="F526" s="4" t="s">
        <v>2292</v>
      </c>
      <c r="G526" s="4">
        <v>2</v>
      </c>
      <c r="H526" s="4" t="s">
        <v>1280</v>
      </c>
      <c r="I526" s="4">
        <v>7</v>
      </c>
      <c r="J526" s="4" t="s">
        <v>2264</v>
      </c>
      <c r="K526" s="4" t="s">
        <v>2265</v>
      </c>
      <c r="L526" s="4">
        <v>0.94456109724022996</v>
      </c>
      <c r="M526" s="4">
        <v>6.2155051410125104</v>
      </c>
      <c r="N526" s="4">
        <v>1.4160698208282201</v>
      </c>
      <c r="O526" s="4">
        <v>8.8185092546273101</v>
      </c>
    </row>
    <row r="527" spans="1:15">
      <c r="A527" s="4" t="s">
        <v>1281</v>
      </c>
      <c r="B527" s="4" t="s">
        <v>1400</v>
      </c>
      <c r="C527" s="4">
        <v>0.64274423000000003</v>
      </c>
      <c r="D527" s="4">
        <v>1.0154225050000001</v>
      </c>
      <c r="F527" s="4" t="s">
        <v>2292</v>
      </c>
      <c r="G527" s="4">
        <v>1</v>
      </c>
      <c r="H527" s="4" t="s">
        <v>1279</v>
      </c>
      <c r="I527" s="4">
        <v>8</v>
      </c>
      <c r="J527" s="4" t="s">
        <v>2266</v>
      </c>
      <c r="K527" s="4" t="s">
        <v>2267</v>
      </c>
      <c r="L527" s="4">
        <v>0.97397809907354904</v>
      </c>
      <c r="M527" s="4">
        <v>5.7602356043336398</v>
      </c>
      <c r="N527" s="4">
        <v>1.63507565332905</v>
      </c>
      <c r="O527" s="4">
        <v>7.1222611305652803</v>
      </c>
    </row>
    <row r="528" spans="1:15">
      <c r="A528" s="4" t="s">
        <v>1281</v>
      </c>
      <c r="B528" s="4" t="s">
        <v>1400</v>
      </c>
      <c r="C528" s="4">
        <v>1.942143535</v>
      </c>
      <c r="D528" s="4">
        <v>2.1010540459999998</v>
      </c>
      <c r="F528" s="4" t="s">
        <v>2292</v>
      </c>
      <c r="G528" s="4">
        <v>2</v>
      </c>
      <c r="H528" s="4" t="s">
        <v>1280</v>
      </c>
      <c r="I528" s="4">
        <v>8</v>
      </c>
      <c r="J528" s="4" t="s">
        <v>2266</v>
      </c>
      <c r="K528" s="4" t="s">
        <v>2267</v>
      </c>
      <c r="L528" s="4">
        <v>0.91675826591897502</v>
      </c>
      <c r="M528" s="4">
        <v>6.0083536079519204</v>
      </c>
      <c r="N528" s="4">
        <v>1.37405077610562</v>
      </c>
      <c r="O528" s="4">
        <v>10</v>
      </c>
    </row>
    <row r="529" spans="1:15">
      <c r="A529" s="4" t="s">
        <v>1281</v>
      </c>
      <c r="B529" s="4" t="s">
        <v>1400</v>
      </c>
      <c r="C529" s="4">
        <v>1.9705975339999999</v>
      </c>
      <c r="D529" s="4">
        <v>2.1004712809999999</v>
      </c>
      <c r="F529" s="4" t="s">
        <v>2292</v>
      </c>
      <c r="G529" s="4">
        <v>1</v>
      </c>
      <c r="H529" s="4" t="s">
        <v>1279</v>
      </c>
      <c r="I529" s="4">
        <v>9</v>
      </c>
      <c r="J529" s="4" t="s">
        <v>2268</v>
      </c>
      <c r="K529" s="4" t="s">
        <v>2269</v>
      </c>
      <c r="L529" s="4">
        <v>0.92984765947371195</v>
      </c>
      <c r="M529" s="4">
        <v>5.3309693857199001</v>
      </c>
      <c r="N529" s="4">
        <v>1.59603154572698</v>
      </c>
      <c r="O529" s="4">
        <v>9.4558279139569699</v>
      </c>
    </row>
    <row r="530" spans="1:15">
      <c r="A530" s="4" t="s">
        <v>1281</v>
      </c>
      <c r="B530" s="4" t="s">
        <v>1400</v>
      </c>
      <c r="C530" s="4">
        <v>1.897881758</v>
      </c>
      <c r="D530" s="4">
        <v>2.0449251469999998</v>
      </c>
      <c r="F530" s="4" t="s">
        <v>2292</v>
      </c>
      <c r="G530" s="4">
        <v>2</v>
      </c>
      <c r="H530" s="4" t="s">
        <v>1280</v>
      </c>
      <c r="I530" s="4">
        <v>9</v>
      </c>
      <c r="J530" s="4" t="s">
        <v>2268</v>
      </c>
      <c r="K530" s="4" t="s">
        <v>2269</v>
      </c>
      <c r="L530" s="4">
        <v>0.83538560973217002</v>
      </c>
      <c r="M530" s="4">
        <v>5.4290497611653796</v>
      </c>
      <c r="N530" s="4">
        <v>1.2608452522622799</v>
      </c>
      <c r="O530" s="4">
        <v>10</v>
      </c>
    </row>
    <row r="531" spans="1:15">
      <c r="A531" s="4" t="s">
        <v>1281</v>
      </c>
      <c r="B531" s="4" t="s">
        <v>1400</v>
      </c>
      <c r="C531" s="4">
        <v>1.682895985</v>
      </c>
      <c r="D531" s="4">
        <v>1.4434441499999999</v>
      </c>
      <c r="F531" s="4" t="s">
        <v>2292</v>
      </c>
      <c r="G531" s="4">
        <v>1</v>
      </c>
      <c r="H531" s="4" t="s">
        <v>1279</v>
      </c>
      <c r="I531" s="4">
        <v>10</v>
      </c>
      <c r="J531" s="4" t="s">
        <v>2270</v>
      </c>
      <c r="K531" s="4" t="s">
        <v>2271</v>
      </c>
      <c r="L531" s="4">
        <v>1.0664962812216101</v>
      </c>
      <c r="M531" s="4">
        <v>6.7712009336011203</v>
      </c>
      <c r="N531" s="4">
        <v>1.7211969968738601</v>
      </c>
      <c r="O531" s="4">
        <v>3.1414707353676801</v>
      </c>
    </row>
    <row r="532" spans="1:15">
      <c r="A532" s="4" t="s">
        <v>1281</v>
      </c>
      <c r="B532" s="4" t="s">
        <v>1400</v>
      </c>
      <c r="C532" s="4">
        <v>1.3572557700000001</v>
      </c>
      <c r="D532" s="4">
        <v>1.0888945649999999</v>
      </c>
      <c r="F532" s="4" t="s">
        <v>2292</v>
      </c>
      <c r="G532" s="4">
        <v>2</v>
      </c>
      <c r="H532" s="4" t="s">
        <v>1280</v>
      </c>
      <c r="I532" s="4">
        <v>10</v>
      </c>
      <c r="J532" s="4" t="s">
        <v>2270</v>
      </c>
      <c r="K532" s="4" t="s">
        <v>2271</v>
      </c>
      <c r="L532" s="4">
        <v>1.0269462354724099</v>
      </c>
      <c r="M532" s="4">
        <v>6.96500343361076</v>
      </c>
      <c r="N532" s="4">
        <v>1.5276536449432601</v>
      </c>
      <c r="O532" s="4">
        <v>4.7543771885942903</v>
      </c>
    </row>
    <row r="533" spans="1:15">
      <c r="A533" s="4" t="s">
        <v>1281</v>
      </c>
      <c r="B533" s="4" t="s">
        <v>1400</v>
      </c>
      <c r="C533" s="4">
        <v>0.69332911799999997</v>
      </c>
      <c r="D533" s="4">
        <v>0.80664377600000003</v>
      </c>
      <c r="F533" s="4" t="s">
        <v>2292</v>
      </c>
      <c r="G533" s="4">
        <v>1</v>
      </c>
      <c r="H533" s="4" t="s">
        <v>1279</v>
      </c>
      <c r="I533" s="4">
        <v>11</v>
      </c>
      <c r="J533" s="4" t="s">
        <v>1319</v>
      </c>
      <c r="K533" s="4" t="s">
        <v>2272</v>
      </c>
      <c r="L533" s="4">
        <v>1.1165120868287399</v>
      </c>
      <c r="M533" s="4">
        <v>7.44344943513582</v>
      </c>
      <c r="N533" s="4">
        <v>1.7568627887878501</v>
      </c>
      <c r="O533" s="4">
        <v>1.28834417208604</v>
      </c>
    </row>
    <row r="534" spans="1:15">
      <c r="A534" s="4" t="s">
        <v>1281</v>
      </c>
      <c r="B534" s="4" t="s">
        <v>1400</v>
      </c>
      <c r="C534" s="4">
        <v>0.59848245300000003</v>
      </c>
      <c r="D534" s="4">
        <v>0.77876782499999997</v>
      </c>
      <c r="F534" s="4" t="s">
        <v>2292</v>
      </c>
      <c r="G534" s="4">
        <v>2</v>
      </c>
      <c r="H534" s="4" t="s">
        <v>1280</v>
      </c>
      <c r="I534" s="4">
        <v>11</v>
      </c>
      <c r="J534" s="4" t="s">
        <v>1319</v>
      </c>
      <c r="K534" s="4" t="s">
        <v>2272</v>
      </c>
      <c r="L534" s="4">
        <v>1.0954881403374099</v>
      </c>
      <c r="M534" s="4">
        <v>7.5595462597238701</v>
      </c>
      <c r="N534" s="4">
        <v>1.6481335925749201</v>
      </c>
      <c r="O534" s="4">
        <v>1.98939469734867</v>
      </c>
    </row>
    <row r="535" spans="1:15">
      <c r="A535" s="4" t="s">
        <v>1281</v>
      </c>
      <c r="B535" s="4" t="s">
        <v>1400</v>
      </c>
      <c r="C535" s="4">
        <v>0.459374012</v>
      </c>
      <c r="D535" s="4">
        <v>0.75557577300000001</v>
      </c>
      <c r="F535" s="4" t="s">
        <v>2292</v>
      </c>
      <c r="G535" s="4">
        <v>1</v>
      </c>
      <c r="H535" s="4" t="s">
        <v>1279</v>
      </c>
      <c r="I535" s="4">
        <v>12</v>
      </c>
      <c r="J535" s="4" t="s">
        <v>1319</v>
      </c>
      <c r="K535" s="4" t="s">
        <v>2273</v>
      </c>
      <c r="L535" s="4">
        <v>1.0891427468435599</v>
      </c>
      <c r="M535" s="4">
        <v>7.0895226312794097</v>
      </c>
      <c r="N535" s="4">
        <v>1.7319117299495399</v>
      </c>
      <c r="O535" s="4">
        <v>2.20020010005002</v>
      </c>
    </row>
    <row r="536" spans="1:15">
      <c r="A536" s="4" t="s">
        <v>1281</v>
      </c>
      <c r="B536" s="4" t="s">
        <v>1400</v>
      </c>
      <c r="C536" s="4">
        <v>1.9579513120000001</v>
      </c>
      <c r="D536" s="4">
        <v>2.1010540459999998</v>
      </c>
      <c r="F536" s="4" t="s">
        <v>2292</v>
      </c>
      <c r="G536" s="4">
        <v>2</v>
      </c>
      <c r="H536" s="4" t="s">
        <v>1280</v>
      </c>
      <c r="I536" s="4">
        <v>12</v>
      </c>
      <c r="J536" s="4" t="s">
        <v>1319</v>
      </c>
      <c r="K536" s="4" t="s">
        <v>2273</v>
      </c>
      <c r="L536" s="4">
        <v>1.05826083033643</v>
      </c>
      <c r="M536" s="4">
        <v>7.2487808251501997</v>
      </c>
      <c r="N536" s="4">
        <v>1.5775962372524699</v>
      </c>
      <c r="O536" s="4">
        <v>3.3424712356178001</v>
      </c>
    </row>
    <row r="537" spans="1:15">
      <c r="A537" s="4" t="s">
        <v>1281</v>
      </c>
      <c r="B537" s="4" t="s">
        <v>1400</v>
      </c>
      <c r="C537" s="4">
        <v>1.989566867</v>
      </c>
      <c r="D537" s="4">
        <v>2.1004712809999999</v>
      </c>
      <c r="F537" s="4" t="s">
        <v>2292</v>
      </c>
      <c r="G537" s="4">
        <v>1</v>
      </c>
      <c r="H537" s="4" t="s">
        <v>1279</v>
      </c>
      <c r="I537" s="4">
        <v>13</v>
      </c>
      <c r="J537" s="4" t="s">
        <v>1319</v>
      </c>
      <c r="K537" s="4" t="s">
        <v>2274</v>
      </c>
      <c r="L537" s="4">
        <v>1.08542322960906</v>
      </c>
      <c r="M537" s="4">
        <v>7.0846412955714602</v>
      </c>
      <c r="N537" s="4">
        <v>1.71832521618309</v>
      </c>
      <c r="O537" s="4">
        <v>2.1952976488244098</v>
      </c>
    </row>
    <row r="538" spans="1:15">
      <c r="A538" s="4" t="s">
        <v>1281</v>
      </c>
      <c r="B538" s="4" t="s">
        <v>1400</v>
      </c>
      <c r="C538" s="4">
        <v>1.9294973129999999</v>
      </c>
      <c r="D538" s="4">
        <v>2.0449251469999998</v>
      </c>
      <c r="F538" s="4" t="s">
        <v>2292</v>
      </c>
      <c r="G538" s="4">
        <v>2</v>
      </c>
      <c r="H538" s="4" t="s">
        <v>1280</v>
      </c>
      <c r="I538" s="4">
        <v>13</v>
      </c>
      <c r="J538" s="4" t="s">
        <v>1319</v>
      </c>
      <c r="K538" s="4" t="s">
        <v>2274</v>
      </c>
      <c r="L538" s="4">
        <v>1.05552949886761</v>
      </c>
      <c r="M538" s="4">
        <v>7.2364408349171399</v>
      </c>
      <c r="N538" s="4">
        <v>1.5703790151850401</v>
      </c>
      <c r="O538" s="4">
        <v>3.3032516258129001</v>
      </c>
    </row>
    <row r="539" spans="1:15">
      <c r="A539" s="4" t="s">
        <v>1281</v>
      </c>
      <c r="B539" s="4" t="s">
        <v>1400</v>
      </c>
      <c r="C539" s="4">
        <v>1.733480873</v>
      </c>
      <c r="D539" s="4">
        <v>1.4434441499999999</v>
      </c>
      <c r="F539" s="4" t="s">
        <v>2292</v>
      </c>
      <c r="G539" s="4">
        <v>1</v>
      </c>
      <c r="H539" s="4" t="s">
        <v>1279</v>
      </c>
      <c r="I539" s="4">
        <v>14</v>
      </c>
      <c r="J539" s="4" t="s">
        <v>1281</v>
      </c>
      <c r="K539" s="4" t="s">
        <v>2275</v>
      </c>
      <c r="L539" s="4">
        <v>1.07487522898379</v>
      </c>
      <c r="M539" s="4">
        <v>6.8727749792718198</v>
      </c>
      <c r="N539" s="4">
        <v>1.72879343244761</v>
      </c>
      <c r="O539" s="4">
        <v>2.8326163081540701</v>
      </c>
    </row>
    <row r="540" spans="1:15">
      <c r="A540" s="4" t="s">
        <v>1281</v>
      </c>
      <c r="B540" s="4" t="s">
        <v>1400</v>
      </c>
      <c r="C540" s="4">
        <v>1.369901992</v>
      </c>
      <c r="D540" s="4">
        <v>1.0888945649999999</v>
      </c>
      <c r="F540" s="4" t="s">
        <v>2292</v>
      </c>
      <c r="G540" s="4">
        <v>2</v>
      </c>
      <c r="H540" s="4" t="s">
        <v>1280</v>
      </c>
      <c r="I540" s="4">
        <v>14</v>
      </c>
      <c r="J540" s="4" t="s">
        <v>1281</v>
      </c>
      <c r="K540" s="4" t="s">
        <v>2275</v>
      </c>
      <c r="L540" s="4">
        <v>1.0376308197405999</v>
      </c>
      <c r="M540" s="4">
        <v>7.0594082701213701</v>
      </c>
      <c r="N540" s="4">
        <v>1.5447653534158099</v>
      </c>
      <c r="O540" s="4">
        <v>4.3033516758379102</v>
      </c>
    </row>
    <row r="541" spans="1:15">
      <c r="A541" s="4" t="s">
        <v>1281</v>
      </c>
      <c r="B541" s="4" t="s">
        <v>1400</v>
      </c>
      <c r="C541" s="4">
        <v>0.69016756199999996</v>
      </c>
      <c r="D541" s="4">
        <v>0.80664377600000003</v>
      </c>
      <c r="F541" s="4" t="s">
        <v>2292</v>
      </c>
      <c r="G541" s="4">
        <v>1</v>
      </c>
      <c r="H541" s="4" t="s">
        <v>1279</v>
      </c>
      <c r="I541" s="4">
        <v>15</v>
      </c>
      <c r="J541" s="4" t="s">
        <v>2276</v>
      </c>
      <c r="K541" s="4" t="s">
        <v>2277</v>
      </c>
      <c r="L541" s="4">
        <v>0.98048220625626004</v>
      </c>
      <c r="M541" s="4">
        <v>5.8232815828257403</v>
      </c>
      <c r="N541" s="4">
        <v>1.6417779383805999</v>
      </c>
      <c r="O541" s="4">
        <v>6.8134067033516699</v>
      </c>
    </row>
    <row r="542" spans="1:15">
      <c r="A542" s="4" t="s">
        <v>1281</v>
      </c>
      <c r="B542" s="4" t="s">
        <v>1400</v>
      </c>
      <c r="C542" s="4">
        <v>0.63642111899999998</v>
      </c>
      <c r="D542" s="4">
        <v>0.77876782499999997</v>
      </c>
      <c r="F542" s="4" t="s">
        <v>2292</v>
      </c>
      <c r="G542" s="4">
        <v>2</v>
      </c>
      <c r="H542" s="4" t="s">
        <v>1280</v>
      </c>
      <c r="I542" s="4">
        <v>15</v>
      </c>
      <c r="J542" s="4" t="s">
        <v>2276</v>
      </c>
      <c r="K542" s="4" t="s">
        <v>2277</v>
      </c>
      <c r="L542" s="4">
        <v>0.92456093349054502</v>
      </c>
      <c r="M542" s="4">
        <v>6.03220206544992</v>
      </c>
      <c r="N542" s="4">
        <v>1.39342966628589</v>
      </c>
      <c r="O542" s="4">
        <v>9.9950975487743801</v>
      </c>
    </row>
    <row r="543" spans="1:15">
      <c r="A543" s="4" t="s">
        <v>1281</v>
      </c>
      <c r="B543" s="4" t="s">
        <v>1400</v>
      </c>
      <c r="C543" s="4">
        <v>0.47518178900000002</v>
      </c>
      <c r="D543" s="4">
        <v>0.75557577300000001</v>
      </c>
      <c r="F543" s="4" t="s">
        <v>2293</v>
      </c>
      <c r="G543" s="4">
        <v>1</v>
      </c>
      <c r="H543" s="4" t="s">
        <v>1279</v>
      </c>
      <c r="I543" s="4">
        <v>1</v>
      </c>
      <c r="J543" s="4" t="s">
        <v>196</v>
      </c>
      <c r="K543" s="4" t="s">
        <v>2255</v>
      </c>
      <c r="L543" s="4">
        <v>-1.3085696000143201</v>
      </c>
      <c r="M543" s="4">
        <v>4.3136785845607602E-2</v>
      </c>
      <c r="N543" s="4">
        <v>1.13915446729619</v>
      </c>
      <c r="O543" s="4">
        <v>10</v>
      </c>
    </row>
    <row r="544" spans="1:15">
      <c r="A544" s="4" t="s">
        <v>1281</v>
      </c>
      <c r="B544" s="4" t="s">
        <v>1400</v>
      </c>
      <c r="C544" s="4">
        <v>1.904204869</v>
      </c>
      <c r="D544" s="4">
        <v>2.0726156570000001</v>
      </c>
      <c r="F544" s="4" t="s">
        <v>2293</v>
      </c>
      <c r="G544" s="4">
        <v>2</v>
      </c>
      <c r="H544" s="4" t="s">
        <v>1280</v>
      </c>
      <c r="I544" s="4">
        <v>1</v>
      </c>
      <c r="J544" s="4" t="s">
        <v>196</v>
      </c>
      <c r="K544" s="4" t="s">
        <v>2255</v>
      </c>
      <c r="L544" s="4">
        <v>-1.3646252905485201</v>
      </c>
      <c r="M544" s="4">
        <v>4.3136785845604202E-2</v>
      </c>
      <c r="N544" s="4">
        <v>1.0012140307981401</v>
      </c>
      <c r="O544" s="4">
        <v>10</v>
      </c>
    </row>
    <row r="545" spans="1:15">
      <c r="A545" s="4" t="s">
        <v>1281</v>
      </c>
      <c r="B545" s="4" t="s">
        <v>1400</v>
      </c>
      <c r="C545" s="4">
        <v>2.0464748660000001</v>
      </c>
      <c r="D545" s="4">
        <v>2.0697121630000002</v>
      </c>
      <c r="F545" s="4" t="s">
        <v>2293</v>
      </c>
      <c r="G545" s="4">
        <v>1</v>
      </c>
      <c r="H545" s="4" t="s">
        <v>1279</v>
      </c>
      <c r="I545" s="4">
        <v>2</v>
      </c>
      <c r="J545" s="4" t="s">
        <v>196</v>
      </c>
      <c r="K545" s="4" t="s">
        <v>2256</v>
      </c>
      <c r="L545" s="4">
        <v>-0.95927826535953697</v>
      </c>
      <c r="M545" s="4">
        <v>9.5404960029286001E-2</v>
      </c>
      <c r="N545" s="4">
        <v>1.1511999994441</v>
      </c>
      <c r="O545" s="4">
        <v>10</v>
      </c>
    </row>
    <row r="546" spans="1:15">
      <c r="A546" s="4" t="s">
        <v>1281</v>
      </c>
      <c r="B546" s="4" t="s">
        <v>1400</v>
      </c>
      <c r="C546" s="4">
        <v>1.9358204240000001</v>
      </c>
      <c r="D546" s="4">
        <v>1.8312085979999999</v>
      </c>
      <c r="F546" s="4" t="s">
        <v>2293</v>
      </c>
      <c r="G546" s="4">
        <v>2</v>
      </c>
      <c r="H546" s="4" t="s">
        <v>1280</v>
      </c>
      <c r="I546" s="4">
        <v>2</v>
      </c>
      <c r="J546" s="4" t="s">
        <v>196</v>
      </c>
      <c r="K546" s="4" t="s">
        <v>2256</v>
      </c>
      <c r="L546" s="4">
        <v>-1.0192515229791701</v>
      </c>
      <c r="M546" s="4">
        <v>9.5404960029284697E-2</v>
      </c>
      <c r="N546" s="4">
        <v>1.0027150261608</v>
      </c>
      <c r="O546" s="4">
        <v>10</v>
      </c>
    </row>
    <row r="547" spans="1:15">
      <c r="A547" s="4" t="s">
        <v>1281</v>
      </c>
      <c r="B547" s="4" t="s">
        <v>1400</v>
      </c>
      <c r="C547" s="4">
        <v>1.414163769</v>
      </c>
      <c r="D547" s="4">
        <v>0.92367432699999996</v>
      </c>
      <c r="F547" s="4" t="s">
        <v>2293</v>
      </c>
      <c r="G547" s="4">
        <v>1</v>
      </c>
      <c r="H547" s="4" t="s">
        <v>1279</v>
      </c>
      <c r="I547" s="4">
        <v>3</v>
      </c>
      <c r="J547" s="4" t="s">
        <v>2257</v>
      </c>
      <c r="K547" s="4" t="s">
        <v>724</v>
      </c>
      <c r="L547" s="4">
        <v>9.9042424578387606E-2</v>
      </c>
      <c r="M547" s="4">
        <v>1.13634654942447</v>
      </c>
      <c r="N547" s="4">
        <v>1.10543096832619</v>
      </c>
      <c r="O547" s="4">
        <v>10</v>
      </c>
    </row>
    <row r="548" spans="1:15">
      <c r="A548" s="4" t="s">
        <v>1281</v>
      </c>
      <c r="B548" s="4" t="s">
        <v>1400</v>
      </c>
      <c r="C548" s="4">
        <v>0.98735377800000002</v>
      </c>
      <c r="D548" s="4">
        <v>0.75181856700000005</v>
      </c>
      <c r="F548" s="4" t="s">
        <v>2293</v>
      </c>
      <c r="G548" s="4">
        <v>2</v>
      </c>
      <c r="H548" s="4" t="s">
        <v>1280</v>
      </c>
      <c r="I548" s="4">
        <v>3</v>
      </c>
      <c r="J548" s="4" t="s">
        <v>2257</v>
      </c>
      <c r="K548" s="4" t="s">
        <v>724</v>
      </c>
      <c r="L548" s="4">
        <v>7.5625836863614695E-2</v>
      </c>
      <c r="M548" s="4">
        <v>1.13634654942447</v>
      </c>
      <c r="N548" s="4">
        <v>1.04740595642754</v>
      </c>
      <c r="O548" s="4">
        <v>10</v>
      </c>
    </row>
    <row r="549" spans="1:15">
      <c r="A549" s="4" t="s">
        <v>1281</v>
      </c>
      <c r="B549" s="4" t="s">
        <v>1400</v>
      </c>
      <c r="C549" s="4">
        <v>0.46885867799999997</v>
      </c>
      <c r="D549" s="4">
        <v>0.65403634200000005</v>
      </c>
      <c r="F549" s="4" t="s">
        <v>2293</v>
      </c>
      <c r="G549" s="4">
        <v>1</v>
      </c>
      <c r="H549" s="4" t="s">
        <v>1279</v>
      </c>
      <c r="I549" s="4">
        <v>4</v>
      </c>
      <c r="J549" s="4" t="s">
        <v>2258</v>
      </c>
      <c r="K549" s="4" t="s">
        <v>2259</v>
      </c>
      <c r="L549" s="4">
        <v>-2.2121206313005901</v>
      </c>
      <c r="M549" s="4">
        <v>5.9011451474513203E-3</v>
      </c>
      <c r="N549" s="4">
        <v>1.03978385994503</v>
      </c>
      <c r="O549" s="4">
        <v>10</v>
      </c>
    </row>
    <row r="550" spans="1:15">
      <c r="A550" s="4" t="s">
        <v>1281</v>
      </c>
      <c r="B550" s="4" t="s">
        <v>1400</v>
      </c>
      <c r="C550" s="4">
        <v>0.45305090100000001</v>
      </c>
      <c r="D550" s="4">
        <v>0.64477239099999994</v>
      </c>
      <c r="F550" s="4" t="s">
        <v>2293</v>
      </c>
      <c r="G550" s="4">
        <v>2</v>
      </c>
      <c r="H550" s="4" t="s">
        <v>1280</v>
      </c>
      <c r="I550" s="4">
        <v>4</v>
      </c>
      <c r="J550" s="4" t="s">
        <v>2258</v>
      </c>
      <c r="K550" s="4" t="s">
        <v>2259</v>
      </c>
      <c r="L550" s="4">
        <v>-2.2289921349767301</v>
      </c>
      <c r="M550" s="4">
        <v>5.9011451474475498E-3</v>
      </c>
      <c r="N550" s="4">
        <v>1.00016480529681</v>
      </c>
      <c r="O550" s="4">
        <v>10</v>
      </c>
    </row>
    <row r="551" spans="1:15">
      <c r="A551" s="4" t="s">
        <v>1281</v>
      </c>
      <c r="B551" s="4" t="s">
        <v>1400</v>
      </c>
      <c r="C551" s="4">
        <v>0.380335125</v>
      </c>
      <c r="D551" s="4">
        <v>0.63697636899999999</v>
      </c>
      <c r="F551" s="4" t="s">
        <v>2293</v>
      </c>
      <c r="G551" s="4">
        <v>1</v>
      </c>
      <c r="H551" s="4" t="s">
        <v>1279</v>
      </c>
      <c r="I551" s="4">
        <v>5</v>
      </c>
      <c r="J551" s="4" t="s">
        <v>2260</v>
      </c>
      <c r="K551" s="4" t="s">
        <v>2261</v>
      </c>
      <c r="L551" s="4">
        <v>-1.65133130241312</v>
      </c>
      <c r="M551" s="4">
        <v>1.99926405933166E-2</v>
      </c>
      <c r="N551" s="4">
        <v>1.11634527571369</v>
      </c>
      <c r="O551" s="4">
        <v>10</v>
      </c>
    </row>
    <row r="552" spans="1:15">
      <c r="A552" s="4" t="s">
        <v>1281</v>
      </c>
      <c r="B552" s="4" t="s">
        <v>1400</v>
      </c>
      <c r="C552" s="4">
        <v>1.8504584260000001</v>
      </c>
      <c r="D552" s="4">
        <v>2.0726156570000001</v>
      </c>
      <c r="F552" s="4" t="s">
        <v>2293</v>
      </c>
      <c r="G552" s="4">
        <v>2</v>
      </c>
      <c r="H552" s="4" t="s">
        <v>1280</v>
      </c>
      <c r="I552" s="4">
        <v>5</v>
      </c>
      <c r="J552" s="4" t="s">
        <v>2260</v>
      </c>
      <c r="K552" s="4" t="s">
        <v>2261</v>
      </c>
      <c r="L552" s="4">
        <v>-1.6988867181765801</v>
      </c>
      <c r="M552" s="4">
        <v>1.99926405933155E-2</v>
      </c>
      <c r="N552" s="4">
        <v>1.0005599682447901</v>
      </c>
      <c r="O552" s="4">
        <v>10</v>
      </c>
    </row>
    <row r="553" spans="1:15">
      <c r="A553" s="4" t="s">
        <v>1281</v>
      </c>
      <c r="B553" s="4" t="s">
        <v>1400</v>
      </c>
      <c r="C553" s="4">
        <v>1.9358204240000001</v>
      </c>
      <c r="D553" s="4">
        <v>2.0697121630000002</v>
      </c>
      <c r="F553" s="4" t="s">
        <v>2293</v>
      </c>
      <c r="G553" s="4">
        <v>1</v>
      </c>
      <c r="H553" s="4" t="s">
        <v>1279</v>
      </c>
      <c r="I553" s="4">
        <v>6</v>
      </c>
      <c r="J553" s="4" t="s">
        <v>2262</v>
      </c>
      <c r="K553" s="4" t="s">
        <v>2263</v>
      </c>
      <c r="L553" s="4">
        <v>-0.48809620056238501</v>
      </c>
      <c r="M553" s="4">
        <v>0.283156118417346</v>
      </c>
      <c r="N553" s="4">
        <v>1.14783073414026</v>
      </c>
      <c r="O553" s="4">
        <v>10</v>
      </c>
    </row>
    <row r="554" spans="1:15">
      <c r="A554" s="4" t="s">
        <v>1281</v>
      </c>
      <c r="B554" s="4" t="s">
        <v>1400</v>
      </c>
      <c r="C554" s="4">
        <v>1.983243756</v>
      </c>
      <c r="D554" s="4">
        <v>1.8312085979999999</v>
      </c>
      <c r="F554" s="4" t="s">
        <v>2293</v>
      </c>
      <c r="G554" s="4">
        <v>2</v>
      </c>
      <c r="H554" s="4" t="s">
        <v>1280</v>
      </c>
      <c r="I554" s="4">
        <v>6</v>
      </c>
      <c r="J554" s="4" t="s">
        <v>2262</v>
      </c>
      <c r="K554" s="4" t="s">
        <v>2263</v>
      </c>
      <c r="L554" s="4">
        <v>-0.54433609431895302</v>
      </c>
      <c r="M554" s="4">
        <v>0.283156118417345</v>
      </c>
      <c r="N554" s="4">
        <v>1.0084118846394901</v>
      </c>
      <c r="O554" s="4">
        <v>10</v>
      </c>
    </row>
    <row r="555" spans="1:15">
      <c r="A555" s="4" t="s">
        <v>1281</v>
      </c>
      <c r="B555" s="4" t="s">
        <v>1400</v>
      </c>
      <c r="C555" s="4">
        <v>1.3983559910000001</v>
      </c>
      <c r="D555" s="4">
        <v>0.92367432699999996</v>
      </c>
      <c r="F555" s="4" t="s">
        <v>2293</v>
      </c>
      <c r="G555" s="4">
        <v>1</v>
      </c>
      <c r="H555" s="4" t="s">
        <v>1279</v>
      </c>
      <c r="I555" s="4">
        <v>7</v>
      </c>
      <c r="J555" s="4" t="s">
        <v>2264</v>
      </c>
      <c r="K555" s="4" t="s">
        <v>2265</v>
      </c>
      <c r="L555" s="4">
        <v>-1.0181091551674899</v>
      </c>
      <c r="M555" s="4">
        <v>8.3251035858329103E-2</v>
      </c>
      <c r="N555" s="4">
        <v>1.1521292402831</v>
      </c>
      <c r="O555" s="4">
        <v>10</v>
      </c>
    </row>
    <row r="556" spans="1:15">
      <c r="A556" s="4" t="s">
        <v>1281</v>
      </c>
      <c r="B556" s="4" t="s">
        <v>1400</v>
      </c>
      <c r="C556" s="4">
        <v>1.0094846660000001</v>
      </c>
      <c r="D556" s="4">
        <v>0.75181856700000005</v>
      </c>
      <c r="F556" s="4" t="s">
        <v>2293</v>
      </c>
      <c r="G556" s="4">
        <v>2</v>
      </c>
      <c r="H556" s="4" t="s">
        <v>1280</v>
      </c>
      <c r="I556" s="4">
        <v>7</v>
      </c>
      <c r="J556" s="4" t="s">
        <v>2264</v>
      </c>
      <c r="K556" s="4" t="s">
        <v>2265</v>
      </c>
      <c r="L556" s="4">
        <v>-1.0785853393473701</v>
      </c>
      <c r="M556" s="4">
        <v>8.3251035858324898E-2</v>
      </c>
      <c r="N556" s="4">
        <v>1.0023629709788699</v>
      </c>
      <c r="O556" s="4">
        <v>10</v>
      </c>
    </row>
    <row r="557" spans="1:15">
      <c r="A557" s="4" t="s">
        <v>1281</v>
      </c>
      <c r="B557" s="4" t="s">
        <v>1400</v>
      </c>
      <c r="C557" s="4">
        <v>0.48782801100000001</v>
      </c>
      <c r="D557" s="4">
        <v>0.65403634200000005</v>
      </c>
      <c r="F557" s="4" t="s">
        <v>2293</v>
      </c>
      <c r="G557" s="4">
        <v>1</v>
      </c>
      <c r="H557" s="4" t="s">
        <v>1279</v>
      </c>
      <c r="I557" s="4">
        <v>8</v>
      </c>
      <c r="J557" s="4" t="s">
        <v>2266</v>
      </c>
      <c r="K557" s="4" t="s">
        <v>2267</v>
      </c>
      <c r="L557" s="4">
        <v>-1.15945848302184</v>
      </c>
      <c r="M557" s="4">
        <v>6.0249959870858398E-2</v>
      </c>
      <c r="N557" s="4">
        <v>1.14970059201091</v>
      </c>
      <c r="O557" s="4">
        <v>10</v>
      </c>
    </row>
    <row r="558" spans="1:15">
      <c r="A558" s="4" t="s">
        <v>1281</v>
      </c>
      <c r="B558" s="4" t="s">
        <v>1400</v>
      </c>
      <c r="C558" s="4">
        <v>0.43724312399999998</v>
      </c>
      <c r="D558" s="4">
        <v>0.64477239099999994</v>
      </c>
      <c r="F558" s="4" t="s">
        <v>2293</v>
      </c>
      <c r="G558" s="4">
        <v>2</v>
      </c>
      <c r="H558" s="4" t="s">
        <v>1280</v>
      </c>
      <c r="I558" s="4">
        <v>8</v>
      </c>
      <c r="J558" s="4" t="s">
        <v>2266</v>
      </c>
      <c r="K558" s="4" t="s">
        <v>2267</v>
      </c>
      <c r="L558" s="4">
        <v>-1.21930479662433</v>
      </c>
      <c r="M558" s="4">
        <v>6.0249959870859002E-2</v>
      </c>
      <c r="N558" s="4">
        <v>1.00170177050281</v>
      </c>
      <c r="O558" s="4">
        <v>10</v>
      </c>
    </row>
    <row r="559" spans="1:15">
      <c r="A559" s="4" t="s">
        <v>1281</v>
      </c>
      <c r="B559" s="4" t="s">
        <v>1400</v>
      </c>
      <c r="C559" s="4">
        <v>0.39930445799999997</v>
      </c>
      <c r="D559" s="4">
        <v>0.63697636899999999</v>
      </c>
      <c r="F559" s="4" t="s">
        <v>2293</v>
      </c>
      <c r="G559" s="4">
        <v>1</v>
      </c>
      <c r="H559" s="4" t="s">
        <v>1279</v>
      </c>
      <c r="I559" s="4">
        <v>9</v>
      </c>
      <c r="J559" s="4" t="s">
        <v>2268</v>
      </c>
      <c r="K559" s="4" t="s">
        <v>2269</v>
      </c>
      <c r="L559" s="4">
        <v>-1.38995534857393</v>
      </c>
      <c r="M559" s="4">
        <v>3.56733328186081E-2</v>
      </c>
      <c r="N559" s="4">
        <v>1.14209167476986</v>
      </c>
      <c r="O559" s="4">
        <v>10</v>
      </c>
    </row>
    <row r="560" spans="1:15">
      <c r="A560" s="4" t="s">
        <v>1281</v>
      </c>
      <c r="B560" s="4" t="s">
        <v>1400</v>
      </c>
      <c r="C560" s="4">
        <v>1.8820739799999999</v>
      </c>
      <c r="D560" s="4">
        <v>2.015647312</v>
      </c>
      <c r="F560" s="4" t="s">
        <v>2293</v>
      </c>
      <c r="G560" s="4">
        <v>2</v>
      </c>
      <c r="H560" s="4" t="s">
        <v>1280</v>
      </c>
      <c r="I560" s="4">
        <v>9</v>
      </c>
      <c r="J560" s="4" t="s">
        <v>2268</v>
      </c>
      <c r="K560" s="4" t="s">
        <v>2269</v>
      </c>
      <c r="L560" s="4">
        <v>-1.4472211876154999</v>
      </c>
      <c r="M560" s="4">
        <v>3.5673332818603798E-2</v>
      </c>
      <c r="N560" s="4">
        <v>1.00100241841329</v>
      </c>
      <c r="O560" s="4">
        <v>10</v>
      </c>
    </row>
    <row r="561" spans="1:15">
      <c r="A561" s="4" t="s">
        <v>1281</v>
      </c>
      <c r="B561" s="4" t="s">
        <v>1400</v>
      </c>
      <c r="C561" s="4">
        <v>1.983243756</v>
      </c>
      <c r="D561" s="4">
        <v>2.0083881130000001</v>
      </c>
      <c r="F561" s="4" t="s">
        <v>2293</v>
      </c>
      <c r="G561" s="4">
        <v>1</v>
      </c>
      <c r="H561" s="4" t="s">
        <v>1279</v>
      </c>
      <c r="I561" s="4">
        <v>10</v>
      </c>
      <c r="J561" s="4" t="s">
        <v>2270</v>
      </c>
      <c r="K561" s="4" t="s">
        <v>2271</v>
      </c>
      <c r="L561" s="4">
        <v>-0.51006854427647896</v>
      </c>
      <c r="M561" s="4">
        <v>0.26905907833426002</v>
      </c>
      <c r="N561" s="4">
        <v>1.14837520138773</v>
      </c>
      <c r="O561" s="4">
        <v>10</v>
      </c>
    </row>
    <row r="562" spans="1:15">
      <c r="A562" s="4" t="s">
        <v>1281</v>
      </c>
      <c r="B562" s="4" t="s">
        <v>1400</v>
      </c>
      <c r="C562" s="4">
        <v>1.897881758</v>
      </c>
      <c r="D562" s="4">
        <v>1.5371624850000001</v>
      </c>
      <c r="F562" s="4" t="s">
        <v>2293</v>
      </c>
      <c r="G562" s="4">
        <v>2</v>
      </c>
      <c r="H562" s="4" t="s">
        <v>1280</v>
      </c>
      <c r="I562" s="4">
        <v>10</v>
      </c>
      <c r="J562" s="4" t="s">
        <v>2270</v>
      </c>
      <c r="K562" s="4" t="s">
        <v>2271</v>
      </c>
      <c r="L562" s="4">
        <v>-0.56670653169534202</v>
      </c>
      <c r="M562" s="4">
        <v>0.26905907833425802</v>
      </c>
      <c r="N562" s="4">
        <v>1.0079658493369399</v>
      </c>
      <c r="O562" s="4">
        <v>10</v>
      </c>
    </row>
    <row r="563" spans="1:15">
      <c r="A563" s="4" t="s">
        <v>1281</v>
      </c>
      <c r="B563" s="4" t="s">
        <v>1400</v>
      </c>
      <c r="C563" s="4">
        <v>1.129623775</v>
      </c>
      <c r="D563" s="4">
        <v>0.73544162999999996</v>
      </c>
      <c r="F563" s="4" t="s">
        <v>2293</v>
      </c>
      <c r="G563" s="4">
        <v>1</v>
      </c>
      <c r="H563" s="4" t="s">
        <v>1279</v>
      </c>
      <c r="I563" s="4">
        <v>11</v>
      </c>
      <c r="J563" s="4" t="s">
        <v>1319</v>
      </c>
      <c r="K563" s="4" t="s">
        <v>2272</v>
      </c>
      <c r="L563" s="4">
        <v>4.3240002567685697E-2</v>
      </c>
      <c r="M563" s="4">
        <v>0.99147966274110999</v>
      </c>
      <c r="N563" s="4">
        <v>1.11418213903694</v>
      </c>
      <c r="O563" s="4">
        <v>10</v>
      </c>
    </row>
    <row r="564" spans="1:15">
      <c r="A564" s="4" t="s">
        <v>1281</v>
      </c>
      <c r="B564" s="4" t="s">
        <v>1400</v>
      </c>
      <c r="C564" s="4">
        <v>0.78817578200000005</v>
      </c>
      <c r="D564" s="4">
        <v>0.65155154999999998</v>
      </c>
      <c r="F564" s="4" t="s">
        <v>2293</v>
      </c>
      <c r="G564" s="4">
        <v>2</v>
      </c>
      <c r="H564" s="4" t="s">
        <v>1280</v>
      </c>
      <c r="I564" s="4">
        <v>11</v>
      </c>
      <c r="J564" s="4" t="s">
        <v>1319</v>
      </c>
      <c r="K564" s="4" t="s">
        <v>2272</v>
      </c>
      <c r="L564" s="4">
        <v>1.2348425929243E-2</v>
      </c>
      <c r="M564" s="4">
        <v>0.99147966274110599</v>
      </c>
      <c r="N564" s="4">
        <v>1.0376827937045301</v>
      </c>
      <c r="O564" s="4">
        <v>10</v>
      </c>
    </row>
    <row r="565" spans="1:15">
      <c r="A565" s="4" t="s">
        <v>1281</v>
      </c>
      <c r="B565" s="4" t="s">
        <v>1400</v>
      </c>
      <c r="C565" s="4">
        <v>0.39298134699999998</v>
      </c>
      <c r="D565" s="4">
        <v>0.60530015100000001</v>
      </c>
      <c r="F565" s="4" t="s">
        <v>2293</v>
      </c>
      <c r="G565" s="4">
        <v>1</v>
      </c>
      <c r="H565" s="4" t="s">
        <v>1279</v>
      </c>
      <c r="I565" s="4">
        <v>12</v>
      </c>
      <c r="J565" s="4" t="s">
        <v>1319</v>
      </c>
      <c r="K565" s="4" t="s">
        <v>2273</v>
      </c>
      <c r="L565" s="4">
        <v>-0.25357125964153399</v>
      </c>
      <c r="M565" s="4">
        <v>0.491248900235285</v>
      </c>
      <c r="N565" s="4">
        <v>1.1353431636292</v>
      </c>
      <c r="O565" s="4">
        <v>10</v>
      </c>
    </row>
    <row r="566" spans="1:15">
      <c r="A566" s="4" t="s">
        <v>1281</v>
      </c>
      <c r="B566" s="4" t="s">
        <v>1400</v>
      </c>
      <c r="C566" s="4">
        <v>0.374012014</v>
      </c>
      <c r="D566" s="4">
        <v>0.60078514100000002</v>
      </c>
      <c r="F566" s="4" t="s">
        <v>2293</v>
      </c>
      <c r="G566" s="4">
        <v>2</v>
      </c>
      <c r="H566" s="4" t="s">
        <v>1280</v>
      </c>
      <c r="I566" s="4">
        <v>12</v>
      </c>
      <c r="J566" s="4" t="s">
        <v>1319</v>
      </c>
      <c r="K566" s="4" t="s">
        <v>2273</v>
      </c>
      <c r="L566" s="4">
        <v>-0.30205418415046298</v>
      </c>
      <c r="M566" s="4">
        <v>0.491248900235287</v>
      </c>
      <c r="N566" s="4">
        <v>1.01541651995669</v>
      </c>
      <c r="O566" s="4">
        <v>10</v>
      </c>
    </row>
    <row r="567" spans="1:15">
      <c r="A567" s="4" t="s">
        <v>1281</v>
      </c>
      <c r="B567" s="4" t="s">
        <v>1400</v>
      </c>
      <c r="C567" s="4">
        <v>0.329750237</v>
      </c>
      <c r="D567" s="4">
        <v>0.59694395300000003</v>
      </c>
      <c r="F567" s="4" t="s">
        <v>2293</v>
      </c>
      <c r="G567" s="4">
        <v>1</v>
      </c>
      <c r="H567" s="4" t="s">
        <v>1279</v>
      </c>
      <c r="I567" s="4">
        <v>13</v>
      </c>
      <c r="J567" s="4" t="s">
        <v>1319</v>
      </c>
      <c r="K567" s="4" t="s">
        <v>2274</v>
      </c>
      <c r="L567" s="4">
        <v>-0.25190464087847297</v>
      </c>
      <c r="M567" s="4">
        <v>0.49532725674740302</v>
      </c>
      <c r="N567" s="4">
        <v>1.13032447686694</v>
      </c>
      <c r="O567" s="4">
        <v>10</v>
      </c>
    </row>
    <row r="568" spans="1:15">
      <c r="A568" s="4" t="s">
        <v>1281</v>
      </c>
      <c r="B568" s="4" t="s">
        <v>1400</v>
      </c>
      <c r="C568" s="4">
        <v>1.897881758</v>
      </c>
      <c r="D568" s="4">
        <v>2.015647312</v>
      </c>
      <c r="F568" s="4" t="s">
        <v>2293</v>
      </c>
      <c r="G568" s="4">
        <v>2</v>
      </c>
      <c r="H568" s="4" t="s">
        <v>1280</v>
      </c>
      <c r="I568" s="4">
        <v>13</v>
      </c>
      <c r="J568" s="4" t="s">
        <v>1319</v>
      </c>
      <c r="K568" s="4" t="s">
        <v>2274</v>
      </c>
      <c r="L568" s="4">
        <v>-0.29840063448703802</v>
      </c>
      <c r="M568" s="4">
        <v>0.49532725674740102</v>
      </c>
      <c r="N568" s="4">
        <v>1.0155636285213301</v>
      </c>
      <c r="O568" s="4">
        <v>10</v>
      </c>
    </row>
    <row r="569" spans="1:15">
      <c r="A569" s="4" t="s">
        <v>1281</v>
      </c>
      <c r="B569" s="4" t="s">
        <v>1400</v>
      </c>
      <c r="C569" s="4">
        <v>1.8631046469999999</v>
      </c>
      <c r="D569" s="4">
        <v>2.0083881130000001</v>
      </c>
      <c r="F569" s="4" t="s">
        <v>2293</v>
      </c>
      <c r="G569" s="4">
        <v>1</v>
      </c>
      <c r="H569" s="4" t="s">
        <v>1279</v>
      </c>
      <c r="I569" s="4">
        <v>14</v>
      </c>
      <c r="J569" s="4" t="s">
        <v>1281</v>
      </c>
      <c r="K569" s="4" t="s">
        <v>2275</v>
      </c>
      <c r="L569" s="4">
        <v>-0.43259541336410801</v>
      </c>
      <c r="M569" s="4">
        <v>0.32212544990432901</v>
      </c>
      <c r="N569" s="4">
        <v>1.1465144917469501</v>
      </c>
      <c r="O569" s="4">
        <v>10</v>
      </c>
    </row>
    <row r="570" spans="1:15">
      <c r="A570" s="4" t="s">
        <v>1281</v>
      </c>
      <c r="B570" s="4" t="s">
        <v>1400</v>
      </c>
      <c r="C570" s="4">
        <v>1.8631046469999999</v>
      </c>
      <c r="D570" s="4">
        <v>1.5371624850000001</v>
      </c>
      <c r="F570" s="4" t="s">
        <v>2293</v>
      </c>
      <c r="G570" s="4">
        <v>2</v>
      </c>
      <c r="H570" s="4" t="s">
        <v>1280</v>
      </c>
      <c r="I570" s="4">
        <v>14</v>
      </c>
      <c r="J570" s="4" t="s">
        <v>1281</v>
      </c>
      <c r="K570" s="4" t="s">
        <v>2275</v>
      </c>
      <c r="L570" s="4">
        <v>-0.48779893388951001</v>
      </c>
      <c r="M570" s="4">
        <v>0.32212544990432601</v>
      </c>
      <c r="N570" s="4">
        <v>1.0096620387741799</v>
      </c>
      <c r="O570" s="4">
        <v>10</v>
      </c>
    </row>
    <row r="571" spans="1:15">
      <c r="A571" s="4" t="s">
        <v>1281</v>
      </c>
      <c r="B571" s="4" t="s">
        <v>1400</v>
      </c>
      <c r="C571" s="4">
        <v>1.0505848879999999</v>
      </c>
      <c r="D571" s="4">
        <v>0.73544162999999996</v>
      </c>
      <c r="F571" s="4" t="s">
        <v>2293</v>
      </c>
      <c r="G571" s="4">
        <v>1</v>
      </c>
      <c r="H571" s="4" t="s">
        <v>1279</v>
      </c>
      <c r="I571" s="4">
        <v>15</v>
      </c>
      <c r="J571" s="4" t="s">
        <v>2276</v>
      </c>
      <c r="K571" s="4" t="s">
        <v>2277</v>
      </c>
      <c r="L571" s="4">
        <v>-1.12270572018994</v>
      </c>
      <c r="M571" s="4">
        <v>6.5350919331962007E-2</v>
      </c>
      <c r="N571" s="4">
        <v>1.1535663482656699</v>
      </c>
      <c r="O571" s="4">
        <v>10</v>
      </c>
    </row>
    <row r="572" spans="1:15">
      <c r="A572" s="4" t="s">
        <v>1281</v>
      </c>
      <c r="B572" s="4" t="s">
        <v>1400</v>
      </c>
      <c r="C572" s="4">
        <v>0.76288333900000005</v>
      </c>
      <c r="D572" s="4">
        <v>0.65155154999999998</v>
      </c>
      <c r="F572" s="4" t="s">
        <v>2293</v>
      </c>
      <c r="G572" s="4">
        <v>2</v>
      </c>
      <c r="H572" s="4" t="s">
        <v>1280</v>
      </c>
      <c r="I572" s="4">
        <v>15</v>
      </c>
      <c r="J572" s="4" t="s">
        <v>2276</v>
      </c>
      <c r="K572" s="4" t="s">
        <v>2277</v>
      </c>
      <c r="L572" s="4">
        <v>-1.1839465319341</v>
      </c>
      <c r="M572" s="4">
        <v>6.5350919331962104E-2</v>
      </c>
      <c r="N572" s="4">
        <v>1.0018478410164899</v>
      </c>
      <c r="O572" s="4">
        <v>10</v>
      </c>
    </row>
    <row r="573" spans="1:15">
      <c r="A573" s="4" t="s">
        <v>1281</v>
      </c>
      <c r="B573" s="4" t="s">
        <v>1400</v>
      </c>
      <c r="C573" s="4">
        <v>0.38981979100000003</v>
      </c>
      <c r="D573" s="4">
        <v>0.60530015100000001</v>
      </c>
    </row>
    <row r="574" spans="1:15">
      <c r="A574" s="4" t="s">
        <v>1281</v>
      </c>
      <c r="B574" s="4" t="s">
        <v>1400</v>
      </c>
      <c r="C574" s="4">
        <v>0.364527347</v>
      </c>
      <c r="D574" s="4">
        <v>0.60078514100000002</v>
      </c>
    </row>
    <row r="575" spans="1:15">
      <c r="A575" s="4" t="s">
        <v>1281</v>
      </c>
      <c r="B575" s="4" t="s">
        <v>1400</v>
      </c>
      <c r="C575" s="4">
        <v>0.30761934899999999</v>
      </c>
      <c r="D575" s="4">
        <v>0.59694395300000003</v>
      </c>
    </row>
    <row r="576" spans="1:15">
      <c r="A576" s="4" t="s">
        <v>168</v>
      </c>
      <c r="B576" s="4" t="s">
        <v>1401</v>
      </c>
      <c r="C576" s="4">
        <v>1.020352782</v>
      </c>
      <c r="D576" s="4">
        <v>1.1612623230000001</v>
      </c>
    </row>
    <row r="577" spans="1:4">
      <c r="A577" s="4" t="s">
        <v>168</v>
      </c>
      <c r="B577" s="4" t="s">
        <v>1401</v>
      </c>
      <c r="C577" s="4">
        <v>1.237449118</v>
      </c>
      <c r="D577" s="4">
        <v>1.161262322</v>
      </c>
    </row>
    <row r="578" spans="1:4">
      <c r="A578" s="4" t="s">
        <v>168</v>
      </c>
      <c r="B578" s="4" t="s">
        <v>1401</v>
      </c>
      <c r="C578" s="4">
        <v>1.169606513</v>
      </c>
      <c r="D578" s="4">
        <v>1.161262222</v>
      </c>
    </row>
    <row r="579" spans="1:4">
      <c r="A579" s="4" t="s">
        <v>168</v>
      </c>
      <c r="B579" s="4" t="s">
        <v>1401</v>
      </c>
      <c r="C579" s="4">
        <v>1.1994572590000001</v>
      </c>
      <c r="D579" s="4">
        <v>1.1612598350000001</v>
      </c>
    </row>
    <row r="580" spans="1:4">
      <c r="A580" s="4" t="s">
        <v>168</v>
      </c>
      <c r="B580" s="4" t="s">
        <v>1401</v>
      </c>
      <c r="C580" s="4">
        <v>1.229308005</v>
      </c>
      <c r="D580" s="4">
        <v>1.161252663</v>
      </c>
    </row>
    <row r="581" spans="1:4">
      <c r="A581" s="4" t="s">
        <v>168</v>
      </c>
      <c r="B581" s="4" t="s">
        <v>1401</v>
      </c>
      <c r="C581" s="4">
        <v>1.0583446400000001</v>
      </c>
      <c r="D581" s="4">
        <v>1.1610849990000001</v>
      </c>
    </row>
    <row r="582" spans="1:4">
      <c r="A582" s="4" t="s">
        <v>168</v>
      </c>
      <c r="B582" s="4" t="s">
        <v>1401</v>
      </c>
      <c r="C582" s="4">
        <v>1.4192673</v>
      </c>
      <c r="D582" s="4">
        <v>1.1608021239999999</v>
      </c>
    </row>
    <row r="583" spans="1:4">
      <c r="A583" s="4" t="s">
        <v>168</v>
      </c>
      <c r="B583" s="4" t="s">
        <v>1401</v>
      </c>
      <c r="C583" s="4">
        <v>1.3921302579999999</v>
      </c>
      <c r="D583" s="4">
        <v>1.159648276</v>
      </c>
    </row>
    <row r="584" spans="1:4">
      <c r="A584" s="4" t="s">
        <v>168</v>
      </c>
      <c r="B584" s="4" t="s">
        <v>1401</v>
      </c>
      <c r="C584" s="4">
        <v>1.12890095</v>
      </c>
      <c r="D584" s="4">
        <v>1.1612623230000001</v>
      </c>
    </row>
    <row r="585" spans="1:4">
      <c r="A585" s="4" t="s">
        <v>168</v>
      </c>
      <c r="B585" s="4" t="s">
        <v>1401</v>
      </c>
      <c r="C585" s="4">
        <v>1.194029851</v>
      </c>
      <c r="D585" s="4">
        <v>1.161262322</v>
      </c>
    </row>
    <row r="586" spans="1:4">
      <c r="A586" s="4" t="s">
        <v>168</v>
      </c>
      <c r="B586" s="4" t="s">
        <v>1401</v>
      </c>
      <c r="C586" s="4">
        <v>1.2537313430000001</v>
      </c>
      <c r="D586" s="4">
        <v>1.161262222</v>
      </c>
    </row>
    <row r="587" spans="1:4">
      <c r="A587" s="4" t="s">
        <v>168</v>
      </c>
      <c r="B587" s="4" t="s">
        <v>1401</v>
      </c>
      <c r="C587" s="4">
        <v>1.3052917230000001</v>
      </c>
      <c r="D587" s="4">
        <v>1.1612598350000001</v>
      </c>
    </row>
    <row r="588" spans="1:4">
      <c r="A588" s="4" t="s">
        <v>168</v>
      </c>
      <c r="B588" s="4" t="s">
        <v>1401</v>
      </c>
      <c r="C588" s="4">
        <v>1.4355495250000001</v>
      </c>
      <c r="D588" s="4">
        <v>1.161252663</v>
      </c>
    </row>
    <row r="589" spans="1:4">
      <c r="A589" s="4" t="s">
        <v>168</v>
      </c>
      <c r="B589" s="4" t="s">
        <v>1401</v>
      </c>
      <c r="C589" s="4">
        <v>1.175033921</v>
      </c>
      <c r="D589" s="4">
        <v>1.1610849990000001</v>
      </c>
    </row>
    <row r="590" spans="1:4">
      <c r="A590" s="4" t="s">
        <v>168</v>
      </c>
      <c r="B590" s="4" t="s">
        <v>1401</v>
      </c>
      <c r="C590" s="4">
        <v>1.3731343279999999</v>
      </c>
      <c r="D590" s="4">
        <v>1.1608021239999999</v>
      </c>
    </row>
    <row r="591" spans="1:4">
      <c r="A591" s="4" t="s">
        <v>168</v>
      </c>
      <c r="B591" s="4" t="s">
        <v>1401</v>
      </c>
      <c r="C591" s="4">
        <v>1.405698779</v>
      </c>
      <c r="D591" s="4">
        <v>1.159648276</v>
      </c>
    </row>
    <row r="592" spans="1:4">
      <c r="A592" s="4" t="s">
        <v>168</v>
      </c>
      <c r="B592" s="4" t="s">
        <v>1401</v>
      </c>
      <c r="C592" s="4">
        <v>1.175033921</v>
      </c>
      <c r="D592" s="4">
        <v>1.1612610370000001</v>
      </c>
    </row>
    <row r="593" spans="1:4">
      <c r="A593" s="4" t="s">
        <v>168</v>
      </c>
      <c r="B593" s="4" t="s">
        <v>1401</v>
      </c>
      <c r="C593" s="4">
        <v>1.3052917230000001</v>
      </c>
      <c r="D593" s="4">
        <v>1.1612609270000001</v>
      </c>
    </row>
    <row r="594" spans="1:4">
      <c r="A594" s="4" t="s">
        <v>168</v>
      </c>
      <c r="B594" s="4" t="s">
        <v>1401</v>
      </c>
      <c r="C594" s="4">
        <v>1.343283582</v>
      </c>
      <c r="D594" s="4">
        <v>1.161249977</v>
      </c>
    </row>
    <row r="595" spans="1:4">
      <c r="A595" s="4" t="s">
        <v>168</v>
      </c>
      <c r="B595" s="4" t="s">
        <v>1401</v>
      </c>
      <c r="C595" s="4">
        <v>1.4274084119999999</v>
      </c>
      <c r="D595" s="4">
        <v>1.1609945150000001</v>
      </c>
    </row>
    <row r="596" spans="1:4">
      <c r="A596" s="4" t="s">
        <v>168</v>
      </c>
      <c r="B596" s="4" t="s">
        <v>1401</v>
      </c>
      <c r="C596" s="4">
        <v>1.4681139759999999</v>
      </c>
      <c r="D596" s="4">
        <v>1.160271023</v>
      </c>
    </row>
    <row r="597" spans="1:4">
      <c r="A597" s="4" t="s">
        <v>168</v>
      </c>
      <c r="B597" s="4" t="s">
        <v>1401</v>
      </c>
      <c r="C597" s="4">
        <v>1.1614654</v>
      </c>
      <c r="D597" s="4">
        <v>1.151388291</v>
      </c>
    </row>
    <row r="598" spans="1:4">
      <c r="A598" s="4" t="s">
        <v>168</v>
      </c>
      <c r="B598" s="4" t="s">
        <v>1401</v>
      </c>
      <c r="C598" s="4">
        <v>1.289009498</v>
      </c>
      <c r="D598" s="4">
        <v>1.145449669</v>
      </c>
    </row>
    <row r="599" spans="1:4">
      <c r="A599" s="4" t="s">
        <v>168</v>
      </c>
      <c r="B599" s="4" t="s">
        <v>1401</v>
      </c>
      <c r="C599" s="4">
        <v>1.343283582</v>
      </c>
      <c r="D599" s="4">
        <v>1.1363720100000001</v>
      </c>
    </row>
    <row r="600" spans="1:4">
      <c r="A600" s="4" t="s">
        <v>168</v>
      </c>
      <c r="B600" s="4" t="s">
        <v>1401</v>
      </c>
      <c r="C600" s="4">
        <v>1.1451831750000001</v>
      </c>
      <c r="D600" s="4">
        <v>1.1612610370000001</v>
      </c>
    </row>
    <row r="601" spans="1:4">
      <c r="A601" s="4" t="s">
        <v>168</v>
      </c>
      <c r="B601" s="4" t="s">
        <v>1401</v>
      </c>
      <c r="C601" s="4">
        <v>1.278154681</v>
      </c>
      <c r="D601" s="4">
        <v>1.1612609270000001</v>
      </c>
    </row>
    <row r="602" spans="1:4">
      <c r="A602" s="4" t="s">
        <v>168</v>
      </c>
      <c r="B602" s="4" t="s">
        <v>1401</v>
      </c>
      <c r="C602" s="4">
        <v>1.4274084119999999</v>
      </c>
      <c r="D602" s="4">
        <v>1.161249977</v>
      </c>
    </row>
    <row r="603" spans="1:4">
      <c r="A603" s="4" t="s">
        <v>168</v>
      </c>
      <c r="B603" s="4" t="s">
        <v>1401</v>
      </c>
      <c r="C603" s="4">
        <v>1.473541384</v>
      </c>
      <c r="D603" s="4">
        <v>1.1609945150000001</v>
      </c>
    </row>
    <row r="604" spans="1:4">
      <c r="A604" s="4" t="s">
        <v>168</v>
      </c>
      <c r="B604" s="4" t="s">
        <v>1401</v>
      </c>
      <c r="C604" s="4">
        <v>1.4464043419999999</v>
      </c>
      <c r="D604" s="4">
        <v>1.160271023</v>
      </c>
    </row>
    <row r="605" spans="1:4">
      <c r="A605" s="4" t="s">
        <v>168</v>
      </c>
      <c r="B605" s="4" t="s">
        <v>1401</v>
      </c>
      <c r="C605" s="4">
        <v>1.1533242880000001</v>
      </c>
      <c r="D605" s="4">
        <v>1.151388291</v>
      </c>
    </row>
    <row r="606" spans="1:4">
      <c r="A606" s="4" t="s">
        <v>168</v>
      </c>
      <c r="B606" s="4" t="s">
        <v>1401</v>
      </c>
      <c r="C606" s="4">
        <v>1.297150611</v>
      </c>
      <c r="D606" s="4">
        <v>1.145449669</v>
      </c>
    </row>
    <row r="607" spans="1:4">
      <c r="A607" s="4" t="s">
        <v>168</v>
      </c>
      <c r="B607" s="4" t="s">
        <v>1401</v>
      </c>
      <c r="C607" s="4">
        <v>1.408412483</v>
      </c>
      <c r="D607" s="4">
        <v>1.1363720100000001</v>
      </c>
    </row>
    <row r="608" spans="1:4">
      <c r="A608" s="4" t="s">
        <v>168</v>
      </c>
      <c r="B608" s="4" t="s">
        <v>1401</v>
      </c>
      <c r="C608" s="4">
        <v>1.139755767</v>
      </c>
      <c r="D608" s="4">
        <v>1.161210348</v>
      </c>
    </row>
    <row r="609" spans="1:4">
      <c r="A609" s="4" t="s">
        <v>168</v>
      </c>
      <c r="B609" s="4" t="s">
        <v>1401</v>
      </c>
      <c r="C609" s="4">
        <v>1.280868385</v>
      </c>
      <c r="D609" s="4">
        <v>1.1612059640000001</v>
      </c>
    </row>
    <row r="610" spans="1:4">
      <c r="A610" s="4" t="s">
        <v>168</v>
      </c>
      <c r="B610" s="4" t="s">
        <v>1401</v>
      </c>
      <c r="C610" s="4">
        <v>1.4545454550000001</v>
      </c>
      <c r="D610" s="4">
        <v>1.1607695920000001</v>
      </c>
    </row>
    <row r="611" spans="1:4">
      <c r="A611" s="4" t="s">
        <v>168</v>
      </c>
      <c r="B611" s="4" t="s">
        <v>1401</v>
      </c>
      <c r="C611" s="4">
        <v>1.530529172</v>
      </c>
      <c r="D611" s="4">
        <v>1.151492843</v>
      </c>
    </row>
    <row r="612" spans="1:4">
      <c r="A612" s="4" t="s">
        <v>168</v>
      </c>
      <c r="B612" s="4" t="s">
        <v>1401</v>
      </c>
      <c r="C612" s="4">
        <v>1.3948439619999999</v>
      </c>
      <c r="D612" s="4">
        <v>1.131676831</v>
      </c>
    </row>
    <row r="613" spans="1:4">
      <c r="A613" s="4" t="s">
        <v>168</v>
      </c>
      <c r="B613" s="4" t="s">
        <v>1401</v>
      </c>
      <c r="C613" s="4">
        <v>0.982360923</v>
      </c>
      <c r="D613" s="4">
        <v>1.0494385319999999</v>
      </c>
    </row>
    <row r="614" spans="1:4">
      <c r="A614" s="4" t="s">
        <v>168</v>
      </c>
      <c r="B614" s="4" t="s">
        <v>1401</v>
      </c>
      <c r="C614" s="4">
        <v>1.020352782</v>
      </c>
      <c r="D614" s="4">
        <v>1.026434625</v>
      </c>
    </row>
    <row r="615" spans="1:4">
      <c r="A615" s="4" t="s">
        <v>168</v>
      </c>
      <c r="B615" s="4" t="s">
        <v>1401</v>
      </c>
      <c r="C615" s="4">
        <v>1.0502035279999999</v>
      </c>
      <c r="D615" s="4">
        <v>1.001853635</v>
      </c>
    </row>
    <row r="616" spans="1:4">
      <c r="A616" s="4" t="s">
        <v>168</v>
      </c>
      <c r="B616" s="4" t="s">
        <v>1401</v>
      </c>
      <c r="C616" s="4">
        <v>1.183175034</v>
      </c>
      <c r="D616" s="4">
        <v>1.161210348</v>
      </c>
    </row>
    <row r="617" spans="1:4">
      <c r="A617" s="4" t="s">
        <v>168</v>
      </c>
      <c r="B617" s="4" t="s">
        <v>1401</v>
      </c>
      <c r="C617" s="4">
        <v>1.3215739479999999</v>
      </c>
      <c r="D617" s="4">
        <v>1.1612059640000001</v>
      </c>
    </row>
    <row r="618" spans="1:4">
      <c r="A618" s="4" t="s">
        <v>168</v>
      </c>
      <c r="B618" s="4" t="s">
        <v>1401</v>
      </c>
      <c r="C618" s="4">
        <v>1.2021709629999999</v>
      </c>
      <c r="D618" s="4">
        <v>1.1607695920000001</v>
      </c>
    </row>
    <row r="619" spans="1:4">
      <c r="A619" s="4" t="s">
        <v>168</v>
      </c>
      <c r="B619" s="4" t="s">
        <v>1401</v>
      </c>
      <c r="C619" s="4">
        <v>1.3270013570000001</v>
      </c>
      <c r="D619" s="4">
        <v>1.151492843</v>
      </c>
    </row>
    <row r="620" spans="1:4">
      <c r="A620" s="4" t="s">
        <v>168</v>
      </c>
      <c r="B620" s="4" t="s">
        <v>1401</v>
      </c>
      <c r="C620" s="4">
        <v>1.2130257799999999</v>
      </c>
      <c r="D620" s="4">
        <v>1.131676831</v>
      </c>
    </row>
    <row r="621" spans="1:4">
      <c r="A621" s="4" t="s">
        <v>168</v>
      </c>
      <c r="B621" s="4" t="s">
        <v>1401</v>
      </c>
      <c r="C621" s="4">
        <v>0.990502035</v>
      </c>
      <c r="D621" s="4">
        <v>1.0494385319999999</v>
      </c>
    </row>
    <row r="622" spans="1:4">
      <c r="A622" s="4" t="s">
        <v>168</v>
      </c>
      <c r="B622" s="4" t="s">
        <v>1401</v>
      </c>
      <c r="C622" s="4">
        <v>1.061058345</v>
      </c>
      <c r="D622" s="4">
        <v>1.026434625</v>
      </c>
    </row>
    <row r="623" spans="1:4">
      <c r="A623" s="4" t="s">
        <v>168</v>
      </c>
      <c r="B623" s="4" t="s">
        <v>1401</v>
      </c>
      <c r="C623" s="4">
        <v>1.0339213030000001</v>
      </c>
      <c r="D623" s="4">
        <v>1.001853635</v>
      </c>
    </row>
    <row r="624" spans="1:4">
      <c r="A624" s="4" t="s">
        <v>168</v>
      </c>
      <c r="B624" s="4" t="s">
        <v>1401</v>
      </c>
      <c r="C624" s="4">
        <v>1.175033921</v>
      </c>
      <c r="D624" s="4">
        <v>1.160910919</v>
      </c>
    </row>
    <row r="625" spans="1:4">
      <c r="A625" s="4" t="s">
        <v>168</v>
      </c>
      <c r="B625" s="4" t="s">
        <v>1401</v>
      </c>
      <c r="C625" s="4">
        <v>1.245590231</v>
      </c>
      <c r="D625" s="4">
        <v>1.160881319</v>
      </c>
    </row>
    <row r="626" spans="1:4">
      <c r="A626" s="4" t="s">
        <v>168</v>
      </c>
      <c r="B626" s="4" t="s">
        <v>1401</v>
      </c>
      <c r="C626" s="4">
        <v>1.2401628220000001</v>
      </c>
      <c r="D626" s="4">
        <v>1.157961383</v>
      </c>
    </row>
    <row r="627" spans="1:4">
      <c r="A627" s="4" t="s">
        <v>168</v>
      </c>
      <c r="B627" s="4" t="s">
        <v>1401</v>
      </c>
      <c r="C627" s="4">
        <v>1.150610583</v>
      </c>
      <c r="D627" s="4">
        <v>1.1056469470000001</v>
      </c>
    </row>
    <row r="628" spans="1:4">
      <c r="A628" s="4" t="s">
        <v>168</v>
      </c>
      <c r="B628" s="4" t="s">
        <v>1401</v>
      </c>
      <c r="C628" s="4">
        <v>1.044776119</v>
      </c>
      <c r="D628" s="4">
        <v>1.0294000350000001</v>
      </c>
    </row>
    <row r="629" spans="1:4">
      <c r="A629" s="4" t="s">
        <v>168</v>
      </c>
      <c r="B629" s="4" t="s">
        <v>1401</v>
      </c>
      <c r="C629" s="4">
        <v>0.78154681100000001</v>
      </c>
      <c r="D629" s="4">
        <v>0.86337451600000004</v>
      </c>
    </row>
    <row r="630" spans="1:4">
      <c r="A630" s="4" t="s">
        <v>168</v>
      </c>
      <c r="B630" s="4" t="s">
        <v>1401</v>
      </c>
      <c r="C630" s="4">
        <v>0.81139755800000002</v>
      </c>
      <c r="D630" s="4">
        <v>0.83198143300000005</v>
      </c>
    </row>
    <row r="631" spans="1:4">
      <c r="A631" s="4" t="s">
        <v>168</v>
      </c>
      <c r="B631" s="4" t="s">
        <v>1401</v>
      </c>
      <c r="C631" s="4">
        <v>0.79511533199999995</v>
      </c>
      <c r="D631" s="4">
        <v>0.80164117700000004</v>
      </c>
    </row>
    <row r="632" spans="1:4">
      <c r="A632" s="4" t="s">
        <v>168</v>
      </c>
      <c r="B632" s="4" t="s">
        <v>1401</v>
      </c>
      <c r="C632" s="4">
        <v>1.1126187249999999</v>
      </c>
      <c r="D632" s="4">
        <v>1.160910919</v>
      </c>
    </row>
    <row r="633" spans="1:4">
      <c r="A633" s="4" t="s">
        <v>168</v>
      </c>
      <c r="B633" s="4" t="s">
        <v>1401</v>
      </c>
      <c r="C633" s="4">
        <v>1.204884668</v>
      </c>
      <c r="D633" s="4">
        <v>1.160881319</v>
      </c>
    </row>
    <row r="634" spans="1:4">
      <c r="A634" s="4" t="s">
        <v>168</v>
      </c>
      <c r="B634" s="4" t="s">
        <v>1401</v>
      </c>
      <c r="C634" s="4">
        <v>1.2184531890000001</v>
      </c>
      <c r="D634" s="4">
        <v>1.157961383</v>
      </c>
    </row>
    <row r="635" spans="1:4">
      <c r="A635" s="4" t="s">
        <v>168</v>
      </c>
      <c r="B635" s="4" t="s">
        <v>1401</v>
      </c>
      <c r="C635" s="4">
        <v>1.139755767</v>
      </c>
      <c r="D635" s="4">
        <v>1.1056469470000001</v>
      </c>
    </row>
    <row r="636" spans="1:4">
      <c r="A636" s="4" t="s">
        <v>168</v>
      </c>
      <c r="B636" s="4" t="s">
        <v>1401</v>
      </c>
      <c r="C636" s="4">
        <v>1.0474898239999999</v>
      </c>
      <c r="D636" s="4">
        <v>1.0294000350000001</v>
      </c>
    </row>
    <row r="637" spans="1:4">
      <c r="A637" s="4" t="s">
        <v>168</v>
      </c>
      <c r="B637" s="4" t="s">
        <v>1401</v>
      </c>
      <c r="C637" s="4">
        <v>0.773405699</v>
      </c>
      <c r="D637" s="4">
        <v>0.86337451600000004</v>
      </c>
    </row>
    <row r="638" spans="1:4">
      <c r="A638" s="4" t="s">
        <v>168</v>
      </c>
      <c r="B638" s="4" t="s">
        <v>1401</v>
      </c>
      <c r="C638" s="4">
        <v>0.827679783</v>
      </c>
      <c r="D638" s="4">
        <v>0.83198143300000005</v>
      </c>
    </row>
    <row r="639" spans="1:4">
      <c r="A639" s="4" t="s">
        <v>168</v>
      </c>
      <c r="B639" s="4" t="s">
        <v>1401</v>
      </c>
      <c r="C639" s="4">
        <v>0.73541383999999999</v>
      </c>
      <c r="D639" s="4">
        <v>0.80164117700000004</v>
      </c>
    </row>
    <row r="640" spans="1:4">
      <c r="A640" s="4" t="s">
        <v>168</v>
      </c>
      <c r="B640" s="4" t="s">
        <v>1401</v>
      </c>
      <c r="C640" s="4">
        <v>1.1234735410000001</v>
      </c>
      <c r="D640" s="4">
        <v>1.1594418419999999</v>
      </c>
    </row>
    <row r="641" spans="1:4">
      <c r="A641" s="4" t="s">
        <v>168</v>
      </c>
      <c r="B641" s="4" t="s">
        <v>1401</v>
      </c>
      <c r="C641" s="4">
        <v>1.2130257799999999</v>
      </c>
      <c r="D641" s="4">
        <v>1.1592889689999999</v>
      </c>
    </row>
    <row r="642" spans="1:4">
      <c r="A642" s="4" t="s">
        <v>168</v>
      </c>
      <c r="B642" s="4" t="s">
        <v>1401</v>
      </c>
      <c r="C642" s="4">
        <v>1.183175034</v>
      </c>
      <c r="D642" s="4">
        <v>1.144552902</v>
      </c>
    </row>
    <row r="643" spans="1:4">
      <c r="A643" s="4" t="s">
        <v>168</v>
      </c>
      <c r="B643" s="4" t="s">
        <v>1401</v>
      </c>
      <c r="C643" s="4">
        <v>0.97421981000000002</v>
      </c>
      <c r="D643" s="4">
        <v>0.95571297700000002</v>
      </c>
    </row>
    <row r="644" spans="1:4">
      <c r="A644" s="4" t="s">
        <v>168</v>
      </c>
      <c r="B644" s="4" t="s">
        <v>1401</v>
      </c>
      <c r="C644" s="4">
        <v>0.84667571200000002</v>
      </c>
      <c r="D644" s="4">
        <v>0.79630159099999998</v>
      </c>
    </row>
    <row r="645" spans="1:4">
      <c r="A645" s="4" t="s">
        <v>168</v>
      </c>
      <c r="B645" s="4" t="s">
        <v>1401</v>
      </c>
      <c r="C645" s="4">
        <v>0.57259158799999998</v>
      </c>
      <c r="D645" s="4">
        <v>0.59151669100000004</v>
      </c>
    </row>
    <row r="646" spans="1:4">
      <c r="A646" s="4" t="s">
        <v>168</v>
      </c>
      <c r="B646" s="4" t="s">
        <v>1401</v>
      </c>
      <c r="C646" s="4">
        <v>0.59430122100000005</v>
      </c>
      <c r="D646" s="4">
        <v>0.56198974300000004</v>
      </c>
    </row>
    <row r="647" spans="1:4">
      <c r="A647" s="4" t="s">
        <v>168</v>
      </c>
      <c r="B647" s="4" t="s">
        <v>1401</v>
      </c>
      <c r="C647" s="4">
        <v>0.53731343300000001</v>
      </c>
      <c r="D647" s="4">
        <v>0.53499313000000004</v>
      </c>
    </row>
    <row r="648" spans="1:4">
      <c r="A648" s="4" t="s">
        <v>168</v>
      </c>
      <c r="B648" s="4" t="s">
        <v>1401</v>
      </c>
      <c r="C648" s="4">
        <v>1.120759837</v>
      </c>
      <c r="D648" s="4">
        <v>1.1594418419999999</v>
      </c>
    </row>
    <row r="649" spans="1:4">
      <c r="A649" s="4" t="s">
        <v>168</v>
      </c>
      <c r="B649" s="4" t="s">
        <v>1401</v>
      </c>
      <c r="C649" s="4">
        <v>1.2103120759999999</v>
      </c>
      <c r="D649" s="4">
        <v>1.1592889689999999</v>
      </c>
    </row>
    <row r="650" spans="1:4">
      <c r="A650" s="4" t="s">
        <v>168</v>
      </c>
      <c r="B650" s="4" t="s">
        <v>1401</v>
      </c>
      <c r="C650" s="4">
        <v>1.2130257799999999</v>
      </c>
      <c r="D650" s="4">
        <v>1.144552902</v>
      </c>
    </row>
    <row r="651" spans="1:4">
      <c r="A651" s="4" t="s">
        <v>168</v>
      </c>
      <c r="B651" s="4" t="s">
        <v>1401</v>
      </c>
      <c r="C651" s="4">
        <v>0.95793758500000004</v>
      </c>
      <c r="D651" s="4">
        <v>0.95571297700000002</v>
      </c>
    </row>
    <row r="652" spans="1:4">
      <c r="A652" s="4" t="s">
        <v>168</v>
      </c>
      <c r="B652" s="4" t="s">
        <v>1401</v>
      </c>
      <c r="C652" s="4">
        <v>0.82496607899999996</v>
      </c>
      <c r="D652" s="4">
        <v>0.79630159099999998</v>
      </c>
    </row>
    <row r="653" spans="1:4">
      <c r="A653" s="4" t="s">
        <v>168</v>
      </c>
      <c r="B653" s="4" t="s">
        <v>1401</v>
      </c>
      <c r="C653" s="4">
        <v>0.57259158799999998</v>
      </c>
      <c r="D653" s="4">
        <v>0.59151669100000004</v>
      </c>
    </row>
    <row r="654" spans="1:4">
      <c r="A654" s="4" t="s">
        <v>168</v>
      </c>
      <c r="B654" s="4" t="s">
        <v>1401</v>
      </c>
      <c r="C654" s="4">
        <v>0.59430122100000005</v>
      </c>
      <c r="D654" s="4">
        <v>0.56198974300000004</v>
      </c>
    </row>
    <row r="655" spans="1:4">
      <c r="A655" s="4" t="s">
        <v>168</v>
      </c>
      <c r="B655" s="4" t="s">
        <v>1401</v>
      </c>
      <c r="C655" s="4">
        <v>0.54545454500000001</v>
      </c>
      <c r="D655" s="4">
        <v>0.53499313000000004</v>
      </c>
    </row>
    <row r="656" spans="1:4">
      <c r="A656" s="4" t="s">
        <v>168</v>
      </c>
      <c r="B656" s="4" t="s">
        <v>1401</v>
      </c>
      <c r="C656" s="4">
        <v>1.169606513</v>
      </c>
      <c r="D656" s="4">
        <v>1.1563394760000001</v>
      </c>
    </row>
    <row r="657" spans="1:4">
      <c r="A657" s="4" t="s">
        <v>168</v>
      </c>
      <c r="B657" s="4" t="s">
        <v>1401</v>
      </c>
      <c r="C657" s="4">
        <v>1.2130257799999999</v>
      </c>
      <c r="D657" s="4">
        <v>1.1559279710000001</v>
      </c>
    </row>
    <row r="658" spans="1:4">
      <c r="A658" s="4" t="s">
        <v>168</v>
      </c>
      <c r="B658" s="4" t="s">
        <v>1401</v>
      </c>
      <c r="C658" s="4">
        <v>1.183175034</v>
      </c>
      <c r="D658" s="4">
        <v>1.1175694</v>
      </c>
    </row>
    <row r="659" spans="1:4">
      <c r="A659" s="4" t="s">
        <v>168</v>
      </c>
      <c r="B659" s="4" t="s">
        <v>1401</v>
      </c>
      <c r="C659" s="4">
        <v>0.82496607899999996</v>
      </c>
      <c r="D659" s="4">
        <v>0.77144304699999999</v>
      </c>
    </row>
    <row r="660" spans="1:4">
      <c r="A660" s="4" t="s">
        <v>168</v>
      </c>
      <c r="B660" s="4" t="s">
        <v>1401</v>
      </c>
      <c r="C660" s="4">
        <v>0.67571234700000005</v>
      </c>
      <c r="D660" s="4">
        <v>0.58385030800000004</v>
      </c>
    </row>
    <row r="661" spans="1:4">
      <c r="A661" s="4" t="s">
        <v>168</v>
      </c>
      <c r="B661" s="4" t="s">
        <v>1401</v>
      </c>
      <c r="C661" s="4">
        <v>0.45590230700000001</v>
      </c>
      <c r="D661" s="4">
        <v>0.39916289100000002</v>
      </c>
    </row>
    <row r="662" spans="1:4">
      <c r="A662" s="4" t="s">
        <v>168</v>
      </c>
      <c r="B662" s="4" t="s">
        <v>1401</v>
      </c>
      <c r="C662" s="4">
        <v>0.51017639100000001</v>
      </c>
      <c r="D662" s="4">
        <v>0.37545339500000002</v>
      </c>
    </row>
    <row r="663" spans="1:4">
      <c r="A663" s="4" t="s">
        <v>168</v>
      </c>
      <c r="B663" s="4" t="s">
        <v>1401</v>
      </c>
      <c r="C663" s="4">
        <v>0.44233378600000001</v>
      </c>
      <c r="D663" s="4">
        <v>0.35421065699999998</v>
      </c>
    </row>
    <row r="664" spans="1:4">
      <c r="A664" s="4" t="s">
        <v>168</v>
      </c>
      <c r="B664" s="4" t="s">
        <v>1401</v>
      </c>
      <c r="C664" s="4">
        <v>1.044776119</v>
      </c>
      <c r="D664" s="4">
        <v>1.1563394760000001</v>
      </c>
    </row>
    <row r="665" spans="1:4">
      <c r="A665" s="4" t="s">
        <v>168</v>
      </c>
      <c r="B665" s="4" t="s">
        <v>1401</v>
      </c>
      <c r="C665" s="4">
        <v>1.0854816819999999</v>
      </c>
      <c r="D665" s="4">
        <v>1.1559279710000001</v>
      </c>
    </row>
    <row r="666" spans="1:4">
      <c r="A666" s="4" t="s">
        <v>168</v>
      </c>
      <c r="B666" s="4" t="s">
        <v>1401</v>
      </c>
      <c r="C666" s="4">
        <v>1.0691994570000001</v>
      </c>
      <c r="D666" s="4">
        <v>1.1175694</v>
      </c>
    </row>
    <row r="667" spans="1:4">
      <c r="A667" s="4" t="s">
        <v>168</v>
      </c>
      <c r="B667" s="4" t="s">
        <v>1401</v>
      </c>
      <c r="C667" s="4">
        <v>0.78968792399999999</v>
      </c>
      <c r="D667" s="4">
        <v>0.77144304699999999</v>
      </c>
    </row>
    <row r="668" spans="1:4">
      <c r="A668" s="4" t="s">
        <v>168</v>
      </c>
      <c r="B668" s="4" t="s">
        <v>1401</v>
      </c>
      <c r="C668" s="4">
        <v>0.70013568500000001</v>
      </c>
      <c r="D668" s="4">
        <v>0.58385030800000004</v>
      </c>
    </row>
    <row r="669" spans="1:4">
      <c r="A669" s="4" t="s">
        <v>168</v>
      </c>
      <c r="B669" s="4" t="s">
        <v>1401</v>
      </c>
      <c r="C669" s="4">
        <v>0.45861601099999999</v>
      </c>
      <c r="D669" s="4">
        <v>0.39916289100000002</v>
      </c>
    </row>
    <row r="670" spans="1:4">
      <c r="A670" s="4" t="s">
        <v>168</v>
      </c>
      <c r="B670" s="4" t="s">
        <v>1401</v>
      </c>
      <c r="C670" s="4">
        <v>0.48575305299999999</v>
      </c>
      <c r="D670" s="4">
        <v>0.37545339500000002</v>
      </c>
    </row>
    <row r="671" spans="1:4">
      <c r="A671" s="4" t="s">
        <v>168</v>
      </c>
      <c r="B671" s="4" t="s">
        <v>1401</v>
      </c>
      <c r="C671" s="4">
        <v>0.371777476</v>
      </c>
      <c r="D671" s="4">
        <v>0.35421065699999998</v>
      </c>
    </row>
    <row r="672" spans="1:4">
      <c r="A672" s="4" t="s">
        <v>168</v>
      </c>
      <c r="B672" s="4" t="s">
        <v>1401</v>
      </c>
      <c r="C672" s="4">
        <v>1.0178195370000001</v>
      </c>
      <c r="D672" s="4">
        <v>1.1612623230000001</v>
      </c>
    </row>
    <row r="673" spans="1:4">
      <c r="A673" s="4" t="s">
        <v>168</v>
      </c>
      <c r="B673" s="4" t="s">
        <v>1401</v>
      </c>
      <c r="C673" s="4">
        <v>1.043738863</v>
      </c>
      <c r="D673" s="4">
        <v>1.161262322</v>
      </c>
    </row>
    <row r="674" spans="1:4">
      <c r="A674" s="4" t="s">
        <v>168</v>
      </c>
      <c r="B674" s="4" t="s">
        <v>1401</v>
      </c>
      <c r="C674" s="4">
        <v>1.0761380199999999</v>
      </c>
      <c r="D674" s="4">
        <v>1.161262222</v>
      </c>
    </row>
    <row r="675" spans="1:4">
      <c r="A675" s="4" t="s">
        <v>168</v>
      </c>
      <c r="B675" s="4" t="s">
        <v>1401</v>
      </c>
      <c r="C675" s="4">
        <v>1.0696581890000001</v>
      </c>
      <c r="D675" s="4">
        <v>1.1612598350000001</v>
      </c>
    </row>
    <row r="676" spans="1:4">
      <c r="A676" s="4" t="s">
        <v>168</v>
      </c>
      <c r="B676" s="4" t="s">
        <v>1401</v>
      </c>
      <c r="C676" s="4">
        <v>1.066418273</v>
      </c>
      <c r="D676" s="4">
        <v>1.161252663</v>
      </c>
    </row>
    <row r="677" spans="1:4">
      <c r="A677" s="4" t="s">
        <v>168</v>
      </c>
      <c r="B677" s="4" t="s">
        <v>1401</v>
      </c>
      <c r="C677" s="4">
        <v>1.095577515</v>
      </c>
      <c r="D677" s="4">
        <v>1.1610849990000001</v>
      </c>
    </row>
    <row r="678" spans="1:4">
      <c r="A678" s="4" t="s">
        <v>168</v>
      </c>
      <c r="B678" s="4" t="s">
        <v>1401</v>
      </c>
      <c r="C678" s="4">
        <v>1.241373724</v>
      </c>
      <c r="D678" s="4">
        <v>1.1608021239999999</v>
      </c>
    </row>
    <row r="679" spans="1:4">
      <c r="A679" s="4" t="s">
        <v>168</v>
      </c>
      <c r="B679" s="4" t="s">
        <v>1401</v>
      </c>
      <c r="C679" s="4">
        <v>1.22193423</v>
      </c>
      <c r="D679" s="4">
        <v>1.159648276</v>
      </c>
    </row>
    <row r="680" spans="1:4">
      <c r="A680" s="4" t="s">
        <v>168</v>
      </c>
      <c r="B680" s="4" t="s">
        <v>1401</v>
      </c>
      <c r="C680" s="4">
        <v>1.0566985259999999</v>
      </c>
      <c r="D680" s="4">
        <v>1.1612623230000001</v>
      </c>
    </row>
    <row r="681" spans="1:4">
      <c r="A681" s="4" t="s">
        <v>168</v>
      </c>
      <c r="B681" s="4" t="s">
        <v>1401</v>
      </c>
      <c r="C681" s="4">
        <v>1.0890976830000001</v>
      </c>
      <c r="D681" s="4">
        <v>1.161262322</v>
      </c>
    </row>
    <row r="682" spans="1:4">
      <c r="A682" s="4" t="s">
        <v>168</v>
      </c>
      <c r="B682" s="4" t="s">
        <v>1401</v>
      </c>
      <c r="C682" s="4">
        <v>1.124736757</v>
      </c>
      <c r="D682" s="4">
        <v>1.161262222</v>
      </c>
    </row>
    <row r="683" spans="1:4">
      <c r="A683" s="4" t="s">
        <v>168</v>
      </c>
      <c r="B683" s="4" t="s">
        <v>1401</v>
      </c>
      <c r="C683" s="4">
        <v>1.108537178</v>
      </c>
      <c r="D683" s="4">
        <v>1.1612598350000001</v>
      </c>
    </row>
    <row r="684" spans="1:4">
      <c r="A684" s="4" t="s">
        <v>168</v>
      </c>
      <c r="B684" s="4" t="s">
        <v>1401</v>
      </c>
      <c r="C684" s="4">
        <v>1.144176251</v>
      </c>
      <c r="D684" s="4">
        <v>1.161252663</v>
      </c>
    </row>
    <row r="685" spans="1:4">
      <c r="A685" s="4" t="s">
        <v>168</v>
      </c>
      <c r="B685" s="4" t="s">
        <v>1401</v>
      </c>
      <c r="C685" s="4">
        <v>1.131216588</v>
      </c>
      <c r="D685" s="4">
        <v>1.1610849990000001</v>
      </c>
    </row>
    <row r="686" spans="1:4">
      <c r="A686" s="4" t="s">
        <v>168</v>
      </c>
      <c r="B686" s="4" t="s">
        <v>1401</v>
      </c>
      <c r="C686" s="4">
        <v>1.1020573469999999</v>
      </c>
      <c r="D686" s="4">
        <v>1.1608021239999999</v>
      </c>
    </row>
    <row r="687" spans="1:4">
      <c r="A687" s="4" t="s">
        <v>168</v>
      </c>
      <c r="B687" s="4" t="s">
        <v>1401</v>
      </c>
      <c r="C687" s="4">
        <v>1.2608132190000001</v>
      </c>
      <c r="D687" s="4">
        <v>1.159648276</v>
      </c>
    </row>
    <row r="688" spans="1:4">
      <c r="A688" s="4" t="s">
        <v>168</v>
      </c>
      <c r="B688" s="4" t="s">
        <v>1401</v>
      </c>
      <c r="C688" s="4">
        <v>1.140936336</v>
      </c>
      <c r="D688" s="4">
        <v>1.1612610370000001</v>
      </c>
    </row>
    <row r="689" spans="1:4">
      <c r="A689" s="4" t="s">
        <v>168</v>
      </c>
      <c r="B689" s="4" t="s">
        <v>1401</v>
      </c>
      <c r="C689" s="4">
        <v>1.1150170100000001</v>
      </c>
      <c r="D689" s="4">
        <v>1.1612609270000001</v>
      </c>
    </row>
    <row r="690" spans="1:4">
      <c r="A690" s="4" t="s">
        <v>168</v>
      </c>
      <c r="B690" s="4" t="s">
        <v>1401</v>
      </c>
      <c r="C690" s="4">
        <v>1.173335493</v>
      </c>
      <c r="D690" s="4">
        <v>1.161249977</v>
      </c>
    </row>
    <row r="691" spans="1:4">
      <c r="A691" s="4" t="s">
        <v>168</v>
      </c>
      <c r="B691" s="4" t="s">
        <v>1401</v>
      </c>
      <c r="C691" s="4">
        <v>1.1571359139999999</v>
      </c>
      <c r="D691" s="4">
        <v>1.1609945150000001</v>
      </c>
    </row>
    <row r="692" spans="1:4">
      <c r="A692" s="4" t="s">
        <v>168</v>
      </c>
      <c r="B692" s="4" t="s">
        <v>1401</v>
      </c>
      <c r="C692" s="4">
        <v>1.1668556619999999</v>
      </c>
      <c r="D692" s="4">
        <v>1.160271023</v>
      </c>
    </row>
    <row r="693" spans="1:4">
      <c r="A693" s="4" t="s">
        <v>168</v>
      </c>
      <c r="B693" s="4" t="s">
        <v>1401</v>
      </c>
      <c r="C693" s="4">
        <v>1.131216588</v>
      </c>
      <c r="D693" s="4">
        <v>1.151388291</v>
      </c>
    </row>
    <row r="694" spans="1:4">
      <c r="A694" s="4" t="s">
        <v>168</v>
      </c>
      <c r="B694" s="4" t="s">
        <v>1401</v>
      </c>
      <c r="C694" s="4">
        <v>1.176575409</v>
      </c>
      <c r="D694" s="4">
        <v>1.145449669</v>
      </c>
    </row>
    <row r="695" spans="1:4">
      <c r="A695" s="4" t="s">
        <v>168</v>
      </c>
      <c r="B695" s="4" t="s">
        <v>1401</v>
      </c>
      <c r="C695" s="4">
        <v>1.176575409</v>
      </c>
      <c r="D695" s="4">
        <v>1.1363720100000001</v>
      </c>
    </row>
    <row r="696" spans="1:4">
      <c r="A696" s="4" t="s">
        <v>168</v>
      </c>
      <c r="B696" s="4" t="s">
        <v>1401</v>
      </c>
      <c r="C696" s="4">
        <v>1.127976673</v>
      </c>
      <c r="D696" s="4">
        <v>1.1612610370000001</v>
      </c>
    </row>
    <row r="697" spans="1:4">
      <c r="A697" s="4" t="s">
        <v>168</v>
      </c>
      <c r="B697" s="4" t="s">
        <v>1401</v>
      </c>
      <c r="C697" s="4">
        <v>1.1182569250000001</v>
      </c>
      <c r="D697" s="4">
        <v>1.1612609270000001</v>
      </c>
    </row>
    <row r="698" spans="1:4">
      <c r="A698" s="4" t="s">
        <v>168</v>
      </c>
      <c r="B698" s="4" t="s">
        <v>1401</v>
      </c>
      <c r="C698" s="4">
        <v>1.1830552409999999</v>
      </c>
      <c r="D698" s="4">
        <v>1.161249977</v>
      </c>
    </row>
    <row r="699" spans="1:4">
      <c r="A699" s="4" t="s">
        <v>168</v>
      </c>
      <c r="B699" s="4" t="s">
        <v>1401</v>
      </c>
      <c r="C699" s="4">
        <v>1.1668556619999999</v>
      </c>
      <c r="D699" s="4">
        <v>1.1609945150000001</v>
      </c>
    </row>
    <row r="700" spans="1:4">
      <c r="A700" s="4" t="s">
        <v>168</v>
      </c>
      <c r="B700" s="4" t="s">
        <v>1401</v>
      </c>
      <c r="C700" s="4">
        <v>1.1862951559999999</v>
      </c>
      <c r="D700" s="4">
        <v>1.160271023</v>
      </c>
    </row>
    <row r="701" spans="1:4">
      <c r="A701" s="4" t="s">
        <v>168</v>
      </c>
      <c r="B701" s="4" t="s">
        <v>1401</v>
      </c>
      <c r="C701" s="4">
        <v>1.144176251</v>
      </c>
      <c r="D701" s="4">
        <v>1.151388291</v>
      </c>
    </row>
    <row r="702" spans="1:4">
      <c r="A702" s="4" t="s">
        <v>168</v>
      </c>
      <c r="B702" s="4" t="s">
        <v>1401</v>
      </c>
      <c r="C702" s="4">
        <v>1.1571359139999999</v>
      </c>
      <c r="D702" s="4">
        <v>1.145449669</v>
      </c>
    </row>
    <row r="703" spans="1:4">
      <c r="A703" s="4" t="s">
        <v>168</v>
      </c>
      <c r="B703" s="4" t="s">
        <v>1401</v>
      </c>
      <c r="C703" s="4">
        <v>1.1862951559999999</v>
      </c>
      <c r="D703" s="4">
        <v>1.1363720100000001</v>
      </c>
    </row>
    <row r="704" spans="1:4">
      <c r="A704" s="4" t="s">
        <v>168</v>
      </c>
      <c r="B704" s="4" t="s">
        <v>1401</v>
      </c>
      <c r="C704" s="4">
        <v>1.131216588</v>
      </c>
      <c r="D704" s="4">
        <v>1.161210348</v>
      </c>
    </row>
    <row r="705" spans="1:4">
      <c r="A705" s="4" t="s">
        <v>168</v>
      </c>
      <c r="B705" s="4" t="s">
        <v>1401</v>
      </c>
      <c r="C705" s="4">
        <v>1.131216588</v>
      </c>
      <c r="D705" s="4">
        <v>1.1612059640000001</v>
      </c>
    </row>
    <row r="706" spans="1:4">
      <c r="A706" s="4" t="s">
        <v>168</v>
      </c>
      <c r="B706" s="4" t="s">
        <v>1401</v>
      </c>
      <c r="C706" s="4">
        <v>1.1668556619999999</v>
      </c>
      <c r="D706" s="4">
        <v>1.1607695920000001</v>
      </c>
    </row>
    <row r="707" spans="1:4">
      <c r="A707" s="4" t="s">
        <v>168</v>
      </c>
      <c r="B707" s="4" t="s">
        <v>1401</v>
      </c>
      <c r="C707" s="4">
        <v>1.1376964199999999</v>
      </c>
      <c r="D707" s="4">
        <v>1.151492843</v>
      </c>
    </row>
    <row r="708" spans="1:4">
      <c r="A708" s="4" t="s">
        <v>168</v>
      </c>
      <c r="B708" s="4" t="s">
        <v>1401</v>
      </c>
      <c r="C708" s="4">
        <v>1.1052972619999999</v>
      </c>
      <c r="D708" s="4">
        <v>1.131676831</v>
      </c>
    </row>
    <row r="709" spans="1:4">
      <c r="A709" s="4" t="s">
        <v>168</v>
      </c>
      <c r="B709" s="4" t="s">
        <v>1401</v>
      </c>
      <c r="C709" s="4">
        <v>0.94978130599999999</v>
      </c>
      <c r="D709" s="4">
        <v>1.0494385319999999</v>
      </c>
    </row>
    <row r="710" spans="1:4">
      <c r="A710" s="4" t="s">
        <v>168</v>
      </c>
      <c r="B710" s="4" t="s">
        <v>1401</v>
      </c>
      <c r="C710" s="4">
        <v>0.81370484399999998</v>
      </c>
      <c r="D710" s="4">
        <v>1.026434625</v>
      </c>
    </row>
    <row r="711" spans="1:4">
      <c r="A711" s="4" t="s">
        <v>168</v>
      </c>
      <c r="B711" s="4" t="s">
        <v>1401</v>
      </c>
      <c r="C711" s="4">
        <v>0.90766240099999995</v>
      </c>
      <c r="D711" s="4">
        <v>1.001853635</v>
      </c>
    </row>
    <row r="712" spans="1:4">
      <c r="A712" s="4" t="s">
        <v>168</v>
      </c>
      <c r="B712" s="4" t="s">
        <v>1401</v>
      </c>
      <c r="C712" s="4">
        <v>1.144176251</v>
      </c>
      <c r="D712" s="4">
        <v>1.161210348</v>
      </c>
    </row>
    <row r="713" spans="1:4">
      <c r="A713" s="4" t="s">
        <v>168</v>
      </c>
      <c r="B713" s="4" t="s">
        <v>1401</v>
      </c>
      <c r="C713" s="4">
        <v>1.144176251</v>
      </c>
      <c r="D713" s="4">
        <v>1.1612059640000001</v>
      </c>
    </row>
    <row r="714" spans="1:4">
      <c r="A714" s="4" t="s">
        <v>168</v>
      </c>
      <c r="B714" s="4" t="s">
        <v>1401</v>
      </c>
      <c r="C714" s="4">
        <v>1.1376964199999999</v>
      </c>
      <c r="D714" s="4">
        <v>1.1607695920000001</v>
      </c>
    </row>
    <row r="715" spans="1:4">
      <c r="A715" s="4" t="s">
        <v>168</v>
      </c>
      <c r="B715" s="4" t="s">
        <v>1401</v>
      </c>
      <c r="C715" s="4">
        <v>1.1052972619999999</v>
      </c>
      <c r="D715" s="4">
        <v>1.151492843</v>
      </c>
    </row>
    <row r="716" spans="1:4">
      <c r="A716" s="4" t="s">
        <v>168</v>
      </c>
      <c r="B716" s="4" t="s">
        <v>1401</v>
      </c>
      <c r="C716" s="4">
        <v>1.108537178</v>
      </c>
      <c r="D716" s="4">
        <v>1.131676831</v>
      </c>
    </row>
    <row r="717" spans="1:4">
      <c r="A717" s="4" t="s">
        <v>168</v>
      </c>
      <c r="B717" s="4" t="s">
        <v>1401</v>
      </c>
      <c r="C717" s="4">
        <v>0.94654139000000004</v>
      </c>
      <c r="D717" s="4">
        <v>1.0494385319999999</v>
      </c>
    </row>
    <row r="718" spans="1:4">
      <c r="A718" s="4" t="s">
        <v>168</v>
      </c>
      <c r="B718" s="4" t="s">
        <v>1401</v>
      </c>
      <c r="C718" s="4">
        <v>0.94654139000000004</v>
      </c>
      <c r="D718" s="4">
        <v>1.026434625</v>
      </c>
    </row>
    <row r="719" spans="1:4">
      <c r="A719" s="4" t="s">
        <v>168</v>
      </c>
      <c r="B719" s="4" t="s">
        <v>1401</v>
      </c>
      <c r="C719" s="4">
        <v>0.89794265299999998</v>
      </c>
      <c r="D719" s="4">
        <v>1.001853635</v>
      </c>
    </row>
    <row r="720" spans="1:4">
      <c r="A720" s="4" t="s">
        <v>168</v>
      </c>
      <c r="B720" s="4" t="s">
        <v>1401</v>
      </c>
      <c r="C720" s="4">
        <v>1.16037583</v>
      </c>
      <c r="D720" s="4">
        <v>1.160910919</v>
      </c>
    </row>
    <row r="721" spans="1:4">
      <c r="A721" s="4" t="s">
        <v>168</v>
      </c>
      <c r="B721" s="4" t="s">
        <v>1401</v>
      </c>
      <c r="C721" s="4">
        <v>1.205734651</v>
      </c>
      <c r="D721" s="4">
        <v>1.160881319</v>
      </c>
    </row>
    <row r="722" spans="1:4">
      <c r="A722" s="4" t="s">
        <v>168</v>
      </c>
      <c r="B722" s="4" t="s">
        <v>1401</v>
      </c>
      <c r="C722" s="4">
        <v>1.1376964199999999</v>
      </c>
      <c r="D722" s="4">
        <v>1.157961383</v>
      </c>
    </row>
    <row r="723" spans="1:4">
      <c r="A723" s="4" t="s">
        <v>168</v>
      </c>
      <c r="B723" s="4" t="s">
        <v>1401</v>
      </c>
      <c r="C723" s="4">
        <v>1.046978779</v>
      </c>
      <c r="D723" s="4">
        <v>1.1056469470000001</v>
      </c>
    </row>
    <row r="724" spans="1:4">
      <c r="A724" s="4" t="s">
        <v>168</v>
      </c>
      <c r="B724" s="4" t="s">
        <v>1401</v>
      </c>
      <c r="C724" s="4">
        <v>1.0307792</v>
      </c>
      <c r="D724" s="4">
        <v>1.0294000350000001</v>
      </c>
    </row>
    <row r="725" spans="1:4">
      <c r="A725" s="4" t="s">
        <v>168</v>
      </c>
      <c r="B725" s="4" t="s">
        <v>1401</v>
      </c>
      <c r="C725" s="4">
        <v>0.75214644399999997</v>
      </c>
      <c r="D725" s="4">
        <v>0.86337451600000004</v>
      </c>
    </row>
    <row r="726" spans="1:4">
      <c r="A726" s="4" t="s">
        <v>168</v>
      </c>
      <c r="B726" s="4" t="s">
        <v>1401</v>
      </c>
      <c r="C726" s="4">
        <v>0.72622711799999995</v>
      </c>
      <c r="D726" s="4">
        <v>0.83198143300000005</v>
      </c>
    </row>
    <row r="727" spans="1:4">
      <c r="A727" s="4" t="s">
        <v>168</v>
      </c>
      <c r="B727" s="4" t="s">
        <v>1401</v>
      </c>
      <c r="C727" s="4">
        <v>0.67438846600000002</v>
      </c>
      <c r="D727" s="4">
        <v>0.80164117700000004</v>
      </c>
    </row>
    <row r="728" spans="1:4">
      <c r="A728" s="4" t="s">
        <v>168</v>
      </c>
      <c r="B728" s="4" t="s">
        <v>1401</v>
      </c>
      <c r="C728" s="4">
        <v>1.225174145</v>
      </c>
      <c r="D728" s="4">
        <v>1.160910919</v>
      </c>
    </row>
    <row r="729" spans="1:4">
      <c r="A729" s="4" t="s">
        <v>168</v>
      </c>
      <c r="B729" s="4" t="s">
        <v>1401</v>
      </c>
      <c r="C729" s="4">
        <v>1.1344565040000001</v>
      </c>
      <c r="D729" s="4">
        <v>1.160881319</v>
      </c>
    </row>
    <row r="730" spans="1:4">
      <c r="A730" s="4" t="s">
        <v>168</v>
      </c>
      <c r="B730" s="4" t="s">
        <v>1401</v>
      </c>
      <c r="C730" s="4">
        <v>1.2024947349999999</v>
      </c>
      <c r="D730" s="4">
        <v>1.157961383</v>
      </c>
    </row>
    <row r="731" spans="1:4">
      <c r="A731" s="4" t="s">
        <v>168</v>
      </c>
      <c r="B731" s="4" t="s">
        <v>1401</v>
      </c>
      <c r="C731" s="4">
        <v>1.063178357</v>
      </c>
      <c r="D731" s="4">
        <v>1.1056469470000001</v>
      </c>
    </row>
    <row r="732" spans="1:4">
      <c r="A732" s="4" t="s">
        <v>168</v>
      </c>
      <c r="B732" s="4" t="s">
        <v>1401</v>
      </c>
      <c r="C732" s="4">
        <v>0.96922079999999999</v>
      </c>
      <c r="D732" s="4">
        <v>1.0294000350000001</v>
      </c>
    </row>
    <row r="733" spans="1:4">
      <c r="A733" s="4" t="s">
        <v>168</v>
      </c>
      <c r="B733" s="4" t="s">
        <v>1401</v>
      </c>
      <c r="C733" s="4">
        <v>0.74242669699999997</v>
      </c>
      <c r="D733" s="4">
        <v>0.86337451600000004</v>
      </c>
    </row>
    <row r="734" spans="1:4">
      <c r="A734" s="4" t="s">
        <v>168</v>
      </c>
      <c r="B734" s="4" t="s">
        <v>1401</v>
      </c>
      <c r="C734" s="4">
        <v>0.68086829699999996</v>
      </c>
      <c r="D734" s="4">
        <v>0.83198143300000005</v>
      </c>
    </row>
    <row r="735" spans="1:4">
      <c r="A735" s="4" t="s">
        <v>168</v>
      </c>
      <c r="B735" s="4" t="s">
        <v>1401</v>
      </c>
      <c r="C735" s="4">
        <v>0.66142880299999995</v>
      </c>
      <c r="D735" s="4">
        <v>0.80164117700000004</v>
      </c>
    </row>
    <row r="736" spans="1:4">
      <c r="A736" s="4" t="s">
        <v>168</v>
      </c>
      <c r="B736" s="4" t="s">
        <v>1401</v>
      </c>
      <c r="C736" s="4">
        <v>1.1506560830000001</v>
      </c>
      <c r="D736" s="4">
        <v>1.1594418419999999</v>
      </c>
    </row>
    <row r="737" spans="1:4">
      <c r="A737" s="4" t="s">
        <v>168</v>
      </c>
      <c r="B737" s="4" t="s">
        <v>1401</v>
      </c>
      <c r="C737" s="4">
        <v>1.1668556619999999</v>
      </c>
      <c r="D737" s="4">
        <v>1.1592889689999999</v>
      </c>
    </row>
    <row r="738" spans="1:4">
      <c r="A738" s="4" t="s">
        <v>168</v>
      </c>
      <c r="B738" s="4" t="s">
        <v>1401</v>
      </c>
      <c r="C738" s="4">
        <v>1.140936336</v>
      </c>
      <c r="D738" s="4">
        <v>1.144552902</v>
      </c>
    </row>
    <row r="739" spans="1:4">
      <c r="A739" s="4" t="s">
        <v>168</v>
      </c>
      <c r="B739" s="4" t="s">
        <v>1401</v>
      </c>
      <c r="C739" s="4">
        <v>0.92062206400000002</v>
      </c>
      <c r="D739" s="4">
        <v>0.95571297700000002</v>
      </c>
    </row>
    <row r="740" spans="1:4">
      <c r="A740" s="4" t="s">
        <v>168</v>
      </c>
      <c r="B740" s="4" t="s">
        <v>1401</v>
      </c>
      <c r="C740" s="4">
        <v>0.77806576999999999</v>
      </c>
      <c r="D740" s="4">
        <v>0.79630159099999998</v>
      </c>
    </row>
    <row r="741" spans="1:4">
      <c r="A741" s="4" t="s">
        <v>168</v>
      </c>
      <c r="B741" s="4" t="s">
        <v>1401</v>
      </c>
      <c r="C741" s="4">
        <v>0.56423133000000003</v>
      </c>
      <c r="D741" s="4">
        <v>0.59151669100000004</v>
      </c>
    </row>
    <row r="742" spans="1:4">
      <c r="A742" s="4" t="s">
        <v>168</v>
      </c>
      <c r="B742" s="4" t="s">
        <v>1401</v>
      </c>
      <c r="C742" s="4">
        <v>0.53183217199999999</v>
      </c>
      <c r="D742" s="4">
        <v>0.56198974300000004</v>
      </c>
    </row>
    <row r="743" spans="1:4">
      <c r="A743" s="4" t="s">
        <v>168</v>
      </c>
      <c r="B743" s="4" t="s">
        <v>1401</v>
      </c>
      <c r="C743" s="4">
        <v>0.48971326700000001</v>
      </c>
      <c r="D743" s="4">
        <v>0.53499313000000004</v>
      </c>
    </row>
    <row r="744" spans="1:4">
      <c r="A744" s="4" t="s">
        <v>168</v>
      </c>
      <c r="B744" s="4" t="s">
        <v>1401</v>
      </c>
      <c r="C744" s="4">
        <v>1.1376964199999999</v>
      </c>
      <c r="D744" s="4">
        <v>1.1594418419999999</v>
      </c>
    </row>
    <row r="745" spans="1:4">
      <c r="A745" s="4" t="s">
        <v>168</v>
      </c>
      <c r="B745" s="4" t="s">
        <v>1401</v>
      </c>
      <c r="C745" s="4">
        <v>1.1344565040000001</v>
      </c>
      <c r="D745" s="4">
        <v>1.1592889689999999</v>
      </c>
    </row>
    <row r="746" spans="1:4">
      <c r="A746" s="4" t="s">
        <v>168</v>
      </c>
      <c r="B746" s="4" t="s">
        <v>1401</v>
      </c>
      <c r="C746" s="4">
        <v>1.205734651</v>
      </c>
      <c r="D746" s="4">
        <v>1.144552902</v>
      </c>
    </row>
    <row r="747" spans="1:4">
      <c r="A747" s="4" t="s">
        <v>168</v>
      </c>
      <c r="B747" s="4" t="s">
        <v>1401</v>
      </c>
      <c r="C747" s="4">
        <v>0.91738214799999995</v>
      </c>
      <c r="D747" s="4">
        <v>0.95571297700000002</v>
      </c>
    </row>
    <row r="748" spans="1:4">
      <c r="A748" s="4" t="s">
        <v>168</v>
      </c>
      <c r="B748" s="4" t="s">
        <v>1401</v>
      </c>
      <c r="C748" s="4">
        <v>0.81046492800000003</v>
      </c>
      <c r="D748" s="4">
        <v>0.79630159099999998</v>
      </c>
    </row>
    <row r="749" spans="1:4">
      <c r="A749" s="4" t="s">
        <v>168</v>
      </c>
      <c r="B749" s="4" t="s">
        <v>1401</v>
      </c>
      <c r="C749" s="4">
        <v>0.583670825</v>
      </c>
      <c r="D749" s="4">
        <v>0.59151669100000004</v>
      </c>
    </row>
    <row r="750" spans="1:4">
      <c r="A750" s="4" t="s">
        <v>168</v>
      </c>
      <c r="B750" s="4" t="s">
        <v>1401</v>
      </c>
      <c r="C750" s="4">
        <v>0.53831200400000001</v>
      </c>
      <c r="D750" s="4">
        <v>0.56198974300000004</v>
      </c>
    </row>
    <row r="751" spans="1:4">
      <c r="A751" s="4" t="s">
        <v>168</v>
      </c>
      <c r="B751" s="4" t="s">
        <v>1401</v>
      </c>
      <c r="C751" s="4">
        <v>0.49943301499999998</v>
      </c>
      <c r="D751" s="4">
        <v>0.53499313000000004</v>
      </c>
    </row>
    <row r="752" spans="1:4">
      <c r="A752" s="4" t="s">
        <v>168</v>
      </c>
      <c r="B752" s="4" t="s">
        <v>1401</v>
      </c>
      <c r="C752" s="4">
        <v>1.131216588</v>
      </c>
      <c r="D752" s="4">
        <v>1.1563394760000001</v>
      </c>
    </row>
    <row r="753" spans="1:4">
      <c r="A753" s="4" t="s">
        <v>168</v>
      </c>
      <c r="B753" s="4" t="s">
        <v>1401</v>
      </c>
      <c r="C753" s="4">
        <v>1.1182569250000001</v>
      </c>
      <c r="D753" s="4">
        <v>1.1559279710000001</v>
      </c>
    </row>
    <row r="754" spans="1:4">
      <c r="A754" s="4" t="s">
        <v>168</v>
      </c>
      <c r="B754" s="4" t="s">
        <v>1401</v>
      </c>
      <c r="C754" s="4">
        <v>1.111777094</v>
      </c>
      <c r="D754" s="4">
        <v>1.1175694</v>
      </c>
    </row>
    <row r="755" spans="1:4">
      <c r="A755" s="4" t="s">
        <v>168</v>
      </c>
      <c r="B755" s="4" t="s">
        <v>1401</v>
      </c>
      <c r="C755" s="4">
        <v>0.79750526499999996</v>
      </c>
      <c r="D755" s="4">
        <v>0.77144304699999999</v>
      </c>
    </row>
    <row r="756" spans="1:4">
      <c r="A756" s="4" t="s">
        <v>168</v>
      </c>
      <c r="B756" s="4" t="s">
        <v>1401</v>
      </c>
      <c r="C756" s="4">
        <v>0.67438846600000002</v>
      </c>
      <c r="D756" s="4">
        <v>0.58385030800000004</v>
      </c>
    </row>
    <row r="757" spans="1:4">
      <c r="A757" s="4" t="s">
        <v>168</v>
      </c>
      <c r="B757" s="4" t="s">
        <v>1401</v>
      </c>
      <c r="C757" s="4">
        <v>0.46379394099999999</v>
      </c>
      <c r="D757" s="4">
        <v>0.39916289100000002</v>
      </c>
    </row>
    <row r="758" spans="1:4">
      <c r="A758" s="4" t="s">
        <v>168</v>
      </c>
      <c r="B758" s="4" t="s">
        <v>1401</v>
      </c>
      <c r="C758" s="4">
        <v>0.43787461500000002</v>
      </c>
      <c r="D758" s="4">
        <v>0.37545339500000002</v>
      </c>
    </row>
    <row r="759" spans="1:4">
      <c r="A759" s="4" t="s">
        <v>168</v>
      </c>
      <c r="B759" s="4" t="s">
        <v>1401</v>
      </c>
      <c r="C759" s="4">
        <v>0.37631621599999998</v>
      </c>
      <c r="D759" s="4">
        <v>0.35421065699999998</v>
      </c>
    </row>
    <row r="760" spans="1:4">
      <c r="A760" s="4" t="s">
        <v>168</v>
      </c>
      <c r="B760" s="4" t="s">
        <v>1401</v>
      </c>
      <c r="C760" s="4">
        <v>1.1020573469999999</v>
      </c>
      <c r="D760" s="4">
        <v>1.1563394760000001</v>
      </c>
    </row>
    <row r="761" spans="1:4">
      <c r="A761" s="4" t="s">
        <v>168</v>
      </c>
      <c r="B761" s="4" t="s">
        <v>1401</v>
      </c>
      <c r="C761" s="4">
        <v>1.063178357</v>
      </c>
      <c r="D761" s="4">
        <v>1.1559279710000001</v>
      </c>
    </row>
    <row r="762" spans="1:4">
      <c r="A762" s="4" t="s">
        <v>168</v>
      </c>
      <c r="B762" s="4" t="s">
        <v>1401</v>
      </c>
      <c r="C762" s="4">
        <v>1.066418273</v>
      </c>
      <c r="D762" s="4">
        <v>1.1175694</v>
      </c>
    </row>
    <row r="763" spans="1:4">
      <c r="A763" s="4" t="s">
        <v>168</v>
      </c>
      <c r="B763" s="4" t="s">
        <v>1401</v>
      </c>
      <c r="C763" s="4">
        <v>0.77806576999999999</v>
      </c>
      <c r="D763" s="4">
        <v>0.77144304699999999</v>
      </c>
    </row>
    <row r="764" spans="1:4">
      <c r="A764" s="4" t="s">
        <v>168</v>
      </c>
      <c r="B764" s="4" t="s">
        <v>1401</v>
      </c>
      <c r="C764" s="4">
        <v>0.64846914</v>
      </c>
      <c r="D764" s="4">
        <v>0.58385030800000004</v>
      </c>
    </row>
    <row r="765" spans="1:4">
      <c r="A765" s="4" t="s">
        <v>168</v>
      </c>
      <c r="B765" s="4" t="s">
        <v>1401</v>
      </c>
      <c r="C765" s="4">
        <v>0.44435444699999999</v>
      </c>
      <c r="D765" s="4">
        <v>0.39916289100000002</v>
      </c>
    </row>
    <row r="766" spans="1:4">
      <c r="A766" s="4" t="s">
        <v>168</v>
      </c>
      <c r="B766" s="4" t="s">
        <v>1401</v>
      </c>
      <c r="C766" s="4">
        <v>0.41519520500000001</v>
      </c>
      <c r="D766" s="4">
        <v>0.37545339500000002</v>
      </c>
    </row>
    <row r="767" spans="1:4">
      <c r="A767" s="4" t="s">
        <v>168</v>
      </c>
      <c r="B767" s="4" t="s">
        <v>1401</v>
      </c>
      <c r="C767" s="4">
        <v>0.343917058</v>
      </c>
      <c r="D767" s="4">
        <v>0.35421065699999998</v>
      </c>
    </row>
    <row r="768" spans="1:4">
      <c r="A768" s="4" t="s">
        <v>168</v>
      </c>
      <c r="B768" s="4" t="s">
        <v>1401</v>
      </c>
      <c r="C768" s="4">
        <v>1.1391084410000001</v>
      </c>
      <c r="D768" s="4">
        <v>1.1612623230000001</v>
      </c>
    </row>
    <row r="769" spans="1:4">
      <c r="A769" s="4" t="s">
        <v>168</v>
      </c>
      <c r="B769" s="4" t="s">
        <v>1401</v>
      </c>
      <c r="C769" s="4">
        <v>1.1391084410000001</v>
      </c>
      <c r="D769" s="4">
        <v>1.161262322</v>
      </c>
    </row>
    <row r="770" spans="1:4">
      <c r="A770" s="4" t="s">
        <v>168</v>
      </c>
      <c r="B770" s="4" t="s">
        <v>1401</v>
      </c>
      <c r="C770" s="4">
        <v>1.120139108</v>
      </c>
      <c r="D770" s="4">
        <v>1.161262222</v>
      </c>
    </row>
    <row r="771" spans="1:4">
      <c r="A771" s="4" t="s">
        <v>168</v>
      </c>
      <c r="B771" s="4" t="s">
        <v>1401</v>
      </c>
      <c r="C771" s="4">
        <v>1.120139108</v>
      </c>
      <c r="D771" s="4">
        <v>1.1612598350000001</v>
      </c>
    </row>
    <row r="772" spans="1:4">
      <c r="A772" s="4" t="s">
        <v>168</v>
      </c>
      <c r="B772" s="4" t="s">
        <v>1401</v>
      </c>
      <c r="C772" s="4">
        <v>1.0569079990000001</v>
      </c>
      <c r="D772" s="4">
        <v>1.161252663</v>
      </c>
    </row>
    <row r="773" spans="1:4">
      <c r="A773" s="4" t="s">
        <v>168</v>
      </c>
      <c r="B773" s="4" t="s">
        <v>1401</v>
      </c>
      <c r="C773" s="4">
        <v>1.069554221</v>
      </c>
      <c r="D773" s="4">
        <v>1.1610849990000001</v>
      </c>
    </row>
    <row r="774" spans="1:4">
      <c r="A774" s="4" t="s">
        <v>168</v>
      </c>
      <c r="B774" s="4" t="s">
        <v>1401</v>
      </c>
      <c r="C774" s="4">
        <v>1.1169775529999999</v>
      </c>
      <c r="D774" s="4">
        <v>1.1608021239999999</v>
      </c>
    </row>
    <row r="775" spans="1:4">
      <c r="A775" s="4" t="s">
        <v>168</v>
      </c>
      <c r="B775" s="4" t="s">
        <v>1401</v>
      </c>
      <c r="C775" s="4">
        <v>1.154916219</v>
      </c>
      <c r="D775" s="4">
        <v>1.159648276</v>
      </c>
    </row>
    <row r="776" spans="1:4">
      <c r="A776" s="4" t="s">
        <v>168</v>
      </c>
      <c r="B776" s="4" t="s">
        <v>1401</v>
      </c>
      <c r="C776" s="4">
        <v>1.1138159969999999</v>
      </c>
      <c r="D776" s="4">
        <v>1.1612623230000001</v>
      </c>
    </row>
    <row r="777" spans="1:4">
      <c r="A777" s="4" t="s">
        <v>168</v>
      </c>
      <c r="B777" s="4" t="s">
        <v>1401</v>
      </c>
      <c r="C777" s="4">
        <v>1.148593108</v>
      </c>
      <c r="D777" s="4">
        <v>1.161262322</v>
      </c>
    </row>
    <row r="778" spans="1:4">
      <c r="A778" s="4" t="s">
        <v>168</v>
      </c>
      <c r="B778" s="4" t="s">
        <v>1401</v>
      </c>
      <c r="C778" s="4">
        <v>1.126462219</v>
      </c>
      <c r="D778" s="4">
        <v>1.161262222</v>
      </c>
    </row>
    <row r="779" spans="1:4">
      <c r="A779" s="4" t="s">
        <v>168</v>
      </c>
      <c r="B779" s="4" t="s">
        <v>1401</v>
      </c>
      <c r="C779" s="4">
        <v>1.126462219</v>
      </c>
      <c r="D779" s="4">
        <v>1.1612598350000001</v>
      </c>
    </row>
    <row r="780" spans="1:4">
      <c r="A780" s="4" t="s">
        <v>168</v>
      </c>
      <c r="B780" s="4" t="s">
        <v>1401</v>
      </c>
      <c r="C780" s="4">
        <v>1.0916851089999999</v>
      </c>
      <c r="D780" s="4">
        <v>1.161252663</v>
      </c>
    </row>
    <row r="781" spans="1:4">
      <c r="A781" s="4" t="s">
        <v>168</v>
      </c>
      <c r="B781" s="4" t="s">
        <v>1401</v>
      </c>
      <c r="C781" s="4">
        <v>1.088523554</v>
      </c>
      <c r="D781" s="4">
        <v>1.1610849990000001</v>
      </c>
    </row>
    <row r="782" spans="1:4">
      <c r="A782" s="4" t="s">
        <v>168</v>
      </c>
      <c r="B782" s="4" t="s">
        <v>1401</v>
      </c>
      <c r="C782" s="4">
        <v>1.0822004430000001</v>
      </c>
      <c r="D782" s="4">
        <v>1.1608021239999999</v>
      </c>
    </row>
    <row r="783" spans="1:4">
      <c r="A783" s="4" t="s">
        <v>168</v>
      </c>
      <c r="B783" s="4" t="s">
        <v>1401</v>
      </c>
      <c r="C783" s="4">
        <v>1.148593108</v>
      </c>
      <c r="D783" s="4">
        <v>1.159648276</v>
      </c>
    </row>
    <row r="784" spans="1:4">
      <c r="A784" s="4" t="s">
        <v>168</v>
      </c>
      <c r="B784" s="4" t="s">
        <v>1401</v>
      </c>
      <c r="C784" s="4">
        <v>1.1391084410000001</v>
      </c>
      <c r="D784" s="4">
        <v>1.1612610370000001</v>
      </c>
    </row>
    <row r="785" spans="1:4">
      <c r="A785" s="4" t="s">
        <v>168</v>
      </c>
      <c r="B785" s="4" t="s">
        <v>1401</v>
      </c>
      <c r="C785" s="4">
        <v>1.154916219</v>
      </c>
      <c r="D785" s="4">
        <v>1.1612609270000001</v>
      </c>
    </row>
    <row r="786" spans="1:4">
      <c r="A786" s="4" t="s">
        <v>168</v>
      </c>
      <c r="B786" s="4" t="s">
        <v>1401</v>
      </c>
      <c r="C786" s="4">
        <v>1.189693329</v>
      </c>
      <c r="D786" s="4">
        <v>1.161249977</v>
      </c>
    </row>
    <row r="787" spans="1:4">
      <c r="A787" s="4" t="s">
        <v>168</v>
      </c>
      <c r="B787" s="4" t="s">
        <v>1401</v>
      </c>
      <c r="C787" s="4">
        <v>1.1327853299999999</v>
      </c>
      <c r="D787" s="4">
        <v>1.1609945150000001</v>
      </c>
    </row>
    <row r="788" spans="1:4">
      <c r="A788" s="4" t="s">
        <v>168</v>
      </c>
      <c r="B788" s="4" t="s">
        <v>1401</v>
      </c>
      <c r="C788" s="4">
        <v>1.129623775</v>
      </c>
      <c r="D788" s="4">
        <v>1.160271023</v>
      </c>
    </row>
    <row r="789" spans="1:4">
      <c r="A789" s="4" t="s">
        <v>168</v>
      </c>
      <c r="B789" s="4" t="s">
        <v>1401</v>
      </c>
      <c r="C789" s="4">
        <v>1.0790388870000001</v>
      </c>
      <c r="D789" s="4">
        <v>1.151388291</v>
      </c>
    </row>
    <row r="790" spans="1:4">
      <c r="A790" s="4" t="s">
        <v>168</v>
      </c>
      <c r="B790" s="4" t="s">
        <v>1401</v>
      </c>
      <c r="C790" s="4">
        <v>1.060069554</v>
      </c>
      <c r="D790" s="4">
        <v>1.145449669</v>
      </c>
    </row>
    <row r="791" spans="1:4">
      <c r="A791" s="4" t="s">
        <v>168</v>
      </c>
      <c r="B791" s="4" t="s">
        <v>1401</v>
      </c>
      <c r="C791" s="4">
        <v>1.085361998</v>
      </c>
      <c r="D791" s="4">
        <v>1.1363720100000001</v>
      </c>
    </row>
    <row r="792" spans="1:4">
      <c r="A792" s="4" t="s">
        <v>168</v>
      </c>
      <c r="B792" s="4" t="s">
        <v>1401</v>
      </c>
      <c r="C792" s="4">
        <v>1.154916219</v>
      </c>
      <c r="D792" s="4">
        <v>1.1612610370000001</v>
      </c>
    </row>
    <row r="793" spans="1:4">
      <c r="A793" s="4" t="s">
        <v>168</v>
      </c>
      <c r="B793" s="4" t="s">
        <v>1401</v>
      </c>
      <c r="C793" s="4">
        <v>1.170723996</v>
      </c>
      <c r="D793" s="4">
        <v>1.1612609270000001</v>
      </c>
    </row>
    <row r="794" spans="1:4">
      <c r="A794" s="4" t="s">
        <v>168</v>
      </c>
      <c r="B794" s="4" t="s">
        <v>1401</v>
      </c>
      <c r="C794" s="4">
        <v>1.192854885</v>
      </c>
      <c r="D794" s="4">
        <v>1.161249977</v>
      </c>
    </row>
    <row r="795" spans="1:4">
      <c r="A795" s="4" t="s">
        <v>168</v>
      </c>
      <c r="B795" s="4" t="s">
        <v>1401</v>
      </c>
      <c r="C795" s="4">
        <v>1.170723996</v>
      </c>
      <c r="D795" s="4">
        <v>1.1609945150000001</v>
      </c>
    </row>
    <row r="796" spans="1:4">
      <c r="A796" s="4" t="s">
        <v>168</v>
      </c>
      <c r="B796" s="4" t="s">
        <v>1401</v>
      </c>
      <c r="C796" s="4">
        <v>1.1612393299999999</v>
      </c>
      <c r="D796" s="4">
        <v>1.160271023</v>
      </c>
    </row>
    <row r="797" spans="1:4">
      <c r="A797" s="4" t="s">
        <v>168</v>
      </c>
      <c r="B797" s="4" t="s">
        <v>1401</v>
      </c>
      <c r="C797" s="4">
        <v>1.0727157759999999</v>
      </c>
      <c r="D797" s="4">
        <v>1.151388291</v>
      </c>
    </row>
    <row r="798" spans="1:4">
      <c r="A798" s="4" t="s">
        <v>168</v>
      </c>
      <c r="B798" s="4" t="s">
        <v>1401</v>
      </c>
      <c r="C798" s="4">
        <v>1.0727157759999999</v>
      </c>
      <c r="D798" s="4">
        <v>1.145449669</v>
      </c>
    </row>
    <row r="799" spans="1:4">
      <c r="A799" s="4" t="s">
        <v>168</v>
      </c>
      <c r="B799" s="4" t="s">
        <v>1401</v>
      </c>
      <c r="C799" s="4">
        <v>1.088523554</v>
      </c>
      <c r="D799" s="4">
        <v>1.1363720100000001</v>
      </c>
    </row>
    <row r="800" spans="1:4">
      <c r="A800" s="4" t="s">
        <v>168</v>
      </c>
      <c r="B800" s="4" t="s">
        <v>1401</v>
      </c>
      <c r="C800" s="4">
        <v>1.1580777739999999</v>
      </c>
      <c r="D800" s="4">
        <v>1.161210348</v>
      </c>
    </row>
    <row r="801" spans="1:4">
      <c r="A801" s="4" t="s">
        <v>168</v>
      </c>
      <c r="B801" s="4" t="s">
        <v>1401</v>
      </c>
      <c r="C801" s="4">
        <v>1.151754663</v>
      </c>
      <c r="D801" s="4">
        <v>1.1612059640000001</v>
      </c>
    </row>
    <row r="802" spans="1:4">
      <c r="A802" s="4" t="s">
        <v>168</v>
      </c>
      <c r="B802" s="4" t="s">
        <v>1401</v>
      </c>
      <c r="C802" s="4">
        <v>1.1833702180000001</v>
      </c>
      <c r="D802" s="4">
        <v>1.1607695920000001</v>
      </c>
    </row>
    <row r="803" spans="1:4">
      <c r="A803" s="4" t="s">
        <v>168</v>
      </c>
      <c r="B803" s="4" t="s">
        <v>1401</v>
      </c>
      <c r="C803" s="4">
        <v>1.107492887</v>
      </c>
      <c r="D803" s="4">
        <v>1.151492843</v>
      </c>
    </row>
    <row r="804" spans="1:4">
      <c r="A804" s="4" t="s">
        <v>168</v>
      </c>
      <c r="B804" s="4" t="s">
        <v>1401</v>
      </c>
      <c r="C804" s="4">
        <v>1.0379386660000001</v>
      </c>
      <c r="D804" s="4">
        <v>1.131676831</v>
      </c>
    </row>
    <row r="805" spans="1:4">
      <c r="A805" s="4" t="s">
        <v>168</v>
      </c>
      <c r="B805" s="4" t="s">
        <v>1401</v>
      </c>
      <c r="C805" s="4">
        <v>0.87986089199999995</v>
      </c>
      <c r="D805" s="4">
        <v>1.0494385319999999</v>
      </c>
    </row>
    <row r="806" spans="1:4">
      <c r="A806" s="4" t="s">
        <v>168</v>
      </c>
      <c r="B806" s="4" t="s">
        <v>1401</v>
      </c>
      <c r="C806" s="4">
        <v>0.89566866899999997</v>
      </c>
      <c r="D806" s="4">
        <v>1.026434625</v>
      </c>
    </row>
    <row r="807" spans="1:4">
      <c r="A807" s="4" t="s">
        <v>168</v>
      </c>
      <c r="B807" s="4" t="s">
        <v>1401</v>
      </c>
      <c r="C807" s="4">
        <v>0.84824533700000004</v>
      </c>
      <c r="D807" s="4">
        <v>1.001853635</v>
      </c>
    </row>
    <row r="808" spans="1:4">
      <c r="A808" s="4" t="s">
        <v>168</v>
      </c>
      <c r="B808" s="4" t="s">
        <v>1401</v>
      </c>
      <c r="C808" s="4">
        <v>1.120139108</v>
      </c>
      <c r="D808" s="4">
        <v>1.161210348</v>
      </c>
    </row>
    <row r="809" spans="1:4">
      <c r="A809" s="4" t="s">
        <v>168</v>
      </c>
      <c r="B809" s="4" t="s">
        <v>1401</v>
      </c>
      <c r="C809" s="4">
        <v>1.1833702180000001</v>
      </c>
      <c r="D809" s="4">
        <v>1.1612059640000001</v>
      </c>
    </row>
    <row r="810" spans="1:4">
      <c r="A810" s="4" t="s">
        <v>168</v>
      </c>
      <c r="B810" s="4" t="s">
        <v>1401</v>
      </c>
      <c r="C810" s="4">
        <v>1.1359468859999999</v>
      </c>
      <c r="D810" s="4">
        <v>1.1607695920000001</v>
      </c>
    </row>
    <row r="811" spans="1:4">
      <c r="A811" s="4" t="s">
        <v>168</v>
      </c>
      <c r="B811" s="4" t="s">
        <v>1401</v>
      </c>
      <c r="C811" s="4">
        <v>1.0569079990000001</v>
      </c>
      <c r="D811" s="4">
        <v>1.151492843</v>
      </c>
    </row>
    <row r="812" spans="1:4">
      <c r="A812" s="4" t="s">
        <v>168</v>
      </c>
      <c r="B812" s="4" t="s">
        <v>1401</v>
      </c>
      <c r="C812" s="4">
        <v>1.0537464430000001</v>
      </c>
      <c r="D812" s="4">
        <v>1.131676831</v>
      </c>
    </row>
    <row r="813" spans="1:4">
      <c r="A813" s="4" t="s">
        <v>168</v>
      </c>
      <c r="B813" s="4" t="s">
        <v>1401</v>
      </c>
      <c r="C813" s="4">
        <v>0.841922226</v>
      </c>
      <c r="D813" s="4">
        <v>1.0494385319999999</v>
      </c>
    </row>
    <row r="814" spans="1:4">
      <c r="A814" s="4" t="s">
        <v>168</v>
      </c>
      <c r="B814" s="4" t="s">
        <v>1401</v>
      </c>
      <c r="C814" s="4">
        <v>0.88934555800000004</v>
      </c>
      <c r="D814" s="4">
        <v>1.026434625</v>
      </c>
    </row>
    <row r="815" spans="1:4">
      <c r="A815" s="4" t="s">
        <v>168</v>
      </c>
      <c r="B815" s="4" t="s">
        <v>1401</v>
      </c>
      <c r="C815" s="4">
        <v>0.83559911499999995</v>
      </c>
      <c r="D815" s="4">
        <v>1.001853635</v>
      </c>
    </row>
    <row r="816" spans="1:4">
      <c r="A816" s="4" t="s">
        <v>168</v>
      </c>
      <c r="B816" s="4" t="s">
        <v>1401</v>
      </c>
      <c r="C816" s="4">
        <v>1.1770471069999999</v>
      </c>
      <c r="D816" s="4">
        <v>1.160910919</v>
      </c>
    </row>
    <row r="817" spans="1:4">
      <c r="A817" s="4" t="s">
        <v>168</v>
      </c>
      <c r="B817" s="4" t="s">
        <v>1401</v>
      </c>
      <c r="C817" s="4">
        <v>1.192854885</v>
      </c>
      <c r="D817" s="4">
        <v>1.160881319</v>
      </c>
    </row>
    <row r="818" spans="1:4">
      <c r="A818" s="4" t="s">
        <v>168</v>
      </c>
      <c r="B818" s="4" t="s">
        <v>1401</v>
      </c>
      <c r="C818" s="4">
        <v>1.1422699970000001</v>
      </c>
      <c r="D818" s="4">
        <v>1.157961383</v>
      </c>
    </row>
    <row r="819" spans="1:4">
      <c r="A819" s="4" t="s">
        <v>168</v>
      </c>
      <c r="B819" s="4" t="s">
        <v>1401</v>
      </c>
      <c r="C819" s="4">
        <v>1.0379386660000001</v>
      </c>
      <c r="D819" s="4">
        <v>1.1056469470000001</v>
      </c>
    </row>
    <row r="820" spans="1:4">
      <c r="A820" s="4" t="s">
        <v>168</v>
      </c>
      <c r="B820" s="4" t="s">
        <v>1401</v>
      </c>
      <c r="C820" s="4">
        <v>0.90199178000000002</v>
      </c>
      <c r="D820" s="4">
        <v>1.0294000350000001</v>
      </c>
    </row>
    <row r="821" spans="1:4">
      <c r="A821" s="4" t="s">
        <v>168</v>
      </c>
      <c r="B821" s="4" t="s">
        <v>1401</v>
      </c>
      <c r="C821" s="4">
        <v>0.70913689499999999</v>
      </c>
      <c r="D821" s="4">
        <v>0.86337451600000004</v>
      </c>
    </row>
    <row r="822" spans="1:4">
      <c r="A822" s="4" t="s">
        <v>168</v>
      </c>
      <c r="B822" s="4" t="s">
        <v>1401</v>
      </c>
      <c r="C822" s="4">
        <v>0.67435978500000004</v>
      </c>
      <c r="D822" s="4">
        <v>0.83198143300000005</v>
      </c>
    </row>
    <row r="823" spans="1:4">
      <c r="A823" s="4" t="s">
        <v>168</v>
      </c>
      <c r="B823" s="4" t="s">
        <v>1401</v>
      </c>
      <c r="C823" s="4">
        <v>0.65222889699999997</v>
      </c>
      <c r="D823" s="4">
        <v>0.80164117700000004</v>
      </c>
    </row>
    <row r="824" spans="1:4">
      <c r="A824" s="4" t="s">
        <v>168</v>
      </c>
      <c r="B824" s="4" t="s">
        <v>1401</v>
      </c>
      <c r="C824" s="4">
        <v>1.126462219</v>
      </c>
      <c r="D824" s="4">
        <v>1.160910919</v>
      </c>
    </row>
    <row r="825" spans="1:4">
      <c r="A825" s="4" t="s">
        <v>168</v>
      </c>
      <c r="B825" s="4" t="s">
        <v>1401</v>
      </c>
      <c r="C825" s="4">
        <v>1.154916219</v>
      </c>
      <c r="D825" s="4">
        <v>1.160881319</v>
      </c>
    </row>
    <row r="826" spans="1:4">
      <c r="A826" s="4" t="s">
        <v>168</v>
      </c>
      <c r="B826" s="4" t="s">
        <v>1401</v>
      </c>
      <c r="C826" s="4">
        <v>1.148593108</v>
      </c>
      <c r="D826" s="4">
        <v>1.157961383</v>
      </c>
    </row>
    <row r="827" spans="1:4">
      <c r="A827" s="4" t="s">
        <v>168</v>
      </c>
      <c r="B827" s="4" t="s">
        <v>1401</v>
      </c>
      <c r="C827" s="4">
        <v>1.0537464430000001</v>
      </c>
      <c r="D827" s="4">
        <v>1.1056469470000001</v>
      </c>
    </row>
    <row r="828" spans="1:4">
      <c r="A828" s="4" t="s">
        <v>168</v>
      </c>
      <c r="B828" s="4" t="s">
        <v>1401</v>
      </c>
      <c r="C828" s="4">
        <v>1.0094846660000001</v>
      </c>
      <c r="D828" s="4">
        <v>1.0294000350000001</v>
      </c>
    </row>
    <row r="829" spans="1:4">
      <c r="A829" s="4" t="s">
        <v>168</v>
      </c>
      <c r="B829" s="4" t="s">
        <v>1401</v>
      </c>
      <c r="C829" s="4">
        <v>0.696490673</v>
      </c>
      <c r="D829" s="4">
        <v>0.86337451600000004</v>
      </c>
    </row>
    <row r="830" spans="1:4">
      <c r="A830" s="4" t="s">
        <v>168</v>
      </c>
      <c r="B830" s="4" t="s">
        <v>1401</v>
      </c>
      <c r="C830" s="4">
        <v>0.66171356299999995</v>
      </c>
      <c r="D830" s="4">
        <v>0.83198143300000005</v>
      </c>
    </row>
    <row r="831" spans="1:4">
      <c r="A831" s="4" t="s">
        <v>168</v>
      </c>
      <c r="B831" s="4" t="s">
        <v>1401</v>
      </c>
      <c r="C831" s="4">
        <v>0.65855200800000002</v>
      </c>
      <c r="D831" s="4">
        <v>0.80164117700000004</v>
      </c>
    </row>
    <row r="832" spans="1:4">
      <c r="A832" s="4" t="s">
        <v>168</v>
      </c>
      <c r="B832" s="4" t="s">
        <v>1401</v>
      </c>
      <c r="C832" s="4">
        <v>1.0916851089999999</v>
      </c>
      <c r="D832" s="4">
        <v>1.1594418419999999</v>
      </c>
    </row>
    <row r="833" spans="1:4">
      <c r="A833" s="4" t="s">
        <v>168</v>
      </c>
      <c r="B833" s="4" t="s">
        <v>1401</v>
      </c>
      <c r="C833" s="4">
        <v>1.148593108</v>
      </c>
      <c r="D833" s="4">
        <v>1.1592889689999999</v>
      </c>
    </row>
    <row r="834" spans="1:4">
      <c r="A834" s="4" t="s">
        <v>168</v>
      </c>
      <c r="B834" s="4" t="s">
        <v>1401</v>
      </c>
      <c r="C834" s="4">
        <v>1.151754663</v>
      </c>
      <c r="D834" s="4">
        <v>1.144552902</v>
      </c>
    </row>
    <row r="835" spans="1:4">
      <c r="A835" s="4" t="s">
        <v>168</v>
      </c>
      <c r="B835" s="4" t="s">
        <v>1401</v>
      </c>
      <c r="C835" s="4">
        <v>0.88934555800000004</v>
      </c>
      <c r="D835" s="4">
        <v>0.95571297700000002</v>
      </c>
    </row>
    <row r="836" spans="1:4">
      <c r="A836" s="4" t="s">
        <v>168</v>
      </c>
      <c r="B836" s="4" t="s">
        <v>1401</v>
      </c>
      <c r="C836" s="4">
        <v>0.93676888999999997</v>
      </c>
      <c r="D836" s="4">
        <v>0.79630159099999998</v>
      </c>
    </row>
    <row r="837" spans="1:4">
      <c r="A837" s="4" t="s">
        <v>168</v>
      </c>
      <c r="B837" s="4" t="s">
        <v>1401</v>
      </c>
      <c r="C837" s="4">
        <v>0.55105912099999999</v>
      </c>
      <c r="D837" s="4">
        <v>0.59151669100000004</v>
      </c>
    </row>
    <row r="838" spans="1:4">
      <c r="A838" s="4" t="s">
        <v>168</v>
      </c>
      <c r="B838" s="4" t="s">
        <v>1401</v>
      </c>
      <c r="C838" s="4">
        <v>0.49098956700000002</v>
      </c>
      <c r="D838" s="4">
        <v>0.56198974300000004</v>
      </c>
    </row>
    <row r="839" spans="1:4">
      <c r="A839" s="4" t="s">
        <v>168</v>
      </c>
      <c r="B839" s="4" t="s">
        <v>1401</v>
      </c>
      <c r="C839" s="4">
        <v>0.48782801100000001</v>
      </c>
      <c r="D839" s="4">
        <v>0.53499313000000004</v>
      </c>
    </row>
    <row r="840" spans="1:4">
      <c r="A840" s="4" t="s">
        <v>168</v>
      </c>
      <c r="B840" s="4" t="s">
        <v>1401</v>
      </c>
      <c r="C840" s="4">
        <v>1.107492887</v>
      </c>
      <c r="D840" s="4">
        <v>1.1594418419999999</v>
      </c>
    </row>
    <row r="841" spans="1:4">
      <c r="A841" s="4" t="s">
        <v>168</v>
      </c>
      <c r="B841" s="4" t="s">
        <v>1401</v>
      </c>
      <c r="C841" s="4">
        <v>1.1327853299999999</v>
      </c>
      <c r="D841" s="4">
        <v>1.1592889689999999</v>
      </c>
    </row>
    <row r="842" spans="1:4">
      <c r="A842" s="4" t="s">
        <v>168</v>
      </c>
      <c r="B842" s="4" t="s">
        <v>1401</v>
      </c>
      <c r="C842" s="4">
        <v>1.1612393299999999</v>
      </c>
      <c r="D842" s="4">
        <v>1.144552902</v>
      </c>
    </row>
    <row r="843" spans="1:4">
      <c r="A843" s="4" t="s">
        <v>168</v>
      </c>
      <c r="B843" s="4" t="s">
        <v>1401</v>
      </c>
      <c r="C843" s="4">
        <v>0.911476446</v>
      </c>
      <c r="D843" s="4">
        <v>0.95571297700000002</v>
      </c>
    </row>
    <row r="844" spans="1:4">
      <c r="A844" s="4" t="s">
        <v>168</v>
      </c>
      <c r="B844" s="4" t="s">
        <v>1401</v>
      </c>
      <c r="C844" s="4">
        <v>0.93676888999999997</v>
      </c>
      <c r="D844" s="4">
        <v>0.79630159099999998</v>
      </c>
    </row>
    <row r="845" spans="1:4">
      <c r="A845" s="4" t="s">
        <v>168</v>
      </c>
      <c r="B845" s="4" t="s">
        <v>1401</v>
      </c>
      <c r="C845" s="4">
        <v>0.54473601000000005</v>
      </c>
      <c r="D845" s="4">
        <v>0.59151669100000004</v>
      </c>
    </row>
    <row r="846" spans="1:4">
      <c r="A846" s="4" t="s">
        <v>168</v>
      </c>
      <c r="B846" s="4" t="s">
        <v>1401</v>
      </c>
      <c r="C846" s="4">
        <v>0.48466645600000002</v>
      </c>
      <c r="D846" s="4">
        <v>0.56198974300000004</v>
      </c>
    </row>
    <row r="847" spans="1:4">
      <c r="A847" s="4" t="s">
        <v>168</v>
      </c>
      <c r="B847" s="4" t="s">
        <v>1401</v>
      </c>
      <c r="C847" s="4">
        <v>0.50047423300000005</v>
      </c>
      <c r="D847" s="4">
        <v>0.53499313000000004</v>
      </c>
    </row>
    <row r="848" spans="1:4">
      <c r="A848" s="4" t="s">
        <v>168</v>
      </c>
      <c r="B848" s="4" t="s">
        <v>1401</v>
      </c>
      <c r="C848" s="4">
        <v>1.0505848879999999</v>
      </c>
      <c r="D848" s="4">
        <v>1.1563394760000001</v>
      </c>
    </row>
    <row r="849" spans="1:4">
      <c r="A849" s="4" t="s">
        <v>168</v>
      </c>
      <c r="B849" s="4" t="s">
        <v>1401</v>
      </c>
      <c r="C849" s="4">
        <v>1.085361998</v>
      </c>
      <c r="D849" s="4">
        <v>1.1559279710000001</v>
      </c>
    </row>
    <row r="850" spans="1:4">
      <c r="A850" s="4" t="s">
        <v>168</v>
      </c>
      <c r="B850" s="4" t="s">
        <v>1401</v>
      </c>
      <c r="C850" s="4">
        <v>1.0822004430000001</v>
      </c>
      <c r="D850" s="4">
        <v>1.1175694</v>
      </c>
    </row>
    <row r="851" spans="1:4">
      <c r="A851" s="4" t="s">
        <v>168</v>
      </c>
      <c r="B851" s="4" t="s">
        <v>1401</v>
      </c>
      <c r="C851" s="4">
        <v>0.77869111599999996</v>
      </c>
      <c r="D851" s="4">
        <v>0.77144304699999999</v>
      </c>
    </row>
    <row r="852" spans="1:4">
      <c r="A852" s="4" t="s">
        <v>168</v>
      </c>
      <c r="B852" s="4" t="s">
        <v>1401</v>
      </c>
      <c r="C852" s="4">
        <v>0.65222889699999997</v>
      </c>
      <c r="D852" s="4">
        <v>0.58385030800000004</v>
      </c>
    </row>
    <row r="853" spans="1:4">
      <c r="A853" s="4" t="s">
        <v>168</v>
      </c>
      <c r="B853" s="4" t="s">
        <v>1401</v>
      </c>
      <c r="C853" s="4">
        <v>0.424596902</v>
      </c>
      <c r="D853" s="4">
        <v>0.37545339500000002</v>
      </c>
    </row>
    <row r="854" spans="1:4">
      <c r="A854" s="4" t="s">
        <v>168</v>
      </c>
      <c r="B854" s="4" t="s">
        <v>1401</v>
      </c>
      <c r="C854" s="4">
        <v>0.39930445799999997</v>
      </c>
      <c r="D854" s="4">
        <v>0.35421065699999998</v>
      </c>
    </row>
    <row r="855" spans="1:4">
      <c r="A855" s="4" t="s">
        <v>168</v>
      </c>
      <c r="B855" s="4" t="s">
        <v>1401</v>
      </c>
      <c r="C855" s="4">
        <v>1.018969333</v>
      </c>
      <c r="D855" s="4">
        <v>1.1563394760000001</v>
      </c>
    </row>
    <row r="856" spans="1:4">
      <c r="A856" s="4" t="s">
        <v>168</v>
      </c>
      <c r="B856" s="4" t="s">
        <v>1401</v>
      </c>
      <c r="C856" s="4">
        <v>1.0916851089999999</v>
      </c>
      <c r="D856" s="4">
        <v>1.1559279710000001</v>
      </c>
    </row>
    <row r="857" spans="1:4">
      <c r="A857" s="4" t="s">
        <v>168</v>
      </c>
      <c r="B857" s="4" t="s">
        <v>1401</v>
      </c>
      <c r="C857" s="4">
        <v>1.0569079990000001</v>
      </c>
      <c r="D857" s="4">
        <v>1.1175694</v>
      </c>
    </row>
    <row r="858" spans="1:4">
      <c r="A858" s="4" t="s">
        <v>168</v>
      </c>
      <c r="B858" s="4" t="s">
        <v>1401</v>
      </c>
      <c r="C858" s="4">
        <v>0.75339867199999999</v>
      </c>
      <c r="D858" s="4">
        <v>0.77144304699999999</v>
      </c>
    </row>
    <row r="859" spans="1:4">
      <c r="A859" s="4" t="s">
        <v>168</v>
      </c>
      <c r="B859" s="4" t="s">
        <v>1401</v>
      </c>
      <c r="C859" s="4">
        <v>0.63958267499999999</v>
      </c>
      <c r="D859" s="4">
        <v>0.58385030800000004</v>
      </c>
    </row>
    <row r="860" spans="1:4">
      <c r="A860" s="4" t="s">
        <v>168</v>
      </c>
      <c r="B860" s="4" t="s">
        <v>1401</v>
      </c>
      <c r="C860" s="4">
        <v>0.46885867799999997</v>
      </c>
      <c r="D860" s="4">
        <v>0.39916289100000002</v>
      </c>
    </row>
    <row r="861" spans="1:4">
      <c r="A861" s="4" t="s">
        <v>168</v>
      </c>
      <c r="B861" s="4" t="s">
        <v>1401</v>
      </c>
      <c r="C861" s="4">
        <v>0.43724312399999998</v>
      </c>
      <c r="D861" s="4">
        <v>0.37545339500000002</v>
      </c>
    </row>
    <row r="862" spans="1:4">
      <c r="A862" s="4" t="s">
        <v>168</v>
      </c>
      <c r="B862" s="4" t="s">
        <v>1401</v>
      </c>
      <c r="C862" s="4">
        <v>0.374012014</v>
      </c>
      <c r="D862" s="4">
        <v>0.35421065699999998</v>
      </c>
    </row>
    <row r="863" spans="1:4">
      <c r="A863" s="4" t="s">
        <v>162</v>
      </c>
      <c r="B863" s="4" t="s">
        <v>1402</v>
      </c>
      <c r="C863" s="4">
        <v>0.65671641800000002</v>
      </c>
      <c r="D863" s="4">
        <v>0.62991132500000002</v>
      </c>
    </row>
    <row r="864" spans="1:4">
      <c r="A864" s="4" t="s">
        <v>162</v>
      </c>
      <c r="B864" s="4" t="s">
        <v>1402</v>
      </c>
      <c r="C864" s="4">
        <v>0.61601085499999997</v>
      </c>
      <c r="D864" s="4">
        <v>0.62991127000000002</v>
      </c>
    </row>
    <row r="865" spans="1:4">
      <c r="A865" s="4" t="s">
        <v>162</v>
      </c>
      <c r="B865" s="4" t="s">
        <v>1402</v>
      </c>
      <c r="C865" s="4">
        <v>0.63229307999999995</v>
      </c>
      <c r="D865" s="4">
        <v>0.62990577400000003</v>
      </c>
    </row>
    <row r="866" spans="1:4">
      <c r="A866" s="4" t="s">
        <v>162</v>
      </c>
      <c r="B866" s="4" t="s">
        <v>1402</v>
      </c>
      <c r="C866" s="4">
        <v>0.65671641800000002</v>
      </c>
      <c r="D866" s="4">
        <v>0.62977551899999995</v>
      </c>
    </row>
    <row r="867" spans="1:4">
      <c r="A867" s="4" t="s">
        <v>162</v>
      </c>
      <c r="B867" s="4" t="s">
        <v>1402</v>
      </c>
      <c r="C867" s="4">
        <v>0.67571234700000005</v>
      </c>
      <c r="D867" s="4">
        <v>0.62938445799999998</v>
      </c>
    </row>
    <row r="868" spans="1:4">
      <c r="A868" s="4" t="s">
        <v>162</v>
      </c>
      <c r="B868" s="4" t="s">
        <v>1402</v>
      </c>
      <c r="C868" s="4">
        <v>0.68113975599999999</v>
      </c>
      <c r="D868" s="4">
        <v>0.62037178900000001</v>
      </c>
    </row>
    <row r="869" spans="1:4">
      <c r="A869" s="4" t="s">
        <v>162</v>
      </c>
      <c r="B869" s="4" t="s">
        <v>1402</v>
      </c>
      <c r="C869" s="4">
        <v>0.71641790999999999</v>
      </c>
      <c r="D869" s="4">
        <v>0.60570974300000002</v>
      </c>
    </row>
    <row r="870" spans="1:4">
      <c r="A870" s="4" t="s">
        <v>162</v>
      </c>
      <c r="B870" s="4" t="s">
        <v>1402</v>
      </c>
      <c r="C870" s="4">
        <v>0.61329715100000004</v>
      </c>
      <c r="D870" s="4">
        <v>0.55214978199999998</v>
      </c>
    </row>
    <row r="871" spans="1:4">
      <c r="A871" s="4" t="s">
        <v>162</v>
      </c>
      <c r="B871" s="4" t="s">
        <v>1402</v>
      </c>
      <c r="C871" s="4">
        <v>0.719131615</v>
      </c>
      <c r="D871" s="4">
        <v>0.62991132500000002</v>
      </c>
    </row>
    <row r="872" spans="1:4">
      <c r="A872" s="4" t="s">
        <v>162</v>
      </c>
      <c r="B872" s="4" t="s">
        <v>1402</v>
      </c>
      <c r="C872" s="4">
        <v>0.63772048800000003</v>
      </c>
      <c r="D872" s="4">
        <v>0.62991127000000002</v>
      </c>
    </row>
    <row r="873" spans="1:4">
      <c r="A873" s="4" t="s">
        <v>162</v>
      </c>
      <c r="B873" s="4" t="s">
        <v>1402</v>
      </c>
      <c r="C873" s="4">
        <v>0.664857531</v>
      </c>
      <c r="D873" s="4">
        <v>0.62990577400000003</v>
      </c>
    </row>
    <row r="874" spans="1:4">
      <c r="A874" s="4" t="s">
        <v>162</v>
      </c>
      <c r="B874" s="4" t="s">
        <v>1402</v>
      </c>
      <c r="C874" s="4">
        <v>0.76797828999999995</v>
      </c>
      <c r="D874" s="4">
        <v>0.62977551899999995</v>
      </c>
    </row>
    <row r="875" spans="1:4">
      <c r="A875" s="4" t="s">
        <v>162</v>
      </c>
      <c r="B875" s="4" t="s">
        <v>1402</v>
      </c>
      <c r="C875" s="4">
        <v>0.75440976900000001</v>
      </c>
      <c r="D875" s="4">
        <v>0.62938445799999998</v>
      </c>
    </row>
    <row r="876" spans="1:4">
      <c r="A876" s="4" t="s">
        <v>162</v>
      </c>
      <c r="B876" s="4" t="s">
        <v>1402</v>
      </c>
      <c r="C876" s="4">
        <v>0.63500678399999999</v>
      </c>
      <c r="D876" s="4">
        <v>0.62037178900000001</v>
      </c>
    </row>
    <row r="877" spans="1:4">
      <c r="A877" s="4" t="s">
        <v>162</v>
      </c>
      <c r="B877" s="4" t="s">
        <v>1402</v>
      </c>
      <c r="C877" s="4">
        <v>0.72998643100000005</v>
      </c>
      <c r="D877" s="4">
        <v>0.60570974300000002</v>
      </c>
    </row>
    <row r="878" spans="1:4">
      <c r="A878" s="4" t="s">
        <v>162</v>
      </c>
      <c r="B878" s="4" t="s">
        <v>1402</v>
      </c>
      <c r="C878" s="4">
        <v>0.64043419300000004</v>
      </c>
      <c r="D878" s="4">
        <v>0.55214978199999998</v>
      </c>
    </row>
    <row r="879" spans="1:4">
      <c r="A879" s="4" t="s">
        <v>162</v>
      </c>
      <c r="B879" s="4" t="s">
        <v>1402</v>
      </c>
      <c r="C879" s="4">
        <v>0.67028493899999997</v>
      </c>
      <c r="D879" s="4">
        <v>0.62984110699999996</v>
      </c>
    </row>
    <row r="880" spans="1:4">
      <c r="A880" s="4" t="s">
        <v>162</v>
      </c>
      <c r="B880" s="4" t="s">
        <v>1402</v>
      </c>
      <c r="C880" s="4">
        <v>0.65671641800000002</v>
      </c>
      <c r="D880" s="4">
        <v>0.62983512799999997</v>
      </c>
    </row>
    <row r="881" spans="1:4">
      <c r="A881" s="4" t="s">
        <v>162</v>
      </c>
      <c r="B881" s="4" t="s">
        <v>1402</v>
      </c>
      <c r="C881" s="4">
        <v>0.68113975599999999</v>
      </c>
      <c r="D881" s="4">
        <v>0.62923809500000005</v>
      </c>
    </row>
    <row r="882" spans="1:4">
      <c r="A882" s="4" t="s">
        <v>162</v>
      </c>
      <c r="B882" s="4" t="s">
        <v>1402</v>
      </c>
      <c r="C882" s="4">
        <v>0.59158751700000001</v>
      </c>
      <c r="D882" s="4">
        <v>0.61560908599999997</v>
      </c>
    </row>
    <row r="883" spans="1:4">
      <c r="A883" s="4" t="s">
        <v>162</v>
      </c>
      <c r="B883" s="4" t="s">
        <v>1402</v>
      </c>
      <c r="C883" s="4">
        <v>0.412483039</v>
      </c>
      <c r="D883" s="4">
        <v>0.57988772499999997</v>
      </c>
    </row>
    <row r="884" spans="1:4">
      <c r="A884" s="4" t="s">
        <v>162</v>
      </c>
      <c r="B884" s="4" t="s">
        <v>1402</v>
      </c>
      <c r="C884" s="4">
        <v>0.126187246</v>
      </c>
      <c r="D884" s="4">
        <v>0.33268399300000001</v>
      </c>
    </row>
    <row r="885" spans="1:4">
      <c r="A885" s="4" t="s">
        <v>162</v>
      </c>
      <c r="B885" s="4" t="s">
        <v>1402</v>
      </c>
      <c r="C885" s="4">
        <v>0.10257801900000001</v>
      </c>
      <c r="D885" s="4">
        <v>0.25504128500000001</v>
      </c>
    </row>
    <row r="886" spans="1:4">
      <c r="A886" s="4" t="s">
        <v>162</v>
      </c>
      <c r="B886" s="4" t="s">
        <v>1402</v>
      </c>
      <c r="C886" s="4">
        <v>5.3188602000000001E-2</v>
      </c>
      <c r="D886" s="4">
        <v>0.18448414299999999</v>
      </c>
    </row>
    <row r="887" spans="1:4">
      <c r="A887" s="4" t="s">
        <v>162</v>
      </c>
      <c r="B887" s="4" t="s">
        <v>1402</v>
      </c>
      <c r="C887" s="4">
        <v>0.68113975599999999</v>
      </c>
      <c r="D887" s="4">
        <v>0.62984110699999996</v>
      </c>
    </row>
    <row r="888" spans="1:4">
      <c r="A888" s="4" t="s">
        <v>162</v>
      </c>
      <c r="B888" s="4" t="s">
        <v>1402</v>
      </c>
      <c r="C888" s="4">
        <v>0.64857530500000005</v>
      </c>
      <c r="D888" s="4">
        <v>0.62983512799999997</v>
      </c>
    </row>
    <row r="889" spans="1:4">
      <c r="A889" s="4" t="s">
        <v>162</v>
      </c>
      <c r="B889" s="4" t="s">
        <v>1402</v>
      </c>
      <c r="C889" s="4">
        <v>0.65671641800000002</v>
      </c>
      <c r="D889" s="4">
        <v>0.62923809500000005</v>
      </c>
    </row>
    <row r="890" spans="1:4">
      <c r="A890" s="4" t="s">
        <v>162</v>
      </c>
      <c r="B890" s="4" t="s">
        <v>1402</v>
      </c>
      <c r="C890" s="4">
        <v>0.60515603799999995</v>
      </c>
      <c r="D890" s="4">
        <v>0.61560908599999997</v>
      </c>
    </row>
    <row r="891" spans="1:4">
      <c r="A891" s="4" t="s">
        <v>162</v>
      </c>
      <c r="B891" s="4" t="s">
        <v>1402</v>
      </c>
      <c r="C891" s="4">
        <v>0.42605156</v>
      </c>
      <c r="D891" s="4">
        <v>0.57988772499999997</v>
      </c>
    </row>
    <row r="892" spans="1:4">
      <c r="A892" s="4" t="s">
        <v>162</v>
      </c>
      <c r="B892" s="4" t="s">
        <v>1402</v>
      </c>
      <c r="C892" s="4">
        <v>0.124559023</v>
      </c>
      <c r="D892" s="4">
        <v>0.33268399300000001</v>
      </c>
    </row>
    <row r="893" spans="1:4">
      <c r="A893" s="4" t="s">
        <v>162</v>
      </c>
      <c r="B893" s="4" t="s">
        <v>1402</v>
      </c>
      <c r="C893" s="4">
        <v>8.3310719000000005E-2</v>
      </c>
      <c r="D893" s="4">
        <v>0.25504128500000001</v>
      </c>
    </row>
    <row r="894" spans="1:4">
      <c r="A894" s="4" t="s">
        <v>162</v>
      </c>
      <c r="B894" s="4" t="s">
        <v>1402</v>
      </c>
      <c r="C894" s="4">
        <v>5.8073270000000003E-2</v>
      </c>
      <c r="D894" s="4">
        <v>0.18448414299999999</v>
      </c>
    </row>
    <row r="895" spans="1:4">
      <c r="A895" s="4" t="s">
        <v>162</v>
      </c>
      <c r="B895" s="4" t="s">
        <v>1402</v>
      </c>
      <c r="C895" s="4">
        <v>0.67299864300000001</v>
      </c>
      <c r="D895" s="4">
        <v>0.62708645799999996</v>
      </c>
    </row>
    <row r="896" spans="1:4">
      <c r="A896" s="4" t="s">
        <v>162</v>
      </c>
      <c r="B896" s="4" t="s">
        <v>1402</v>
      </c>
      <c r="C896" s="4">
        <v>0.67842605199999995</v>
      </c>
      <c r="D896" s="4">
        <v>0.62684929099999998</v>
      </c>
    </row>
    <row r="897" spans="1:4">
      <c r="A897" s="4" t="s">
        <v>162</v>
      </c>
      <c r="B897" s="4" t="s">
        <v>1402</v>
      </c>
      <c r="C897" s="4">
        <v>0.63500678399999999</v>
      </c>
      <c r="D897" s="4">
        <v>0.60406562699999999</v>
      </c>
    </row>
    <row r="898" spans="1:4">
      <c r="A898" s="4" t="s">
        <v>162</v>
      </c>
      <c r="B898" s="4" t="s">
        <v>1402</v>
      </c>
      <c r="C898" s="4">
        <v>0.17177747600000001</v>
      </c>
      <c r="D898" s="4">
        <v>0.33442793500000001</v>
      </c>
    </row>
    <row r="899" spans="1:4">
      <c r="A899" s="4" t="s">
        <v>162</v>
      </c>
      <c r="B899" s="4" t="s">
        <v>1402</v>
      </c>
      <c r="C899" s="4">
        <v>0.100135685</v>
      </c>
      <c r="D899" s="4">
        <v>0.16003592</v>
      </c>
    </row>
    <row r="900" spans="1:4">
      <c r="A900" s="4" t="s">
        <v>162</v>
      </c>
      <c r="B900" s="4" t="s">
        <v>1402</v>
      </c>
      <c r="C900" s="4">
        <v>3.4735413999999999E-2</v>
      </c>
      <c r="D900" s="4">
        <v>3.2114876000000001E-2</v>
      </c>
    </row>
    <row r="901" spans="1:4">
      <c r="A901" s="4" t="s">
        <v>162</v>
      </c>
      <c r="B901" s="4" t="s">
        <v>1402</v>
      </c>
      <c r="C901" s="4">
        <v>2.5237448999999999E-2</v>
      </c>
      <c r="D901" s="4">
        <v>2.1955703999999999E-2</v>
      </c>
    </row>
    <row r="902" spans="1:4">
      <c r="A902" s="4" t="s">
        <v>162</v>
      </c>
      <c r="B902" s="4" t="s">
        <v>1402</v>
      </c>
      <c r="C902" s="4">
        <v>3.0664858E-2</v>
      </c>
      <c r="D902" s="4">
        <v>1.4111212999999999E-2</v>
      </c>
    </row>
    <row r="903" spans="1:4">
      <c r="A903" s="4" t="s">
        <v>162</v>
      </c>
      <c r="B903" s="4" t="s">
        <v>1402</v>
      </c>
      <c r="C903" s="4">
        <v>0.67571234700000005</v>
      </c>
      <c r="D903" s="4">
        <v>0.62708645799999996</v>
      </c>
    </row>
    <row r="904" spans="1:4">
      <c r="A904" s="4" t="s">
        <v>162</v>
      </c>
      <c r="B904" s="4" t="s">
        <v>1402</v>
      </c>
      <c r="C904" s="4">
        <v>0.69470827700000004</v>
      </c>
      <c r="D904" s="4">
        <v>0.62684929099999998</v>
      </c>
    </row>
    <row r="905" spans="1:4">
      <c r="A905" s="4" t="s">
        <v>162</v>
      </c>
      <c r="B905" s="4" t="s">
        <v>1402</v>
      </c>
      <c r="C905" s="4">
        <v>0.63229307999999995</v>
      </c>
      <c r="D905" s="4">
        <v>0.60406562699999999</v>
      </c>
    </row>
    <row r="906" spans="1:4">
      <c r="A906" s="4" t="s">
        <v>162</v>
      </c>
      <c r="B906" s="4" t="s">
        <v>1402</v>
      </c>
      <c r="C906" s="4">
        <v>0.16445047500000001</v>
      </c>
      <c r="D906" s="4">
        <v>0.33442793500000001</v>
      </c>
    </row>
    <row r="907" spans="1:4">
      <c r="A907" s="4" t="s">
        <v>162</v>
      </c>
      <c r="B907" s="4" t="s">
        <v>1402</v>
      </c>
      <c r="C907" s="4">
        <v>9.4165535999999994E-2</v>
      </c>
      <c r="D907" s="4">
        <v>0.16003592</v>
      </c>
    </row>
    <row r="908" spans="1:4">
      <c r="A908" s="4" t="s">
        <v>162</v>
      </c>
      <c r="B908" s="4" t="s">
        <v>1402</v>
      </c>
      <c r="C908" s="4">
        <v>3.2564450000000002E-2</v>
      </c>
      <c r="D908" s="4">
        <v>3.2114876000000001E-2</v>
      </c>
    </row>
    <row r="909" spans="1:4">
      <c r="A909" s="4" t="s">
        <v>162</v>
      </c>
      <c r="B909" s="4" t="s">
        <v>1402</v>
      </c>
      <c r="C909" s="4">
        <v>3.0664858E-2</v>
      </c>
      <c r="D909" s="4">
        <v>2.1955703999999999E-2</v>
      </c>
    </row>
    <row r="910" spans="1:4">
      <c r="A910" s="4" t="s">
        <v>162</v>
      </c>
      <c r="B910" s="4" t="s">
        <v>1402</v>
      </c>
      <c r="C910" s="4">
        <v>2.6865672E-2</v>
      </c>
      <c r="D910" s="4">
        <v>1.4111212999999999E-2</v>
      </c>
    </row>
    <row r="911" spans="1:4">
      <c r="A911" s="4" t="s">
        <v>162</v>
      </c>
      <c r="B911" s="4" t="s">
        <v>1402</v>
      </c>
      <c r="C911" s="4">
        <v>0.64314789699999997</v>
      </c>
      <c r="D911" s="4">
        <v>0.61127024299999999</v>
      </c>
    </row>
    <row r="912" spans="1:4">
      <c r="A912" s="4" t="s">
        <v>162</v>
      </c>
      <c r="B912" s="4" t="s">
        <v>1402</v>
      </c>
      <c r="C912" s="4">
        <v>0.66214382599999999</v>
      </c>
      <c r="D912" s="4">
        <v>0.60974783399999999</v>
      </c>
    </row>
    <row r="913" spans="1:4">
      <c r="A913" s="4" t="s">
        <v>162</v>
      </c>
      <c r="B913" s="4" t="s">
        <v>1402</v>
      </c>
      <c r="C913" s="4">
        <v>0.37991858899999997</v>
      </c>
      <c r="D913" s="4">
        <v>0.48825132199999999</v>
      </c>
    </row>
    <row r="914" spans="1:4">
      <c r="A914" s="4" t="s">
        <v>162</v>
      </c>
      <c r="B914" s="4" t="s">
        <v>1402</v>
      </c>
      <c r="C914" s="4">
        <v>5.4002714E-2</v>
      </c>
      <c r="D914" s="4">
        <v>8.5958203999999996E-2</v>
      </c>
    </row>
    <row r="915" spans="1:4">
      <c r="A915" s="4" t="s">
        <v>162</v>
      </c>
      <c r="B915" s="4" t="s">
        <v>1402</v>
      </c>
      <c r="C915" s="4">
        <v>2.8222523999999999E-2</v>
      </c>
      <c r="D915" s="4">
        <v>2.3083077E-2</v>
      </c>
    </row>
    <row r="916" spans="1:4">
      <c r="A916" s="4" t="s">
        <v>162</v>
      </c>
      <c r="B916" s="4" t="s">
        <v>1402</v>
      </c>
      <c r="C916" s="4">
        <v>2.4694707999999999E-2</v>
      </c>
      <c r="D916" s="4">
        <v>-6.8382470000000004E-3</v>
      </c>
    </row>
    <row r="917" spans="1:4">
      <c r="A917" s="4" t="s">
        <v>162</v>
      </c>
      <c r="B917" s="4" t="s">
        <v>1402</v>
      </c>
      <c r="C917" s="4">
        <v>2.6594301000000001E-2</v>
      </c>
      <c r="D917" s="4">
        <v>-9.2245279999999992E-3</v>
      </c>
    </row>
    <row r="918" spans="1:4">
      <c r="A918" s="4" t="s">
        <v>162</v>
      </c>
      <c r="B918" s="4" t="s">
        <v>1402</v>
      </c>
      <c r="C918" s="4">
        <v>2.4423337999999999E-2</v>
      </c>
      <c r="D918" s="4">
        <v>-1.1147812E-2</v>
      </c>
    </row>
    <row r="919" spans="1:4">
      <c r="A919" s="4" t="s">
        <v>162</v>
      </c>
      <c r="B919" s="4" t="s">
        <v>1402</v>
      </c>
      <c r="C919" s="4">
        <v>0.64043419300000004</v>
      </c>
      <c r="D919" s="4">
        <v>0.61127024299999999</v>
      </c>
    </row>
    <row r="920" spans="1:4">
      <c r="A920" s="4" t="s">
        <v>162</v>
      </c>
      <c r="B920" s="4" t="s">
        <v>1402</v>
      </c>
      <c r="C920" s="4">
        <v>0.64857530500000005</v>
      </c>
      <c r="D920" s="4">
        <v>0.60974783399999999</v>
      </c>
    </row>
    <row r="921" spans="1:4">
      <c r="A921" s="4" t="s">
        <v>162</v>
      </c>
      <c r="B921" s="4" t="s">
        <v>1402</v>
      </c>
      <c r="C921" s="4">
        <v>0.358208955</v>
      </c>
      <c r="D921" s="4">
        <v>0.48825132199999999</v>
      </c>
    </row>
    <row r="922" spans="1:4">
      <c r="A922" s="4" t="s">
        <v>162</v>
      </c>
      <c r="B922" s="4" t="s">
        <v>1402</v>
      </c>
      <c r="C922" s="4">
        <v>4.0434193E-2</v>
      </c>
      <c r="D922" s="4">
        <v>8.5958203999999996E-2</v>
      </c>
    </row>
    <row r="923" spans="1:4">
      <c r="A923" s="4" t="s">
        <v>162</v>
      </c>
      <c r="B923" s="4" t="s">
        <v>1402</v>
      </c>
      <c r="C923" s="4">
        <v>2.9308005000000002E-2</v>
      </c>
      <c r="D923" s="4">
        <v>2.3083077E-2</v>
      </c>
    </row>
    <row r="924" spans="1:4">
      <c r="A924" s="4" t="s">
        <v>162</v>
      </c>
      <c r="B924" s="4" t="s">
        <v>1402</v>
      </c>
      <c r="C924" s="4">
        <v>1.8724559000000002E-2</v>
      </c>
      <c r="D924" s="4">
        <v>-6.8382470000000004E-3</v>
      </c>
    </row>
    <row r="925" spans="1:4">
      <c r="A925" s="4" t="s">
        <v>162</v>
      </c>
      <c r="B925" s="4" t="s">
        <v>1402</v>
      </c>
      <c r="C925" s="4">
        <v>2.3880597E-2</v>
      </c>
      <c r="D925" s="4">
        <v>-9.2245279999999992E-3</v>
      </c>
    </row>
    <row r="926" spans="1:4">
      <c r="A926" s="4" t="s">
        <v>162</v>
      </c>
      <c r="B926" s="4" t="s">
        <v>1402</v>
      </c>
      <c r="C926" s="4">
        <v>2.9579376000000001E-2</v>
      </c>
      <c r="D926" s="4">
        <v>-1.1147812E-2</v>
      </c>
    </row>
    <row r="927" spans="1:4">
      <c r="A927" s="4" t="s">
        <v>162</v>
      </c>
      <c r="B927" s="4" t="s">
        <v>1402</v>
      </c>
      <c r="C927" s="4">
        <v>0.61329715100000004</v>
      </c>
      <c r="D927" s="4">
        <v>0.54350103699999996</v>
      </c>
    </row>
    <row r="928" spans="1:4">
      <c r="A928" s="4" t="s">
        <v>162</v>
      </c>
      <c r="B928" s="4" t="s">
        <v>1402</v>
      </c>
      <c r="C928" s="4">
        <v>0.59972862999999998</v>
      </c>
      <c r="D928" s="4">
        <v>0.53725930099999997</v>
      </c>
    </row>
    <row r="929" spans="1:4">
      <c r="A929" s="4" t="s">
        <v>162</v>
      </c>
      <c r="B929" s="4" t="s">
        <v>1402</v>
      </c>
      <c r="C929" s="4">
        <v>0.173134328</v>
      </c>
      <c r="D929" s="4">
        <v>0.246094587</v>
      </c>
    </row>
    <row r="930" spans="1:4">
      <c r="A930" s="4" t="s">
        <v>162</v>
      </c>
      <c r="B930" s="4" t="s">
        <v>1402</v>
      </c>
      <c r="C930" s="4">
        <v>2.6322931000000001E-2</v>
      </c>
      <c r="D930" s="4">
        <v>4.170099E-3</v>
      </c>
    </row>
    <row r="931" spans="1:4">
      <c r="A931" s="4" t="s">
        <v>162</v>
      </c>
      <c r="B931" s="4" t="s">
        <v>1402</v>
      </c>
      <c r="C931" s="4">
        <v>1.8453188999999998E-2</v>
      </c>
      <c r="D931" s="4">
        <v>-1.1454265999999999E-2</v>
      </c>
    </row>
    <row r="932" spans="1:4">
      <c r="A932" s="4" t="s">
        <v>162</v>
      </c>
      <c r="B932" s="4" t="s">
        <v>1402</v>
      </c>
      <c r="C932" s="4">
        <v>1.8995929000000002E-2</v>
      </c>
      <c r="D932" s="4">
        <v>-1.8963265E-2</v>
      </c>
    </row>
    <row r="933" spans="1:4">
      <c r="A933" s="4" t="s">
        <v>162</v>
      </c>
      <c r="B933" s="4" t="s">
        <v>1402</v>
      </c>
      <c r="C933" s="4">
        <v>3.1207598E-2</v>
      </c>
      <c r="D933" s="4">
        <v>-1.9631033999999999E-2</v>
      </c>
    </row>
    <row r="934" spans="1:4">
      <c r="A934" s="4" t="s">
        <v>162</v>
      </c>
      <c r="B934" s="4" t="s">
        <v>1402</v>
      </c>
      <c r="C934" s="4">
        <v>3.2293080000000002E-2</v>
      </c>
      <c r="D934" s="4">
        <v>-2.0187521999999999E-2</v>
      </c>
    </row>
    <row r="935" spans="1:4">
      <c r="A935" s="4" t="s">
        <v>162</v>
      </c>
      <c r="B935" s="4" t="s">
        <v>1402</v>
      </c>
      <c r="C935" s="4">
        <v>0.63772048800000003</v>
      </c>
      <c r="D935" s="4">
        <v>0.54350103699999996</v>
      </c>
    </row>
    <row r="936" spans="1:4">
      <c r="A936" s="4" t="s">
        <v>162</v>
      </c>
      <c r="B936" s="4" t="s">
        <v>1402</v>
      </c>
      <c r="C936" s="4">
        <v>0.61329715100000004</v>
      </c>
      <c r="D936" s="4">
        <v>0.53725930099999997</v>
      </c>
    </row>
    <row r="937" spans="1:4">
      <c r="A937" s="4" t="s">
        <v>162</v>
      </c>
      <c r="B937" s="4" t="s">
        <v>1402</v>
      </c>
      <c r="C937" s="4">
        <v>0.167164179</v>
      </c>
      <c r="D937" s="4">
        <v>0.246094587</v>
      </c>
    </row>
    <row r="938" spans="1:4">
      <c r="A938" s="4" t="s">
        <v>162</v>
      </c>
      <c r="B938" s="4" t="s">
        <v>1402</v>
      </c>
      <c r="C938" s="4">
        <v>2.2523745000000001E-2</v>
      </c>
      <c r="D938" s="4">
        <v>4.170099E-3</v>
      </c>
    </row>
    <row r="939" spans="1:4">
      <c r="A939" s="4" t="s">
        <v>162</v>
      </c>
      <c r="B939" s="4" t="s">
        <v>1402</v>
      </c>
      <c r="C939" s="4">
        <v>1.5739484000000002E-2</v>
      </c>
      <c r="D939" s="4">
        <v>-1.1454265999999999E-2</v>
      </c>
    </row>
    <row r="940" spans="1:4">
      <c r="A940" s="4" t="s">
        <v>162</v>
      </c>
      <c r="B940" s="4" t="s">
        <v>1402</v>
      </c>
      <c r="C940" s="4">
        <v>1.8181817999999999E-2</v>
      </c>
      <c r="D940" s="4">
        <v>-1.8963265E-2</v>
      </c>
    </row>
    <row r="941" spans="1:4">
      <c r="A941" s="4" t="s">
        <v>162</v>
      </c>
      <c r="B941" s="4" t="s">
        <v>1402</v>
      </c>
      <c r="C941" s="4">
        <v>2.8765265000000002E-2</v>
      </c>
      <c r="D941" s="4">
        <v>-1.9631033999999999E-2</v>
      </c>
    </row>
    <row r="942" spans="1:4">
      <c r="A942" s="4" t="s">
        <v>162</v>
      </c>
      <c r="B942" s="4" t="s">
        <v>1402</v>
      </c>
      <c r="C942" s="4">
        <v>3.2835821000000001E-2</v>
      </c>
      <c r="D942" s="4">
        <v>-2.0187521999999999E-2</v>
      </c>
    </row>
    <row r="943" spans="1:4">
      <c r="A943" s="4" t="s">
        <v>162</v>
      </c>
      <c r="B943" s="4" t="s">
        <v>1402</v>
      </c>
      <c r="C943" s="4">
        <v>0.59701492499999997</v>
      </c>
      <c r="D943" s="4">
        <v>0.43872733000000003</v>
      </c>
    </row>
    <row r="944" spans="1:4">
      <c r="A944" s="4" t="s">
        <v>162</v>
      </c>
      <c r="B944" s="4" t="s">
        <v>1402</v>
      </c>
      <c r="C944" s="4">
        <v>0.53731343300000001</v>
      </c>
      <c r="D944" s="4">
        <v>0.42762430800000001</v>
      </c>
    </row>
    <row r="945" spans="1:4">
      <c r="A945" s="4" t="s">
        <v>162</v>
      </c>
      <c r="B945" s="4" t="s">
        <v>1402</v>
      </c>
      <c r="C945" s="4">
        <v>9.7964722000000004E-2</v>
      </c>
      <c r="D945" s="4">
        <v>0.111315057</v>
      </c>
    </row>
    <row r="946" spans="1:4">
      <c r="A946" s="4" t="s">
        <v>162</v>
      </c>
      <c r="B946" s="4" t="s">
        <v>1402</v>
      </c>
      <c r="C946" s="4">
        <v>1.8453188999999998E-2</v>
      </c>
      <c r="D946" s="4">
        <v>-1.2773783E-2</v>
      </c>
    </row>
    <row r="947" spans="1:4">
      <c r="A947" s="4" t="s">
        <v>162</v>
      </c>
      <c r="B947" s="4" t="s">
        <v>1402</v>
      </c>
      <c r="C947" s="4">
        <v>1.5739484000000002E-2</v>
      </c>
      <c r="D947" s="4">
        <v>-1.9143074E-2</v>
      </c>
    </row>
    <row r="948" spans="1:4">
      <c r="A948" s="4" t="s">
        <v>162</v>
      </c>
      <c r="B948" s="4" t="s">
        <v>1402</v>
      </c>
      <c r="C948" s="4">
        <v>2.6594301000000001E-2</v>
      </c>
      <c r="D948" s="4">
        <v>-2.2398589E-2</v>
      </c>
    </row>
    <row r="949" spans="1:4">
      <c r="A949" s="4" t="s">
        <v>162</v>
      </c>
      <c r="B949" s="4" t="s">
        <v>1402</v>
      </c>
      <c r="C949" s="4">
        <v>3.2564450000000002E-2</v>
      </c>
      <c r="D949" s="4">
        <v>-2.2707371E-2</v>
      </c>
    </row>
    <row r="950" spans="1:4">
      <c r="A950" s="4" t="s">
        <v>162</v>
      </c>
      <c r="B950" s="4" t="s">
        <v>1402</v>
      </c>
      <c r="C950" s="4">
        <v>3.9620081000000001E-2</v>
      </c>
      <c r="D950" s="4">
        <v>-2.2968846000000001E-2</v>
      </c>
    </row>
    <row r="951" spans="1:4">
      <c r="A951" s="4" t="s">
        <v>162</v>
      </c>
      <c r="B951" s="4" t="s">
        <v>1402</v>
      </c>
      <c r="C951" s="4">
        <v>0.51017639100000001</v>
      </c>
      <c r="D951" s="4">
        <v>0.43872733000000003</v>
      </c>
    </row>
    <row r="952" spans="1:4">
      <c r="A952" s="4" t="s">
        <v>162</v>
      </c>
      <c r="B952" s="4" t="s">
        <v>1402</v>
      </c>
      <c r="C952" s="4">
        <v>0.49660787000000001</v>
      </c>
      <c r="D952" s="4">
        <v>0.42762430800000001</v>
      </c>
    </row>
    <row r="953" spans="1:4">
      <c r="A953" s="4" t="s">
        <v>162</v>
      </c>
      <c r="B953" s="4" t="s">
        <v>1402</v>
      </c>
      <c r="C953" s="4">
        <v>8.3310719000000005E-2</v>
      </c>
      <c r="D953" s="4">
        <v>0.111315057</v>
      </c>
    </row>
    <row r="954" spans="1:4">
      <c r="A954" s="4" t="s">
        <v>162</v>
      </c>
      <c r="B954" s="4" t="s">
        <v>1402</v>
      </c>
      <c r="C954" s="4">
        <v>1.4654003000000001E-2</v>
      </c>
      <c r="D954" s="4">
        <v>-1.2773783E-2</v>
      </c>
    </row>
    <row r="955" spans="1:4">
      <c r="A955" s="4" t="s">
        <v>162</v>
      </c>
      <c r="B955" s="4" t="s">
        <v>1402</v>
      </c>
      <c r="C955" s="4">
        <v>1.3568521E-2</v>
      </c>
      <c r="D955" s="4">
        <v>-1.9143074E-2</v>
      </c>
    </row>
    <row r="956" spans="1:4">
      <c r="A956" s="4" t="s">
        <v>162</v>
      </c>
      <c r="B956" s="4" t="s">
        <v>1402</v>
      </c>
      <c r="C956" s="4">
        <v>2.7951152999999999E-2</v>
      </c>
      <c r="D956" s="4">
        <v>-2.2398589E-2</v>
      </c>
    </row>
    <row r="957" spans="1:4">
      <c r="A957" s="4" t="s">
        <v>162</v>
      </c>
      <c r="B957" s="4" t="s">
        <v>1402</v>
      </c>
      <c r="C957" s="4">
        <v>3.5820895999999998E-2</v>
      </c>
      <c r="D957" s="4">
        <v>-2.2707371E-2</v>
      </c>
    </row>
    <row r="958" spans="1:4">
      <c r="A958" s="4" t="s">
        <v>162</v>
      </c>
      <c r="B958" s="4" t="s">
        <v>1402</v>
      </c>
      <c r="C958" s="4">
        <v>2.9036635000000002E-2</v>
      </c>
      <c r="D958" s="4">
        <v>-2.2968846000000001E-2</v>
      </c>
    </row>
    <row r="959" spans="1:4">
      <c r="A959" s="4" t="s">
        <v>162</v>
      </c>
      <c r="B959" s="4" t="s">
        <v>1402</v>
      </c>
      <c r="C959" s="4">
        <v>0.62578972899999996</v>
      </c>
      <c r="D959" s="4">
        <v>0.62991127000000002</v>
      </c>
    </row>
    <row r="960" spans="1:4">
      <c r="A960" s="4" t="s">
        <v>162</v>
      </c>
      <c r="B960" s="4" t="s">
        <v>1402</v>
      </c>
      <c r="C960" s="4">
        <v>0.64198930799999998</v>
      </c>
      <c r="D960" s="4">
        <v>0.62990577400000003</v>
      </c>
    </row>
    <row r="961" spans="1:4">
      <c r="A961" s="4" t="s">
        <v>162</v>
      </c>
      <c r="B961" s="4" t="s">
        <v>1402</v>
      </c>
      <c r="C961" s="4">
        <v>0.63226956099999998</v>
      </c>
      <c r="D961" s="4">
        <v>0.62977551899999995</v>
      </c>
    </row>
    <row r="962" spans="1:4">
      <c r="A962" s="4" t="s">
        <v>162</v>
      </c>
      <c r="B962" s="4" t="s">
        <v>1402</v>
      </c>
      <c r="C962" s="4">
        <v>0.62578972899999996</v>
      </c>
      <c r="D962" s="4">
        <v>0.62938445799999998</v>
      </c>
    </row>
    <row r="963" spans="1:4">
      <c r="A963" s="4" t="s">
        <v>162</v>
      </c>
      <c r="B963" s="4" t="s">
        <v>1402</v>
      </c>
      <c r="C963" s="4">
        <v>0.56423133000000003</v>
      </c>
      <c r="D963" s="4">
        <v>0.62037178900000001</v>
      </c>
    </row>
    <row r="964" spans="1:4">
      <c r="A964" s="4" t="s">
        <v>162</v>
      </c>
      <c r="B964" s="4" t="s">
        <v>1402</v>
      </c>
      <c r="C964" s="4">
        <v>0.57395107700000003</v>
      </c>
      <c r="D964" s="4">
        <v>0.60570974300000002</v>
      </c>
    </row>
    <row r="965" spans="1:4">
      <c r="A965" s="4" t="s">
        <v>162</v>
      </c>
      <c r="B965" s="4" t="s">
        <v>1402</v>
      </c>
      <c r="C965" s="4">
        <v>0.56747124599999998</v>
      </c>
      <c r="D965" s="4">
        <v>0.55214978199999998</v>
      </c>
    </row>
    <row r="966" spans="1:4">
      <c r="A966" s="4" t="s">
        <v>162</v>
      </c>
      <c r="B966" s="4" t="s">
        <v>1402</v>
      </c>
      <c r="C966" s="4">
        <v>0.66142880299999995</v>
      </c>
      <c r="D966" s="4">
        <v>0.62991132500000002</v>
      </c>
    </row>
    <row r="967" spans="1:4">
      <c r="A967" s="4" t="s">
        <v>162</v>
      </c>
      <c r="B967" s="4" t="s">
        <v>1402</v>
      </c>
      <c r="C967" s="4">
        <v>0.68410821300000002</v>
      </c>
      <c r="D967" s="4">
        <v>0.62991127000000002</v>
      </c>
    </row>
    <row r="968" spans="1:4">
      <c r="A968" s="4" t="s">
        <v>162</v>
      </c>
      <c r="B968" s="4" t="s">
        <v>1402</v>
      </c>
      <c r="C968" s="4">
        <v>0.67114854999999995</v>
      </c>
      <c r="D968" s="4">
        <v>0.62990577400000003</v>
      </c>
    </row>
    <row r="969" spans="1:4">
      <c r="A969" s="4" t="s">
        <v>162</v>
      </c>
      <c r="B969" s="4" t="s">
        <v>1402</v>
      </c>
      <c r="C969" s="4">
        <v>0.68410821300000002</v>
      </c>
      <c r="D969" s="4">
        <v>0.62977551899999995</v>
      </c>
    </row>
    <row r="970" spans="1:4">
      <c r="A970" s="4" t="s">
        <v>162</v>
      </c>
      <c r="B970" s="4" t="s">
        <v>1402</v>
      </c>
      <c r="C970" s="4">
        <v>0.66466871900000002</v>
      </c>
      <c r="D970" s="4">
        <v>0.62938445799999998</v>
      </c>
    </row>
    <row r="971" spans="1:4">
      <c r="A971" s="4" t="s">
        <v>162</v>
      </c>
      <c r="B971" s="4" t="s">
        <v>1402</v>
      </c>
      <c r="C971" s="4">
        <v>0.62254981399999998</v>
      </c>
      <c r="D971" s="4">
        <v>0.62037178900000001</v>
      </c>
    </row>
    <row r="972" spans="1:4">
      <c r="A972" s="4" t="s">
        <v>162</v>
      </c>
      <c r="B972" s="4" t="s">
        <v>1402</v>
      </c>
      <c r="C972" s="4">
        <v>0.63226956099999998</v>
      </c>
      <c r="D972" s="4">
        <v>0.60570974300000002</v>
      </c>
    </row>
    <row r="973" spans="1:4">
      <c r="A973" s="4" t="s">
        <v>162</v>
      </c>
      <c r="B973" s="4" t="s">
        <v>1402</v>
      </c>
      <c r="C973" s="4">
        <v>0.60635023499999996</v>
      </c>
      <c r="D973" s="4">
        <v>0.55214978199999998</v>
      </c>
    </row>
    <row r="974" spans="1:4">
      <c r="A974" s="4" t="s">
        <v>162</v>
      </c>
      <c r="B974" s="4" t="s">
        <v>1402</v>
      </c>
      <c r="C974" s="4">
        <v>0.64522922400000005</v>
      </c>
      <c r="D974" s="4">
        <v>0.62984110699999996</v>
      </c>
    </row>
    <row r="975" spans="1:4">
      <c r="A975" s="4" t="s">
        <v>162</v>
      </c>
      <c r="B975" s="4" t="s">
        <v>1402</v>
      </c>
      <c r="C975" s="4">
        <v>0.67438846600000002</v>
      </c>
      <c r="D975" s="4">
        <v>0.62983512799999997</v>
      </c>
    </row>
    <row r="976" spans="1:4">
      <c r="A976" s="4" t="s">
        <v>162</v>
      </c>
      <c r="B976" s="4" t="s">
        <v>1402</v>
      </c>
      <c r="C976" s="4">
        <v>0.638749393</v>
      </c>
      <c r="D976" s="4">
        <v>0.62923809500000005</v>
      </c>
    </row>
    <row r="977" spans="1:4">
      <c r="A977" s="4" t="s">
        <v>162</v>
      </c>
      <c r="B977" s="4" t="s">
        <v>1402</v>
      </c>
      <c r="C977" s="4">
        <v>0.43787461500000002</v>
      </c>
      <c r="D977" s="4">
        <v>0.61560908599999997</v>
      </c>
    </row>
    <row r="978" spans="1:4">
      <c r="A978" s="4" t="s">
        <v>162</v>
      </c>
      <c r="B978" s="4" t="s">
        <v>1402</v>
      </c>
      <c r="C978" s="4">
        <v>0.31475781600000002</v>
      </c>
      <c r="D978" s="4">
        <v>0.57988772499999997</v>
      </c>
    </row>
    <row r="979" spans="1:4">
      <c r="A979" s="4" t="s">
        <v>162</v>
      </c>
      <c r="B979" s="4" t="s">
        <v>1402</v>
      </c>
      <c r="C979" s="4">
        <v>0.109347157</v>
      </c>
      <c r="D979" s="4">
        <v>0.33268399300000001</v>
      </c>
    </row>
    <row r="980" spans="1:4">
      <c r="A980" s="4" t="s">
        <v>162</v>
      </c>
      <c r="B980" s="4" t="s">
        <v>1402</v>
      </c>
      <c r="C980" s="4">
        <v>7.8243965999999998E-2</v>
      </c>
      <c r="D980" s="4">
        <v>0.25504128500000001</v>
      </c>
    </row>
    <row r="981" spans="1:4">
      <c r="A981" s="4" t="s">
        <v>162</v>
      </c>
      <c r="B981" s="4" t="s">
        <v>1402</v>
      </c>
      <c r="C981" s="4">
        <v>4.7788757000000001E-2</v>
      </c>
      <c r="D981" s="4">
        <v>0.18448414299999999</v>
      </c>
    </row>
    <row r="982" spans="1:4">
      <c r="A982" s="4" t="s">
        <v>162</v>
      </c>
      <c r="B982" s="4" t="s">
        <v>1402</v>
      </c>
      <c r="C982" s="4">
        <v>0.68086829699999996</v>
      </c>
      <c r="D982" s="4">
        <v>0.62984110699999996</v>
      </c>
    </row>
    <row r="983" spans="1:4">
      <c r="A983" s="4" t="s">
        <v>162</v>
      </c>
      <c r="B983" s="4" t="s">
        <v>1402</v>
      </c>
      <c r="C983" s="4">
        <v>0.69706787599999998</v>
      </c>
      <c r="D983" s="4">
        <v>0.62983512799999997</v>
      </c>
    </row>
    <row r="984" spans="1:4">
      <c r="A984" s="4" t="s">
        <v>162</v>
      </c>
      <c r="B984" s="4" t="s">
        <v>1402</v>
      </c>
      <c r="C984" s="4">
        <v>0.64198930799999998</v>
      </c>
      <c r="D984" s="4">
        <v>0.62923809500000005</v>
      </c>
    </row>
    <row r="985" spans="1:4">
      <c r="A985" s="4" t="s">
        <v>162</v>
      </c>
      <c r="B985" s="4" t="s">
        <v>1402</v>
      </c>
      <c r="C985" s="4">
        <v>0.467033857</v>
      </c>
      <c r="D985" s="4">
        <v>0.61560908599999997</v>
      </c>
    </row>
    <row r="986" spans="1:4">
      <c r="A986" s="4" t="s">
        <v>162</v>
      </c>
      <c r="B986" s="4" t="s">
        <v>1402</v>
      </c>
      <c r="C986" s="4">
        <v>0.324477564</v>
      </c>
      <c r="D986" s="4">
        <v>0.57988772499999997</v>
      </c>
    </row>
    <row r="987" spans="1:4">
      <c r="A987" s="4" t="s">
        <v>162</v>
      </c>
      <c r="B987" s="4" t="s">
        <v>1402</v>
      </c>
      <c r="C987" s="4">
        <v>0.104487283</v>
      </c>
      <c r="D987" s="4">
        <v>0.33268399300000001</v>
      </c>
    </row>
    <row r="988" spans="1:4">
      <c r="A988" s="4" t="s">
        <v>162</v>
      </c>
      <c r="B988" s="4" t="s">
        <v>1402</v>
      </c>
      <c r="C988" s="4">
        <v>7.5652032999999994E-2</v>
      </c>
      <c r="D988" s="4">
        <v>0.25504128500000001</v>
      </c>
    </row>
    <row r="989" spans="1:4">
      <c r="A989" s="4" t="s">
        <v>162</v>
      </c>
      <c r="B989" s="4" t="s">
        <v>1402</v>
      </c>
      <c r="C989" s="4">
        <v>4.6816783000000001E-2</v>
      </c>
      <c r="D989" s="4">
        <v>0.18448414299999999</v>
      </c>
    </row>
    <row r="990" spans="1:4">
      <c r="A990" s="4" t="s">
        <v>162</v>
      </c>
      <c r="B990" s="4" t="s">
        <v>1402</v>
      </c>
      <c r="C990" s="4">
        <v>0.64198930799999998</v>
      </c>
      <c r="D990" s="4">
        <v>0.62708645799999996</v>
      </c>
    </row>
    <row r="991" spans="1:4">
      <c r="A991" s="4" t="s">
        <v>162</v>
      </c>
      <c r="B991" s="4" t="s">
        <v>1402</v>
      </c>
      <c r="C991" s="4">
        <v>0.67762838199999997</v>
      </c>
      <c r="D991" s="4">
        <v>0.62684929099999998</v>
      </c>
    </row>
    <row r="992" spans="1:4">
      <c r="A992" s="4" t="s">
        <v>162</v>
      </c>
      <c r="B992" s="4" t="s">
        <v>1402</v>
      </c>
      <c r="C992" s="4">
        <v>0.57071116200000005</v>
      </c>
      <c r="D992" s="4">
        <v>0.60406562699999999</v>
      </c>
    </row>
    <row r="993" spans="1:4">
      <c r="A993" s="4" t="s">
        <v>162</v>
      </c>
      <c r="B993" s="4" t="s">
        <v>1402</v>
      </c>
      <c r="C993" s="4">
        <v>0.14077434</v>
      </c>
      <c r="D993" s="4">
        <v>0.33442793500000001</v>
      </c>
    </row>
    <row r="994" spans="1:4">
      <c r="A994" s="4" t="s">
        <v>162</v>
      </c>
      <c r="B994" s="4" t="s">
        <v>1402</v>
      </c>
      <c r="C994" s="4">
        <v>6.8848210000000007E-2</v>
      </c>
      <c r="D994" s="4">
        <v>0.16003592</v>
      </c>
    </row>
    <row r="995" spans="1:4">
      <c r="A995" s="4" t="s">
        <v>162</v>
      </c>
      <c r="B995" s="4" t="s">
        <v>1402</v>
      </c>
      <c r="C995" s="4">
        <v>1.53896E-2</v>
      </c>
      <c r="D995" s="4">
        <v>3.2114876000000001E-2</v>
      </c>
    </row>
    <row r="996" spans="1:4">
      <c r="A996" s="4" t="s">
        <v>162</v>
      </c>
      <c r="B996" s="4" t="s">
        <v>1402</v>
      </c>
      <c r="C996" s="4">
        <v>1.8629515999999999E-2</v>
      </c>
      <c r="D996" s="4">
        <v>2.1955703999999999E-2</v>
      </c>
    </row>
    <row r="997" spans="1:4">
      <c r="A997" s="4" t="s">
        <v>162</v>
      </c>
      <c r="B997" s="4" t="s">
        <v>1402</v>
      </c>
      <c r="C997" s="4">
        <v>2.1869431000000002E-2</v>
      </c>
      <c r="D997" s="4">
        <v>1.4111212999999999E-2</v>
      </c>
    </row>
    <row r="998" spans="1:4">
      <c r="A998" s="4" t="s">
        <v>162</v>
      </c>
      <c r="B998" s="4" t="s">
        <v>1402</v>
      </c>
      <c r="C998" s="4">
        <v>0.65170905599999995</v>
      </c>
      <c r="D998" s="4">
        <v>0.62708645799999996</v>
      </c>
    </row>
    <row r="999" spans="1:4">
      <c r="A999" s="4" t="s">
        <v>162</v>
      </c>
      <c r="B999" s="4" t="s">
        <v>1402</v>
      </c>
      <c r="C999" s="4">
        <v>0.69706787599999998</v>
      </c>
      <c r="D999" s="4">
        <v>0.62684929099999998</v>
      </c>
    </row>
    <row r="1000" spans="1:4">
      <c r="A1000" s="4" t="s">
        <v>162</v>
      </c>
      <c r="B1000" s="4" t="s">
        <v>1402</v>
      </c>
      <c r="C1000" s="4">
        <v>0.55451158300000003</v>
      </c>
      <c r="D1000" s="4">
        <v>0.60406562699999999</v>
      </c>
    </row>
    <row r="1001" spans="1:4">
      <c r="A1001" s="4" t="s">
        <v>162</v>
      </c>
      <c r="B1001" s="4" t="s">
        <v>1402</v>
      </c>
      <c r="C1001" s="4">
        <v>0.136886441</v>
      </c>
      <c r="D1001" s="4">
        <v>0.33442793500000001</v>
      </c>
    </row>
    <row r="1002" spans="1:4">
      <c r="A1002" s="4" t="s">
        <v>162</v>
      </c>
      <c r="B1002" s="4" t="s">
        <v>1402</v>
      </c>
      <c r="C1002" s="4">
        <v>7.5004050000000003E-2</v>
      </c>
      <c r="D1002" s="4">
        <v>0.16003592</v>
      </c>
    </row>
    <row r="1003" spans="1:4">
      <c r="A1003" s="4" t="s">
        <v>162</v>
      </c>
      <c r="B1003" s="4" t="s">
        <v>1402</v>
      </c>
      <c r="C1003" s="4">
        <v>2.1869431000000002E-2</v>
      </c>
      <c r="D1003" s="4">
        <v>3.2114876000000001E-2</v>
      </c>
    </row>
    <row r="1004" spans="1:4">
      <c r="A1004" s="4" t="s">
        <v>162</v>
      </c>
      <c r="B1004" s="4" t="s">
        <v>1402</v>
      </c>
      <c r="C1004" s="4">
        <v>2.2841406000000002E-2</v>
      </c>
      <c r="D1004" s="4">
        <v>2.1955703999999999E-2</v>
      </c>
    </row>
    <row r="1005" spans="1:4">
      <c r="A1005" s="4" t="s">
        <v>162</v>
      </c>
      <c r="B1005" s="4" t="s">
        <v>1402</v>
      </c>
      <c r="C1005" s="4">
        <v>2.1869431000000002E-2</v>
      </c>
      <c r="D1005" s="4">
        <v>1.4111212999999999E-2</v>
      </c>
    </row>
    <row r="1006" spans="1:4">
      <c r="A1006" s="4" t="s">
        <v>162</v>
      </c>
      <c r="B1006" s="4" t="s">
        <v>1402</v>
      </c>
      <c r="C1006" s="4">
        <v>0.65170905599999995</v>
      </c>
      <c r="D1006" s="4">
        <v>0.61127024299999999</v>
      </c>
    </row>
    <row r="1007" spans="1:4">
      <c r="A1007" s="4" t="s">
        <v>162</v>
      </c>
      <c r="B1007" s="4" t="s">
        <v>1402</v>
      </c>
      <c r="C1007" s="4">
        <v>0.638749393</v>
      </c>
      <c r="D1007" s="4">
        <v>0.60974783399999999</v>
      </c>
    </row>
    <row r="1008" spans="1:4">
      <c r="A1008" s="4" t="s">
        <v>162</v>
      </c>
      <c r="B1008" s="4" t="s">
        <v>1402</v>
      </c>
      <c r="C1008" s="4">
        <v>0.36011663700000002</v>
      </c>
      <c r="D1008" s="4">
        <v>0.48825132199999999</v>
      </c>
    </row>
    <row r="1009" spans="1:4">
      <c r="A1009" s="4" t="s">
        <v>162</v>
      </c>
      <c r="B1009" s="4" t="s">
        <v>1402</v>
      </c>
      <c r="C1009" s="4">
        <v>3.9688967999999998E-2</v>
      </c>
      <c r="D1009" s="4">
        <v>8.5958203999999996E-2</v>
      </c>
    </row>
    <row r="1010" spans="1:4">
      <c r="A1010" s="4" t="s">
        <v>162</v>
      </c>
      <c r="B1010" s="4" t="s">
        <v>1402</v>
      </c>
      <c r="C1010" s="4">
        <v>2.5757329999999998E-2</v>
      </c>
      <c r="D1010" s="4">
        <v>2.3083077E-2</v>
      </c>
    </row>
    <row r="1011" spans="1:4">
      <c r="A1011" s="4" t="s">
        <v>162</v>
      </c>
      <c r="B1011" s="4" t="s">
        <v>1402</v>
      </c>
      <c r="C1011" s="4">
        <v>9.5577509999999997E-3</v>
      </c>
      <c r="D1011" s="4">
        <v>-6.8382470000000004E-3</v>
      </c>
    </row>
    <row r="1012" spans="1:4">
      <c r="A1012" s="4" t="s">
        <v>162</v>
      </c>
      <c r="B1012" s="4" t="s">
        <v>1402</v>
      </c>
      <c r="C1012" s="4">
        <v>1.6037583000000001E-2</v>
      </c>
      <c r="D1012" s="4">
        <v>-9.2245279999999992E-3</v>
      </c>
    </row>
    <row r="1013" spans="1:4">
      <c r="A1013" s="4" t="s">
        <v>162</v>
      </c>
      <c r="B1013" s="4" t="s">
        <v>1402</v>
      </c>
      <c r="C1013" s="4">
        <v>2.0249474E-2</v>
      </c>
      <c r="D1013" s="4">
        <v>-1.1147812E-2</v>
      </c>
    </row>
    <row r="1014" spans="1:4">
      <c r="A1014" s="4" t="s">
        <v>162</v>
      </c>
      <c r="B1014" s="4" t="s">
        <v>1402</v>
      </c>
      <c r="C1014" s="4">
        <v>0.64198930799999998</v>
      </c>
      <c r="D1014" s="4">
        <v>0.61127024299999999</v>
      </c>
    </row>
    <row r="1015" spans="1:4">
      <c r="A1015" s="4" t="s">
        <v>162</v>
      </c>
      <c r="B1015" s="4" t="s">
        <v>1402</v>
      </c>
      <c r="C1015" s="4">
        <v>0.63226956099999998</v>
      </c>
      <c r="D1015" s="4">
        <v>0.60974783399999999</v>
      </c>
    </row>
    <row r="1016" spans="1:4">
      <c r="A1016" s="4" t="s">
        <v>162</v>
      </c>
      <c r="B1016" s="4" t="s">
        <v>1402</v>
      </c>
      <c r="C1016" s="4">
        <v>0.36659646800000001</v>
      </c>
      <c r="D1016" s="4">
        <v>0.48825132199999999</v>
      </c>
    </row>
    <row r="1017" spans="1:4">
      <c r="A1017" s="4" t="s">
        <v>162</v>
      </c>
      <c r="B1017" s="4" t="s">
        <v>1402</v>
      </c>
      <c r="C1017" s="4">
        <v>4.001296E-2</v>
      </c>
      <c r="D1017" s="4">
        <v>8.5958203999999996E-2</v>
      </c>
    </row>
    <row r="1018" spans="1:4">
      <c r="A1018" s="4" t="s">
        <v>162</v>
      </c>
      <c r="B1018" s="4" t="s">
        <v>1402</v>
      </c>
      <c r="C1018" s="4">
        <v>2.2517414999999999E-2</v>
      </c>
      <c r="D1018" s="4">
        <v>2.3083077E-2</v>
      </c>
    </row>
    <row r="1019" spans="1:4">
      <c r="A1019" s="4" t="s">
        <v>162</v>
      </c>
      <c r="B1019" s="4" t="s">
        <v>1402</v>
      </c>
      <c r="C1019" s="4">
        <v>1.2473676E-2</v>
      </c>
      <c r="D1019" s="4">
        <v>-6.8382470000000004E-3</v>
      </c>
    </row>
    <row r="1020" spans="1:4">
      <c r="A1020" s="4" t="s">
        <v>162</v>
      </c>
      <c r="B1020" s="4" t="s">
        <v>1402</v>
      </c>
      <c r="C1020" s="4">
        <v>1.4741617E-2</v>
      </c>
      <c r="D1020" s="4">
        <v>-9.2245279999999992E-3</v>
      </c>
    </row>
    <row r="1021" spans="1:4">
      <c r="A1021" s="4" t="s">
        <v>162</v>
      </c>
      <c r="B1021" s="4" t="s">
        <v>1402</v>
      </c>
      <c r="C1021" s="4">
        <v>2.3165398E-2</v>
      </c>
      <c r="D1021" s="4">
        <v>-1.1147812E-2</v>
      </c>
    </row>
    <row r="1022" spans="1:4">
      <c r="A1022" s="4" t="s">
        <v>162</v>
      </c>
      <c r="B1022" s="4" t="s">
        <v>1402</v>
      </c>
      <c r="C1022" s="4">
        <v>0.63226956099999998</v>
      </c>
      <c r="D1022" s="4">
        <v>0.54350103699999996</v>
      </c>
    </row>
    <row r="1023" spans="1:4">
      <c r="A1023" s="4" t="s">
        <v>162</v>
      </c>
      <c r="B1023" s="4" t="s">
        <v>1402</v>
      </c>
      <c r="C1023" s="4">
        <v>0.62578972899999996</v>
      </c>
      <c r="D1023" s="4">
        <v>0.53725930099999997</v>
      </c>
    </row>
    <row r="1024" spans="1:4">
      <c r="A1024" s="4" t="s">
        <v>162</v>
      </c>
      <c r="B1024" s="4" t="s">
        <v>1402</v>
      </c>
      <c r="C1024" s="4">
        <v>0.187753118</v>
      </c>
      <c r="D1024" s="4">
        <v>0.246094587</v>
      </c>
    </row>
    <row r="1025" spans="1:4">
      <c r="A1025" s="4" t="s">
        <v>162</v>
      </c>
      <c r="B1025" s="4" t="s">
        <v>1402</v>
      </c>
      <c r="C1025" s="4">
        <v>2.2517414999999999E-2</v>
      </c>
      <c r="D1025" s="4">
        <v>4.170099E-3</v>
      </c>
    </row>
    <row r="1026" spans="1:4">
      <c r="A1026" s="4" t="s">
        <v>162</v>
      </c>
      <c r="B1026" s="4" t="s">
        <v>1402</v>
      </c>
      <c r="C1026" s="4">
        <v>1.5065607999999999E-2</v>
      </c>
      <c r="D1026" s="4">
        <v>-1.1454265999999999E-2</v>
      </c>
    </row>
    <row r="1027" spans="1:4">
      <c r="A1027" s="4" t="s">
        <v>162</v>
      </c>
      <c r="B1027" s="4" t="s">
        <v>1402</v>
      </c>
      <c r="C1027" s="4">
        <v>1.2149683999999999E-2</v>
      </c>
      <c r="D1027" s="4">
        <v>-1.8963265E-2</v>
      </c>
    </row>
    <row r="1028" spans="1:4">
      <c r="A1028" s="4" t="s">
        <v>162</v>
      </c>
      <c r="B1028" s="4" t="s">
        <v>1402</v>
      </c>
      <c r="C1028" s="4">
        <v>1.6685565999999999E-2</v>
      </c>
      <c r="D1028" s="4">
        <v>-1.9631033999999999E-2</v>
      </c>
    </row>
    <row r="1029" spans="1:4">
      <c r="A1029" s="4" t="s">
        <v>162</v>
      </c>
      <c r="B1029" s="4" t="s">
        <v>1402</v>
      </c>
      <c r="C1029" s="4">
        <v>2.7053297E-2</v>
      </c>
      <c r="D1029" s="4">
        <v>-2.0187521999999999E-2</v>
      </c>
    </row>
    <row r="1030" spans="1:4">
      <c r="A1030" s="4" t="s">
        <v>162</v>
      </c>
      <c r="B1030" s="4" t="s">
        <v>1402</v>
      </c>
      <c r="C1030" s="4">
        <v>0.61930989800000003</v>
      </c>
      <c r="D1030" s="4">
        <v>0.54350103699999996</v>
      </c>
    </row>
    <row r="1031" spans="1:4">
      <c r="A1031" s="4" t="s">
        <v>162</v>
      </c>
      <c r="B1031" s="4" t="s">
        <v>1402</v>
      </c>
      <c r="C1031" s="4">
        <v>0.59663048799999996</v>
      </c>
      <c r="D1031" s="4">
        <v>0.53725930099999997</v>
      </c>
    </row>
    <row r="1032" spans="1:4">
      <c r="A1032" s="4" t="s">
        <v>162</v>
      </c>
      <c r="B1032" s="4" t="s">
        <v>1402</v>
      </c>
      <c r="C1032" s="4">
        <v>0.175441439</v>
      </c>
      <c r="D1032" s="4">
        <v>0.246094587</v>
      </c>
    </row>
    <row r="1033" spans="1:4">
      <c r="A1033" s="4" t="s">
        <v>162</v>
      </c>
      <c r="B1033" s="4" t="s">
        <v>1402</v>
      </c>
      <c r="C1033" s="4">
        <v>2.0897457000000001E-2</v>
      </c>
      <c r="D1033" s="4">
        <v>4.170099E-3</v>
      </c>
    </row>
    <row r="1034" spans="1:4">
      <c r="A1034" s="4" t="s">
        <v>162</v>
      </c>
      <c r="B1034" s="4" t="s">
        <v>1402</v>
      </c>
      <c r="C1034" s="4">
        <v>1.344565E-2</v>
      </c>
      <c r="D1034" s="4">
        <v>-1.1454265999999999E-2</v>
      </c>
    </row>
    <row r="1035" spans="1:4">
      <c r="A1035" s="4" t="s">
        <v>162</v>
      </c>
      <c r="B1035" s="4" t="s">
        <v>1402</v>
      </c>
      <c r="C1035" s="4">
        <v>1.344565E-2</v>
      </c>
      <c r="D1035" s="4">
        <v>-1.8963265E-2</v>
      </c>
    </row>
    <row r="1036" spans="1:4">
      <c r="A1036" s="4" t="s">
        <v>162</v>
      </c>
      <c r="B1036" s="4" t="s">
        <v>1402</v>
      </c>
      <c r="C1036" s="4">
        <v>9.5577509999999997E-3</v>
      </c>
      <c r="D1036" s="4">
        <v>-1.9631033999999999E-2</v>
      </c>
    </row>
    <row r="1037" spans="1:4">
      <c r="A1037" s="4" t="s">
        <v>162</v>
      </c>
      <c r="B1037" s="4" t="s">
        <v>1402</v>
      </c>
      <c r="C1037" s="4">
        <v>2.3165398E-2</v>
      </c>
      <c r="D1037" s="4">
        <v>-2.0187521999999999E-2</v>
      </c>
    </row>
    <row r="1038" spans="1:4">
      <c r="A1038" s="4" t="s">
        <v>162</v>
      </c>
      <c r="B1038" s="4" t="s">
        <v>1402</v>
      </c>
      <c r="C1038" s="4">
        <v>0.583670825</v>
      </c>
      <c r="D1038" s="4">
        <v>0.43872733000000003</v>
      </c>
    </row>
    <row r="1039" spans="1:4">
      <c r="A1039" s="4" t="s">
        <v>162</v>
      </c>
      <c r="B1039" s="4" t="s">
        <v>1402</v>
      </c>
      <c r="C1039" s="4">
        <v>0.52859225700000001</v>
      </c>
      <c r="D1039" s="4">
        <v>0.42762430800000001</v>
      </c>
    </row>
    <row r="1040" spans="1:4">
      <c r="A1040" s="4" t="s">
        <v>162</v>
      </c>
      <c r="B1040" s="4" t="s">
        <v>1402</v>
      </c>
      <c r="C1040" s="4">
        <v>0.1038393</v>
      </c>
      <c r="D1040" s="4">
        <v>0.111315057</v>
      </c>
    </row>
    <row r="1041" spans="1:4">
      <c r="A1041" s="4" t="s">
        <v>162</v>
      </c>
      <c r="B1041" s="4" t="s">
        <v>1402</v>
      </c>
      <c r="C1041" s="4">
        <v>1.4741617E-2</v>
      </c>
      <c r="D1041" s="4">
        <v>-1.2773783E-2</v>
      </c>
    </row>
    <row r="1042" spans="1:4">
      <c r="A1042" s="4" t="s">
        <v>162</v>
      </c>
      <c r="B1042" s="4" t="s">
        <v>1402</v>
      </c>
      <c r="C1042" s="4">
        <v>1.2473676E-2</v>
      </c>
      <c r="D1042" s="4">
        <v>-1.9143074E-2</v>
      </c>
    </row>
    <row r="1043" spans="1:4">
      <c r="A1043" s="4" t="s">
        <v>162</v>
      </c>
      <c r="B1043" s="4" t="s">
        <v>1402</v>
      </c>
      <c r="C1043" s="4">
        <v>1.7333549E-2</v>
      </c>
      <c r="D1043" s="4">
        <v>-2.2398589E-2</v>
      </c>
    </row>
    <row r="1044" spans="1:4">
      <c r="A1044" s="4" t="s">
        <v>162</v>
      </c>
      <c r="B1044" s="4" t="s">
        <v>1402</v>
      </c>
      <c r="C1044" s="4">
        <v>1.7657540999999999E-2</v>
      </c>
      <c r="D1044" s="4">
        <v>-2.2707371E-2</v>
      </c>
    </row>
    <row r="1045" spans="1:4">
      <c r="A1045" s="4" t="s">
        <v>162</v>
      </c>
      <c r="B1045" s="4" t="s">
        <v>1402</v>
      </c>
      <c r="C1045" s="4">
        <v>5.4916571999999997E-2</v>
      </c>
      <c r="D1045" s="4">
        <v>-2.2968846000000001E-2</v>
      </c>
    </row>
    <row r="1046" spans="1:4">
      <c r="A1046" s="4" t="s">
        <v>162</v>
      </c>
      <c r="B1046" s="4" t="s">
        <v>1402</v>
      </c>
      <c r="C1046" s="4">
        <v>0.53831200400000001</v>
      </c>
      <c r="D1046" s="4">
        <v>0.43872733000000003</v>
      </c>
    </row>
    <row r="1047" spans="1:4">
      <c r="A1047" s="4" t="s">
        <v>162</v>
      </c>
      <c r="B1047" s="4" t="s">
        <v>1402</v>
      </c>
      <c r="C1047" s="4">
        <v>0.54155191999999996</v>
      </c>
      <c r="D1047" s="4">
        <v>0.42762430800000001</v>
      </c>
    </row>
    <row r="1048" spans="1:4">
      <c r="A1048" s="4" t="s">
        <v>162</v>
      </c>
      <c r="B1048" s="4" t="s">
        <v>1402</v>
      </c>
      <c r="C1048" s="4">
        <v>9.2175602999999995E-2</v>
      </c>
      <c r="D1048" s="4">
        <v>0.111315057</v>
      </c>
    </row>
    <row r="1049" spans="1:4">
      <c r="A1049" s="4" t="s">
        <v>162</v>
      </c>
      <c r="B1049" s="4" t="s">
        <v>1402</v>
      </c>
      <c r="C1049" s="4">
        <v>9.8817430000000001E-3</v>
      </c>
      <c r="D1049" s="4">
        <v>-1.2773783E-2</v>
      </c>
    </row>
    <row r="1050" spans="1:4">
      <c r="A1050" s="4" t="s">
        <v>162</v>
      </c>
      <c r="B1050" s="4" t="s">
        <v>1402</v>
      </c>
      <c r="C1050" s="4">
        <v>8.9097680000000002E-3</v>
      </c>
      <c r="D1050" s="4">
        <v>-1.9143074E-2</v>
      </c>
    </row>
    <row r="1051" spans="1:4">
      <c r="A1051" s="4" t="s">
        <v>162</v>
      </c>
      <c r="B1051" s="4" t="s">
        <v>1402</v>
      </c>
      <c r="C1051" s="4">
        <v>1.1825693E-2</v>
      </c>
      <c r="D1051" s="4">
        <v>-2.2398589E-2</v>
      </c>
    </row>
    <row r="1052" spans="1:4">
      <c r="A1052" s="4" t="s">
        <v>162</v>
      </c>
      <c r="B1052" s="4" t="s">
        <v>1402</v>
      </c>
      <c r="C1052" s="4">
        <v>1.8629515999999999E-2</v>
      </c>
      <c r="D1052" s="4">
        <v>-2.2707371E-2</v>
      </c>
    </row>
    <row r="1053" spans="1:4">
      <c r="A1053" s="4" t="s">
        <v>162</v>
      </c>
      <c r="B1053" s="4" t="s">
        <v>1402</v>
      </c>
      <c r="C1053" s="4">
        <v>2.2517414999999999E-2</v>
      </c>
      <c r="D1053" s="4">
        <v>-2.2968846000000001E-2</v>
      </c>
    </row>
    <row r="1054" spans="1:4">
      <c r="A1054" s="4" t="s">
        <v>162</v>
      </c>
      <c r="B1054" s="4" t="s">
        <v>1402</v>
      </c>
      <c r="C1054" s="4">
        <v>0.626936453</v>
      </c>
      <c r="D1054" s="4">
        <v>0.62991132500000002</v>
      </c>
    </row>
    <row r="1055" spans="1:4">
      <c r="A1055" s="4" t="s">
        <v>162</v>
      </c>
      <c r="B1055" s="4" t="s">
        <v>1402</v>
      </c>
      <c r="C1055" s="4">
        <v>0.66171356299999995</v>
      </c>
      <c r="D1055" s="4">
        <v>0.62991127000000002</v>
      </c>
    </row>
    <row r="1056" spans="1:4">
      <c r="A1056" s="4" t="s">
        <v>162</v>
      </c>
      <c r="B1056" s="4" t="s">
        <v>1402</v>
      </c>
      <c r="C1056" s="4">
        <v>0.63958267499999999</v>
      </c>
      <c r="D1056" s="4">
        <v>0.62990577400000003</v>
      </c>
    </row>
    <row r="1057" spans="1:4">
      <c r="A1057" s="4" t="s">
        <v>162</v>
      </c>
      <c r="B1057" s="4" t="s">
        <v>1402</v>
      </c>
      <c r="C1057" s="4">
        <v>0.66171356299999995</v>
      </c>
      <c r="D1057" s="4">
        <v>0.62977551899999995</v>
      </c>
    </row>
    <row r="1058" spans="1:4">
      <c r="A1058" s="4" t="s">
        <v>162</v>
      </c>
      <c r="B1058" s="4" t="s">
        <v>1402</v>
      </c>
      <c r="C1058" s="4">
        <v>0.63009800800000004</v>
      </c>
      <c r="D1058" s="4">
        <v>0.62938445799999998</v>
      </c>
    </row>
    <row r="1059" spans="1:4">
      <c r="A1059" s="4" t="s">
        <v>162</v>
      </c>
      <c r="B1059" s="4" t="s">
        <v>1402</v>
      </c>
      <c r="C1059" s="4">
        <v>0.46569712299999999</v>
      </c>
      <c r="D1059" s="4">
        <v>0.62037178900000001</v>
      </c>
    </row>
    <row r="1060" spans="1:4">
      <c r="A1060" s="4" t="s">
        <v>162</v>
      </c>
      <c r="B1060" s="4" t="s">
        <v>1402</v>
      </c>
      <c r="C1060" s="4">
        <v>0.58583623100000004</v>
      </c>
      <c r="D1060" s="4">
        <v>0.60570974300000002</v>
      </c>
    </row>
    <row r="1061" spans="1:4">
      <c r="A1061" s="4" t="s">
        <v>162</v>
      </c>
      <c r="B1061" s="4" t="s">
        <v>1402</v>
      </c>
      <c r="C1061" s="4">
        <v>0.54473601000000005</v>
      </c>
      <c r="D1061" s="4">
        <v>0.55214978199999998</v>
      </c>
    </row>
    <row r="1062" spans="1:4">
      <c r="A1062" s="4" t="s">
        <v>162</v>
      </c>
      <c r="B1062" s="4" t="s">
        <v>1402</v>
      </c>
      <c r="C1062" s="4">
        <v>0.66487511899999996</v>
      </c>
      <c r="D1062" s="4">
        <v>0.62991132500000002</v>
      </c>
    </row>
    <row r="1063" spans="1:4">
      <c r="A1063" s="4" t="s">
        <v>162</v>
      </c>
      <c r="B1063" s="4" t="s">
        <v>1402</v>
      </c>
      <c r="C1063" s="4">
        <v>0.668036674</v>
      </c>
      <c r="D1063" s="4">
        <v>0.62991127000000002</v>
      </c>
    </row>
    <row r="1064" spans="1:4">
      <c r="A1064" s="4" t="s">
        <v>162</v>
      </c>
      <c r="B1064" s="4" t="s">
        <v>1402</v>
      </c>
      <c r="C1064" s="4">
        <v>0.67119823000000001</v>
      </c>
      <c r="D1064" s="4">
        <v>0.62990577400000003</v>
      </c>
    </row>
    <row r="1065" spans="1:4">
      <c r="A1065" s="4" t="s">
        <v>162</v>
      </c>
      <c r="B1065" s="4" t="s">
        <v>1402</v>
      </c>
      <c r="C1065" s="4">
        <v>0.67752133999999997</v>
      </c>
      <c r="D1065" s="4">
        <v>0.62977551899999995</v>
      </c>
    </row>
    <row r="1066" spans="1:4">
      <c r="A1066" s="4" t="s">
        <v>162</v>
      </c>
      <c r="B1066" s="4" t="s">
        <v>1402</v>
      </c>
      <c r="C1066" s="4">
        <v>0.65855200800000002</v>
      </c>
      <c r="D1066" s="4">
        <v>0.62938445799999998</v>
      </c>
    </row>
    <row r="1067" spans="1:4">
      <c r="A1067" s="4" t="s">
        <v>162</v>
      </c>
      <c r="B1067" s="4" t="s">
        <v>1402</v>
      </c>
      <c r="C1067" s="4">
        <v>0.53208978799999995</v>
      </c>
      <c r="D1067" s="4">
        <v>0.62037178900000001</v>
      </c>
    </row>
    <row r="1068" spans="1:4">
      <c r="A1068" s="4" t="s">
        <v>162</v>
      </c>
      <c r="B1068" s="4" t="s">
        <v>1402</v>
      </c>
      <c r="C1068" s="4">
        <v>0.61745178599999995</v>
      </c>
      <c r="D1068" s="4">
        <v>0.60570974300000002</v>
      </c>
    </row>
    <row r="1069" spans="1:4">
      <c r="A1069" s="4" t="s">
        <v>162</v>
      </c>
      <c r="B1069" s="4" t="s">
        <v>1402</v>
      </c>
      <c r="C1069" s="4">
        <v>0.60164400900000004</v>
      </c>
      <c r="D1069" s="4">
        <v>0.55214978199999998</v>
      </c>
    </row>
    <row r="1070" spans="1:4">
      <c r="A1070" s="4" t="s">
        <v>162</v>
      </c>
      <c r="B1070" s="4" t="s">
        <v>1402</v>
      </c>
      <c r="C1070" s="4">
        <v>0.69965222900000001</v>
      </c>
      <c r="D1070" s="4">
        <v>0.62984110699999996</v>
      </c>
    </row>
    <row r="1071" spans="1:4">
      <c r="A1071" s="4" t="s">
        <v>162</v>
      </c>
      <c r="B1071" s="4" t="s">
        <v>1402</v>
      </c>
      <c r="C1071" s="4">
        <v>0.67435978500000004</v>
      </c>
      <c r="D1071" s="4">
        <v>0.62983512799999997</v>
      </c>
    </row>
    <row r="1072" spans="1:4">
      <c r="A1072" s="4" t="s">
        <v>162</v>
      </c>
      <c r="B1072" s="4" t="s">
        <v>1402</v>
      </c>
      <c r="C1072" s="4">
        <v>0.67119823000000001</v>
      </c>
      <c r="D1072" s="4">
        <v>0.62923809500000005</v>
      </c>
    </row>
    <row r="1073" spans="1:4">
      <c r="A1073" s="4" t="s">
        <v>162</v>
      </c>
      <c r="B1073" s="4" t="s">
        <v>1402</v>
      </c>
      <c r="C1073" s="4">
        <v>0.47518178900000002</v>
      </c>
      <c r="D1073" s="4">
        <v>0.61560908599999997</v>
      </c>
    </row>
    <row r="1074" spans="1:4">
      <c r="A1074" s="4" t="s">
        <v>162</v>
      </c>
      <c r="B1074" s="4" t="s">
        <v>1402</v>
      </c>
      <c r="C1074" s="4">
        <v>0.32026557100000003</v>
      </c>
      <c r="D1074" s="4">
        <v>0.57988772499999997</v>
      </c>
    </row>
    <row r="1075" spans="1:4">
      <c r="A1075" s="4" t="s">
        <v>162</v>
      </c>
      <c r="B1075" s="4" t="s">
        <v>1402</v>
      </c>
      <c r="C1075" s="4">
        <v>0.153019285</v>
      </c>
      <c r="D1075" s="4">
        <v>0.33268399300000001</v>
      </c>
    </row>
    <row r="1076" spans="1:4">
      <c r="A1076" s="4" t="s">
        <v>162</v>
      </c>
      <c r="B1076" s="4" t="s">
        <v>1402</v>
      </c>
      <c r="C1076" s="4">
        <v>7.9987353999999997E-2</v>
      </c>
      <c r="D1076" s="4">
        <v>0.25504128500000001</v>
      </c>
    </row>
    <row r="1077" spans="1:4">
      <c r="A1077" s="4" t="s">
        <v>162</v>
      </c>
      <c r="B1077" s="4" t="s">
        <v>1402</v>
      </c>
      <c r="C1077" s="4">
        <v>4.4577932000000001E-2</v>
      </c>
      <c r="D1077" s="4">
        <v>0.18448414299999999</v>
      </c>
    </row>
    <row r="1078" spans="1:4">
      <c r="A1078" s="4" t="s">
        <v>162</v>
      </c>
      <c r="B1078" s="4" t="s">
        <v>1402</v>
      </c>
      <c r="C1078" s="4">
        <v>0.69965222900000001</v>
      </c>
      <c r="D1078" s="4">
        <v>0.62984110699999996</v>
      </c>
    </row>
    <row r="1079" spans="1:4">
      <c r="A1079" s="4" t="s">
        <v>162</v>
      </c>
      <c r="B1079" s="4" t="s">
        <v>1402</v>
      </c>
      <c r="C1079" s="4">
        <v>0.668036674</v>
      </c>
      <c r="D1079" s="4">
        <v>0.62983512799999997</v>
      </c>
    </row>
    <row r="1080" spans="1:4">
      <c r="A1080" s="4" t="s">
        <v>162</v>
      </c>
      <c r="B1080" s="4" t="s">
        <v>1402</v>
      </c>
      <c r="C1080" s="4">
        <v>0.67752133999999997</v>
      </c>
      <c r="D1080" s="4">
        <v>0.62923809500000005</v>
      </c>
    </row>
    <row r="1081" spans="1:4">
      <c r="A1081" s="4" t="s">
        <v>162</v>
      </c>
      <c r="B1081" s="4" t="s">
        <v>1402</v>
      </c>
      <c r="C1081" s="4">
        <v>0.46885867799999997</v>
      </c>
      <c r="D1081" s="4">
        <v>0.61560908599999997</v>
      </c>
    </row>
    <row r="1082" spans="1:4">
      <c r="A1082" s="4" t="s">
        <v>162</v>
      </c>
      <c r="B1082" s="4" t="s">
        <v>1402</v>
      </c>
      <c r="C1082" s="4">
        <v>0.32658868200000002</v>
      </c>
      <c r="D1082" s="4">
        <v>0.57988772499999997</v>
      </c>
    </row>
    <row r="1083" spans="1:4">
      <c r="A1083" s="4" t="s">
        <v>162</v>
      </c>
      <c r="B1083" s="4" t="s">
        <v>1402</v>
      </c>
      <c r="C1083" s="4">
        <v>0.16029086300000001</v>
      </c>
      <c r="D1083" s="4">
        <v>0.33268399300000001</v>
      </c>
    </row>
    <row r="1084" spans="1:4">
      <c r="A1084" s="4" t="s">
        <v>162</v>
      </c>
      <c r="B1084" s="4" t="s">
        <v>1402</v>
      </c>
      <c r="C1084" s="4">
        <v>7.7774264999999995E-2</v>
      </c>
      <c r="D1084" s="4">
        <v>0.25504128500000001</v>
      </c>
    </row>
    <row r="1085" spans="1:4">
      <c r="A1085" s="4" t="s">
        <v>162</v>
      </c>
      <c r="B1085" s="4" t="s">
        <v>1402</v>
      </c>
      <c r="C1085" s="4">
        <v>4.8687953999999999E-2</v>
      </c>
      <c r="D1085" s="4">
        <v>0.18448414299999999</v>
      </c>
    </row>
    <row r="1086" spans="1:4">
      <c r="A1086" s="4" t="s">
        <v>162</v>
      </c>
      <c r="B1086" s="4" t="s">
        <v>1402</v>
      </c>
      <c r="C1086" s="4">
        <v>0.67119823000000001</v>
      </c>
      <c r="D1086" s="4">
        <v>0.62708645799999996</v>
      </c>
    </row>
    <row r="1087" spans="1:4">
      <c r="A1087" s="4" t="s">
        <v>162</v>
      </c>
      <c r="B1087" s="4" t="s">
        <v>1402</v>
      </c>
      <c r="C1087" s="4">
        <v>0.68384445100000002</v>
      </c>
      <c r="D1087" s="4">
        <v>0.62684929099999998</v>
      </c>
    </row>
    <row r="1088" spans="1:4">
      <c r="A1088" s="4" t="s">
        <v>162</v>
      </c>
      <c r="B1088" s="4" t="s">
        <v>1402</v>
      </c>
      <c r="C1088" s="4">
        <v>0.55105912099999999</v>
      </c>
      <c r="D1088" s="4">
        <v>0.60406562699999999</v>
      </c>
    </row>
    <row r="1089" spans="1:4">
      <c r="A1089" s="4" t="s">
        <v>162</v>
      </c>
      <c r="B1089" s="4" t="s">
        <v>1402</v>
      </c>
      <c r="C1089" s="4">
        <v>0.13847613</v>
      </c>
      <c r="D1089" s="4">
        <v>0.33442793500000001</v>
      </c>
    </row>
    <row r="1090" spans="1:4">
      <c r="A1090" s="4" t="s">
        <v>162</v>
      </c>
      <c r="B1090" s="4" t="s">
        <v>1402</v>
      </c>
      <c r="C1090" s="4">
        <v>8.4729686999999998E-2</v>
      </c>
      <c r="D1090" s="4">
        <v>0.16003592</v>
      </c>
    </row>
    <row r="1091" spans="1:4">
      <c r="A1091" s="4" t="s">
        <v>162</v>
      </c>
      <c r="B1091" s="4" t="s">
        <v>1402</v>
      </c>
      <c r="C1091" s="4">
        <v>2.8453999000000001E-2</v>
      </c>
      <c r="D1091" s="4">
        <v>3.2114876000000001E-2</v>
      </c>
    </row>
    <row r="1092" spans="1:4">
      <c r="A1092" s="4" t="s">
        <v>162</v>
      </c>
      <c r="B1092" s="4" t="s">
        <v>1402</v>
      </c>
      <c r="C1092" s="4">
        <v>2.4027822000000001E-2</v>
      </c>
      <c r="D1092" s="4">
        <v>2.1955703999999999E-2</v>
      </c>
    </row>
    <row r="1093" spans="1:4">
      <c r="A1093" s="4" t="s">
        <v>162</v>
      </c>
      <c r="B1093" s="4" t="s">
        <v>1402</v>
      </c>
      <c r="C1093" s="4">
        <v>2.7189377000000001E-2</v>
      </c>
      <c r="D1093" s="4">
        <v>1.4111212999999999E-2</v>
      </c>
    </row>
    <row r="1094" spans="1:4">
      <c r="A1094" s="4" t="s">
        <v>162</v>
      </c>
      <c r="B1094" s="4" t="s">
        <v>1402</v>
      </c>
      <c r="C1094" s="4">
        <v>0.68384445100000002</v>
      </c>
      <c r="D1094" s="4">
        <v>0.62708645799999996</v>
      </c>
    </row>
    <row r="1095" spans="1:4">
      <c r="A1095" s="4" t="s">
        <v>162</v>
      </c>
      <c r="B1095" s="4" t="s">
        <v>1402</v>
      </c>
      <c r="C1095" s="4">
        <v>0.68068289599999998</v>
      </c>
      <c r="D1095" s="4">
        <v>0.62684929099999998</v>
      </c>
    </row>
    <row r="1096" spans="1:4">
      <c r="A1096" s="4" t="s">
        <v>162</v>
      </c>
      <c r="B1096" s="4" t="s">
        <v>1402</v>
      </c>
      <c r="C1096" s="4">
        <v>0.56686689899999998</v>
      </c>
      <c r="D1096" s="4">
        <v>0.60406562699999999</v>
      </c>
    </row>
    <row r="1097" spans="1:4">
      <c r="A1097" s="4" t="s">
        <v>162</v>
      </c>
      <c r="B1097" s="4" t="s">
        <v>1402</v>
      </c>
      <c r="C1097" s="4">
        <v>0.139108441</v>
      </c>
      <c r="D1097" s="4">
        <v>0.33442793500000001</v>
      </c>
    </row>
    <row r="1098" spans="1:4">
      <c r="A1098" s="4" t="s">
        <v>162</v>
      </c>
      <c r="B1098" s="4" t="s">
        <v>1402</v>
      </c>
      <c r="C1098" s="4">
        <v>7.9671197999999999E-2</v>
      </c>
      <c r="D1098" s="4">
        <v>0.16003592</v>
      </c>
    </row>
    <row r="1099" spans="1:4">
      <c r="A1099" s="4" t="s">
        <v>162</v>
      </c>
      <c r="B1099" s="4" t="s">
        <v>1402</v>
      </c>
      <c r="C1099" s="4">
        <v>3.5093265999999998E-2</v>
      </c>
      <c r="D1099" s="4">
        <v>3.2114876000000001E-2</v>
      </c>
    </row>
    <row r="1100" spans="1:4">
      <c r="A1100" s="4" t="s">
        <v>162</v>
      </c>
      <c r="B1100" s="4" t="s">
        <v>1402</v>
      </c>
      <c r="C1100" s="4">
        <v>2.3395511000000001E-2</v>
      </c>
      <c r="D1100" s="4">
        <v>2.1955703999999999E-2</v>
      </c>
    </row>
    <row r="1101" spans="1:4">
      <c r="A1101" s="4" t="s">
        <v>162</v>
      </c>
      <c r="B1101" s="4" t="s">
        <v>1402</v>
      </c>
      <c r="C1101" s="4">
        <v>2.6557066000000001E-2</v>
      </c>
      <c r="D1101" s="4">
        <v>1.4111212999999999E-2</v>
      </c>
    </row>
    <row r="1102" spans="1:4">
      <c r="A1102" s="4" t="s">
        <v>162</v>
      </c>
      <c r="B1102" s="4" t="s">
        <v>1402</v>
      </c>
      <c r="C1102" s="4">
        <v>0.68700600700000003</v>
      </c>
      <c r="D1102" s="4">
        <v>0.61127024299999999</v>
      </c>
    </row>
    <row r="1103" spans="1:4">
      <c r="A1103" s="4" t="s">
        <v>162</v>
      </c>
      <c r="B1103" s="4" t="s">
        <v>1402</v>
      </c>
      <c r="C1103" s="4">
        <v>0.66487511899999996</v>
      </c>
      <c r="D1103" s="4">
        <v>0.60974783399999999</v>
      </c>
    </row>
    <row r="1104" spans="1:4">
      <c r="A1104" s="4" t="s">
        <v>162</v>
      </c>
      <c r="B1104" s="4" t="s">
        <v>1402</v>
      </c>
      <c r="C1104" s="4">
        <v>0.39930445799999997</v>
      </c>
      <c r="D1104" s="4">
        <v>0.48825132199999999</v>
      </c>
    </row>
    <row r="1105" spans="1:4">
      <c r="A1105" s="4" t="s">
        <v>162</v>
      </c>
      <c r="B1105" s="4" t="s">
        <v>1402</v>
      </c>
      <c r="C1105" s="4">
        <v>5.1849510000000001E-2</v>
      </c>
      <c r="D1105" s="4">
        <v>8.5958203999999996E-2</v>
      </c>
    </row>
    <row r="1106" spans="1:4">
      <c r="A1106" s="4" t="s">
        <v>162</v>
      </c>
      <c r="B1106" s="4" t="s">
        <v>1402</v>
      </c>
      <c r="C1106" s="4">
        <v>3.0034776999999999E-2</v>
      </c>
      <c r="D1106" s="4">
        <v>2.3083077E-2</v>
      </c>
    </row>
    <row r="1107" spans="1:4">
      <c r="A1107" s="4" t="s">
        <v>162</v>
      </c>
      <c r="B1107" s="4" t="s">
        <v>1402</v>
      </c>
      <c r="C1107" s="4">
        <v>2.2447043999999999E-2</v>
      </c>
      <c r="D1107" s="4">
        <v>-9.2245279999999992E-3</v>
      </c>
    </row>
    <row r="1108" spans="1:4">
      <c r="A1108" s="4" t="s">
        <v>162</v>
      </c>
      <c r="B1108" s="4" t="s">
        <v>1402</v>
      </c>
      <c r="C1108" s="4">
        <v>2.6557066000000001E-2</v>
      </c>
      <c r="D1108" s="4">
        <v>-1.1147812E-2</v>
      </c>
    </row>
    <row r="1109" spans="1:4">
      <c r="A1109" s="4" t="s">
        <v>162</v>
      </c>
      <c r="B1109" s="4" t="s">
        <v>1402</v>
      </c>
      <c r="C1109" s="4">
        <v>0.65222889699999997</v>
      </c>
      <c r="D1109" s="4">
        <v>0.61127024299999999</v>
      </c>
    </row>
    <row r="1110" spans="1:4">
      <c r="A1110" s="4" t="s">
        <v>162</v>
      </c>
      <c r="B1110" s="4" t="s">
        <v>1402</v>
      </c>
      <c r="C1110" s="4">
        <v>0.668036674</v>
      </c>
      <c r="D1110" s="4">
        <v>0.60974783399999999</v>
      </c>
    </row>
    <row r="1111" spans="1:4">
      <c r="A1111" s="4" t="s">
        <v>162</v>
      </c>
      <c r="B1111" s="4" t="s">
        <v>1402</v>
      </c>
      <c r="C1111" s="4">
        <v>0.38981979100000003</v>
      </c>
      <c r="D1111" s="4">
        <v>0.48825132199999999</v>
      </c>
    </row>
    <row r="1112" spans="1:4">
      <c r="A1112" s="4" t="s">
        <v>162</v>
      </c>
      <c r="B1112" s="4" t="s">
        <v>1402</v>
      </c>
      <c r="C1112" s="4">
        <v>5.7224153999999999E-2</v>
      </c>
      <c r="D1112" s="4">
        <v>8.5958203999999996E-2</v>
      </c>
    </row>
    <row r="1113" spans="1:4">
      <c r="A1113" s="4" t="s">
        <v>162</v>
      </c>
      <c r="B1113" s="4" t="s">
        <v>1402</v>
      </c>
      <c r="C1113" s="4">
        <v>3.0034776999999999E-2</v>
      </c>
      <c r="D1113" s="4">
        <v>2.3083077E-2</v>
      </c>
    </row>
    <row r="1114" spans="1:4">
      <c r="A1114" s="4" t="s">
        <v>162</v>
      </c>
      <c r="B1114" s="4" t="s">
        <v>1402</v>
      </c>
      <c r="C1114" s="4">
        <v>2.1498577000000001E-2</v>
      </c>
      <c r="D1114" s="4">
        <v>-9.2245279999999992E-3</v>
      </c>
    </row>
    <row r="1115" spans="1:4">
      <c r="A1115" s="4" t="s">
        <v>162</v>
      </c>
      <c r="B1115" s="4" t="s">
        <v>1402</v>
      </c>
      <c r="C1115" s="4">
        <v>2.0550110999999999E-2</v>
      </c>
      <c r="D1115" s="4">
        <v>-1.1147812E-2</v>
      </c>
    </row>
    <row r="1116" spans="1:4">
      <c r="A1116" s="4" t="s">
        <v>162</v>
      </c>
      <c r="B1116" s="4" t="s">
        <v>1402</v>
      </c>
      <c r="C1116" s="4">
        <v>0.64590578600000004</v>
      </c>
      <c r="D1116" s="4">
        <v>0.54350103699999996</v>
      </c>
    </row>
    <row r="1117" spans="1:4">
      <c r="A1117" s="4" t="s">
        <v>162</v>
      </c>
      <c r="B1117" s="4" t="s">
        <v>1402</v>
      </c>
      <c r="C1117" s="4">
        <v>0.626936453</v>
      </c>
      <c r="D1117" s="4">
        <v>0.53725930099999997</v>
      </c>
    </row>
    <row r="1118" spans="1:4">
      <c r="A1118" s="4" t="s">
        <v>162</v>
      </c>
      <c r="B1118" s="4" t="s">
        <v>1402</v>
      </c>
      <c r="C1118" s="4">
        <v>0.206449573</v>
      </c>
      <c r="D1118" s="4">
        <v>0.246094587</v>
      </c>
    </row>
    <row r="1119" spans="1:4">
      <c r="A1119" s="4" t="s">
        <v>162</v>
      </c>
      <c r="B1119" s="4" t="s">
        <v>1402</v>
      </c>
      <c r="C1119" s="4">
        <v>3.1299398999999999E-2</v>
      </c>
      <c r="D1119" s="4">
        <v>4.170099E-3</v>
      </c>
    </row>
    <row r="1120" spans="1:4">
      <c r="A1120" s="4" t="s">
        <v>162</v>
      </c>
      <c r="B1120" s="4" t="s">
        <v>1402</v>
      </c>
      <c r="C1120" s="4">
        <v>2.0866266000000001E-2</v>
      </c>
      <c r="D1120" s="4">
        <v>-1.1454265999999999E-2</v>
      </c>
    </row>
    <row r="1121" spans="1:4">
      <c r="A1121" s="4" t="s">
        <v>162</v>
      </c>
      <c r="B1121" s="4" t="s">
        <v>1402</v>
      </c>
      <c r="C1121" s="4">
        <v>2.5292444000000001E-2</v>
      </c>
      <c r="D1121" s="4">
        <v>-1.9631033999999999E-2</v>
      </c>
    </row>
    <row r="1122" spans="1:4">
      <c r="A1122" s="4" t="s">
        <v>162</v>
      </c>
      <c r="B1122" s="4" t="s">
        <v>1402</v>
      </c>
      <c r="C1122" s="4">
        <v>2.8453999000000001E-2</v>
      </c>
      <c r="D1122" s="4">
        <v>-2.0187521999999999E-2</v>
      </c>
    </row>
    <row r="1123" spans="1:4">
      <c r="A1123" s="4" t="s">
        <v>162</v>
      </c>
      <c r="B1123" s="4" t="s">
        <v>1402</v>
      </c>
      <c r="C1123" s="4">
        <v>0.66171356299999995</v>
      </c>
      <c r="D1123" s="4">
        <v>0.54350103699999996</v>
      </c>
    </row>
    <row r="1124" spans="1:4">
      <c r="A1124" s="4" t="s">
        <v>162</v>
      </c>
      <c r="B1124" s="4" t="s">
        <v>1402</v>
      </c>
      <c r="C1124" s="4">
        <v>0.62061334199999996</v>
      </c>
      <c r="D1124" s="4">
        <v>0.53725930099999997</v>
      </c>
    </row>
    <row r="1125" spans="1:4">
      <c r="A1125" s="4" t="s">
        <v>162</v>
      </c>
      <c r="B1125" s="4" t="s">
        <v>1402</v>
      </c>
      <c r="C1125" s="4">
        <v>0.20233955100000001</v>
      </c>
      <c r="D1125" s="4">
        <v>0.246094587</v>
      </c>
    </row>
    <row r="1126" spans="1:4">
      <c r="A1126" s="4" t="s">
        <v>162</v>
      </c>
      <c r="B1126" s="4" t="s">
        <v>1402</v>
      </c>
      <c r="C1126" s="4">
        <v>2.6873221999999999E-2</v>
      </c>
      <c r="D1126" s="4">
        <v>4.170099E-3</v>
      </c>
    </row>
    <row r="1127" spans="1:4">
      <c r="A1127" s="4" t="s">
        <v>162</v>
      </c>
      <c r="B1127" s="4" t="s">
        <v>1402</v>
      </c>
      <c r="C1127" s="4">
        <v>1.9601644000000001E-2</v>
      </c>
      <c r="D1127" s="4">
        <v>-1.1454265999999999E-2</v>
      </c>
    </row>
    <row r="1128" spans="1:4">
      <c r="A1128" s="4" t="s">
        <v>162</v>
      </c>
      <c r="B1128" s="4" t="s">
        <v>1402</v>
      </c>
      <c r="C1128" s="4">
        <v>2.2763199000000001E-2</v>
      </c>
      <c r="D1128" s="4">
        <v>-1.9631033999999999E-2</v>
      </c>
    </row>
    <row r="1129" spans="1:4">
      <c r="A1129" s="4" t="s">
        <v>162</v>
      </c>
      <c r="B1129" s="4" t="s">
        <v>1402</v>
      </c>
      <c r="C1129" s="4">
        <v>2.2130888000000001E-2</v>
      </c>
      <c r="D1129" s="4">
        <v>-2.0187521999999999E-2</v>
      </c>
    </row>
    <row r="1130" spans="1:4">
      <c r="A1130" s="4" t="s">
        <v>162</v>
      </c>
      <c r="B1130" s="4" t="s">
        <v>1402</v>
      </c>
      <c r="C1130" s="4">
        <v>0.57951311999999999</v>
      </c>
      <c r="D1130" s="4">
        <v>0.43872733000000003</v>
      </c>
    </row>
    <row r="1131" spans="1:4">
      <c r="A1131" s="4" t="s">
        <v>162</v>
      </c>
      <c r="B1131" s="4" t="s">
        <v>1402</v>
      </c>
      <c r="C1131" s="4">
        <v>0.55738223200000003</v>
      </c>
      <c r="D1131" s="4">
        <v>0.42762430800000001</v>
      </c>
    </row>
    <row r="1132" spans="1:4">
      <c r="A1132" s="4" t="s">
        <v>162</v>
      </c>
      <c r="B1132" s="4" t="s">
        <v>1402</v>
      </c>
      <c r="C1132" s="4">
        <v>0.11760986399999999</v>
      </c>
      <c r="D1132" s="4">
        <v>0.111315057</v>
      </c>
    </row>
    <row r="1133" spans="1:4">
      <c r="A1133" s="4" t="s">
        <v>162</v>
      </c>
      <c r="B1133" s="4" t="s">
        <v>1402</v>
      </c>
      <c r="C1133" s="4">
        <v>2.2130888000000001E-2</v>
      </c>
      <c r="D1133" s="4">
        <v>-1.2773783E-2</v>
      </c>
    </row>
    <row r="1134" spans="1:4">
      <c r="A1134" s="4" t="s">
        <v>162</v>
      </c>
      <c r="B1134" s="4" t="s">
        <v>1402</v>
      </c>
      <c r="C1134" s="4">
        <v>1.7704711000000001E-2</v>
      </c>
      <c r="D1134" s="4">
        <v>-1.9143074E-2</v>
      </c>
    </row>
    <row r="1135" spans="1:4">
      <c r="A1135" s="4" t="s">
        <v>162</v>
      </c>
      <c r="B1135" s="4" t="s">
        <v>1402</v>
      </c>
      <c r="C1135" s="4">
        <v>1.7704711000000001E-2</v>
      </c>
      <c r="D1135" s="4">
        <v>-2.2707371E-2</v>
      </c>
    </row>
    <row r="1136" spans="1:4">
      <c r="A1136" s="4" t="s">
        <v>162</v>
      </c>
      <c r="B1136" s="4" t="s">
        <v>1402</v>
      </c>
      <c r="C1136" s="4">
        <v>2.7505532999999999E-2</v>
      </c>
      <c r="D1136" s="4">
        <v>-2.2968846000000001E-2</v>
      </c>
    </row>
    <row r="1137" spans="1:4">
      <c r="A1137" s="4" t="s">
        <v>162</v>
      </c>
      <c r="B1137" s="4" t="s">
        <v>1402</v>
      </c>
      <c r="C1137" s="4">
        <v>0.54473601000000005</v>
      </c>
      <c r="D1137" s="4">
        <v>0.43872733000000003</v>
      </c>
    </row>
    <row r="1138" spans="1:4">
      <c r="A1138" s="4" t="s">
        <v>162</v>
      </c>
      <c r="B1138" s="4" t="s">
        <v>1402</v>
      </c>
      <c r="C1138" s="4">
        <v>0.50679734399999998</v>
      </c>
      <c r="D1138" s="4">
        <v>0.42762430800000001</v>
      </c>
    </row>
    <row r="1139" spans="1:4">
      <c r="A1139" s="4" t="s">
        <v>162</v>
      </c>
      <c r="B1139" s="4" t="s">
        <v>1402</v>
      </c>
      <c r="C1139" s="4">
        <v>0.105912109</v>
      </c>
      <c r="D1139" s="4">
        <v>0.111315057</v>
      </c>
    </row>
    <row r="1140" spans="1:4">
      <c r="A1140" s="4" t="s">
        <v>162</v>
      </c>
      <c r="B1140" s="4" t="s">
        <v>1402</v>
      </c>
      <c r="C1140" s="4">
        <v>1.7388555E-2</v>
      </c>
      <c r="D1140" s="4">
        <v>-1.2773783E-2</v>
      </c>
    </row>
    <row r="1141" spans="1:4">
      <c r="A1141" s="4" t="s">
        <v>162</v>
      </c>
      <c r="B1141" s="4" t="s">
        <v>1402</v>
      </c>
      <c r="C1141" s="4">
        <v>1.4227E-2</v>
      </c>
      <c r="D1141" s="4">
        <v>-1.9143074E-2</v>
      </c>
    </row>
    <row r="1142" spans="1:4">
      <c r="A1142" s="4" t="s">
        <v>162</v>
      </c>
      <c r="B1142" s="4" t="s">
        <v>1402</v>
      </c>
      <c r="C1142" s="4">
        <v>2.4343976999999999E-2</v>
      </c>
      <c r="D1142" s="4">
        <v>-2.2707371E-2</v>
      </c>
    </row>
    <row r="1143" spans="1:4">
      <c r="A1143" s="4" t="s">
        <v>162</v>
      </c>
      <c r="B1143" s="4" t="s">
        <v>1402</v>
      </c>
      <c r="C1143" s="4">
        <v>1.8337022000000001E-2</v>
      </c>
      <c r="D1143" s="4">
        <v>-2.2968846000000001E-2</v>
      </c>
    </row>
  </sheetData>
  <mergeCells count="4">
    <mergeCell ref="V13:W13"/>
    <mergeCell ref="F1:O1"/>
    <mergeCell ref="A1:D1"/>
    <mergeCell ref="Q1:AF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0A26-AEB7-4CAF-9450-1ECCC099711F}">
  <dimension ref="A1:AH1019"/>
  <sheetViews>
    <sheetView tabSelected="1" topLeftCell="A972" zoomScaleNormal="100" workbookViewId="0">
      <selection activeCell="K1019" sqref="K1019"/>
    </sheetView>
  </sheetViews>
  <sheetFormatPr defaultColWidth="8.625" defaultRowHeight="14.25"/>
  <cols>
    <col min="1" max="1" width="16.875" style="4" customWidth="1"/>
    <col min="2" max="2" width="11.125" style="4" customWidth="1"/>
    <col min="3" max="3" width="13.625" style="4" customWidth="1"/>
    <col min="4" max="4" width="12.75" style="4" customWidth="1"/>
    <col min="5" max="5" width="7.875" style="4" customWidth="1"/>
    <col min="6" max="6" width="8.75" style="4" customWidth="1"/>
    <col min="7" max="7" width="7.375" style="4" customWidth="1"/>
    <col min="8" max="8" width="10.875" style="4" customWidth="1"/>
    <col min="9" max="10" width="8.625" style="4"/>
    <col min="11" max="11" width="15" style="4" customWidth="1"/>
    <col min="12" max="12" width="26.375" style="4" customWidth="1"/>
    <col min="13" max="13" width="8.625" style="4"/>
    <col min="14" max="14" width="15.5" style="4" customWidth="1"/>
    <col min="15" max="16" width="8.625" style="4"/>
    <col min="17" max="17" width="16.5" style="4" customWidth="1"/>
    <col min="18" max="20" width="8.625" style="4"/>
    <col min="21" max="21" width="12.875" style="4" customWidth="1"/>
    <col min="22" max="16384" width="8.625" style="4"/>
  </cols>
  <sheetData>
    <row r="1" spans="1:34" ht="15.75" thickBot="1">
      <c r="A1" s="68" t="s">
        <v>3379</v>
      </c>
    </row>
    <row r="2" spans="1:34" ht="19.5" thickBot="1">
      <c r="B2" s="219" t="s">
        <v>1426</v>
      </c>
      <c r="C2" s="220"/>
      <c r="D2" s="220"/>
      <c r="E2" s="220"/>
      <c r="F2" s="220"/>
      <c r="G2" s="221"/>
      <c r="H2" s="219" t="s">
        <v>1404</v>
      </c>
      <c r="I2" s="220"/>
      <c r="J2" s="220"/>
      <c r="K2" s="220"/>
      <c r="L2" s="220"/>
      <c r="M2" s="221"/>
      <c r="N2" s="215" t="s">
        <v>1405</v>
      </c>
      <c r="O2" s="216"/>
      <c r="P2" s="216"/>
      <c r="Q2" s="216"/>
      <c r="R2" s="216"/>
      <c r="S2" s="217"/>
      <c r="U2" s="4" t="s">
        <v>1263</v>
      </c>
      <c r="V2" s="4" t="s">
        <v>1265</v>
      </c>
    </row>
    <row r="3" spans="1:34" ht="18.75">
      <c r="A3" s="6" t="s">
        <v>1222</v>
      </c>
      <c r="B3" s="218" t="s">
        <v>1223</v>
      </c>
      <c r="C3" s="218"/>
      <c r="D3" s="218"/>
      <c r="E3" s="218" t="s">
        <v>1224</v>
      </c>
      <c r="F3" s="218"/>
      <c r="G3" s="218"/>
      <c r="H3" s="218" t="s">
        <v>1225</v>
      </c>
      <c r="I3" s="218"/>
      <c r="J3" s="218"/>
      <c r="K3" s="218" t="s">
        <v>1226</v>
      </c>
      <c r="L3" s="218"/>
      <c r="M3" s="218"/>
      <c r="N3" s="4" t="s">
        <v>1411</v>
      </c>
      <c r="Q3" s="4" t="s">
        <v>1412</v>
      </c>
      <c r="U3" s="4" t="s">
        <v>1453</v>
      </c>
      <c r="V3" s="4" t="s">
        <v>1369</v>
      </c>
    </row>
    <row r="4" spans="1:34" ht="18.75">
      <c r="A4" s="6" t="s">
        <v>1240</v>
      </c>
      <c r="B4" s="4">
        <v>5.80289022529396E-2</v>
      </c>
      <c r="C4" s="4">
        <v>5.5123952513966484E-2</v>
      </c>
      <c r="D4" s="4">
        <v>5.3650683143329568E-2</v>
      </c>
      <c r="E4" s="4">
        <v>0.17648365316275766</v>
      </c>
      <c r="F4" s="4">
        <v>0.17686457523118143</v>
      </c>
      <c r="G4" s="4">
        <v>0.19563345103780899</v>
      </c>
      <c r="H4" s="4">
        <v>0.11197218498659518</v>
      </c>
      <c r="I4" s="4">
        <v>0.10311012637452815</v>
      </c>
      <c r="J4" s="4">
        <v>9.1099950601020926E-2</v>
      </c>
      <c r="K4" s="4">
        <v>0.12325427650607389</v>
      </c>
      <c r="L4" s="4">
        <v>0.12161823647294591</v>
      </c>
      <c r="M4" s="4">
        <v>0.14433939588174027</v>
      </c>
      <c r="N4" s="4">
        <v>6.7601832160968434E-2</v>
      </c>
      <c r="O4" s="4">
        <v>8.3886370993849158E-2</v>
      </c>
      <c r="P4" s="4">
        <v>9.8183425769632682E-2</v>
      </c>
      <c r="Q4" s="4">
        <v>0.13455446348793762</v>
      </c>
      <c r="R4" s="4">
        <v>0.12602884850460436</v>
      </c>
      <c r="S4" s="4">
        <v>0.14353817803060653</v>
      </c>
      <c r="U4" s="4" t="s">
        <v>1454</v>
      </c>
      <c r="V4" s="4" t="s">
        <v>250</v>
      </c>
      <c r="AA4" s="4">
        <v>1</v>
      </c>
      <c r="AB4" s="4">
        <f>AVERAGE(E4:G4)/AVERAGE(B4:D4)</f>
        <v>3.2911872632292689</v>
      </c>
      <c r="AD4" s="4">
        <v>2</v>
      </c>
      <c r="AE4" s="4">
        <f>AVERAGE(K4:M4)/AVERAGE(H4:J4)</f>
        <v>1.2711771948071944</v>
      </c>
      <c r="AG4" s="4">
        <v>3</v>
      </c>
      <c r="AH4" s="4">
        <f>AVERAGE(Q4:S4)/AVERAGE(N4:P4)</f>
        <v>1.618611981521674</v>
      </c>
    </row>
    <row r="5" spans="1:34" ht="18.75">
      <c r="A5" s="4" t="s">
        <v>1241</v>
      </c>
      <c r="B5" s="4">
        <v>5.8032747060538332</v>
      </c>
      <c r="C5" s="4">
        <v>5.3917008881673194</v>
      </c>
      <c r="D5" s="4">
        <v>5.5940561416729464</v>
      </c>
      <c r="E5" s="4">
        <v>5.2837902151151726</v>
      </c>
      <c r="F5" s="4">
        <v>5.4833826759621811</v>
      </c>
      <c r="G5" s="4">
        <v>6.0265772718502797</v>
      </c>
      <c r="H5" s="4">
        <v>0.63819364399802403</v>
      </c>
      <c r="I5" s="4">
        <v>0.66618461284191388</v>
      </c>
      <c r="J5" s="4">
        <v>0.65396095514682162</v>
      </c>
      <c r="K5" s="4">
        <v>6.8149910997600811</v>
      </c>
      <c r="L5" s="4">
        <v>6.9455884621317292</v>
      </c>
      <c r="M5" s="4">
        <v>6.921566366920298</v>
      </c>
      <c r="N5" s="4">
        <v>9.3417841114872863E-2</v>
      </c>
      <c r="O5" s="4">
        <v>8.1863062479766921E-2</v>
      </c>
      <c r="P5" s="4">
        <v>7.8225358813734047E-2</v>
      </c>
      <c r="Q5" s="4">
        <v>1.3229605050178053</v>
      </c>
      <c r="R5" s="4">
        <v>1.1980880929332045</v>
      </c>
      <c r="S5" s="4">
        <v>1.2588334268087495</v>
      </c>
      <c r="U5" s="4" t="s">
        <v>1386</v>
      </c>
      <c r="V5" s="4" t="s">
        <v>1373</v>
      </c>
      <c r="AB5" s="4">
        <f>AVERAGE(E5:G5)/AVERAGE(B5:D5)</f>
        <v>1.000281042236846</v>
      </c>
      <c r="AE5" s="4">
        <f t="shared" ref="AE5:AE6" si="0">AVERAGE(K5:M5)/AVERAGE(H5:J5)</f>
        <v>10.561064090541194</v>
      </c>
      <c r="AH5" s="4">
        <f t="shared" ref="AH5:AH6" si="1">AVERAGE(Q5:S5)/AVERAGE(N5:P5)</f>
        <v>14.910408874518211</v>
      </c>
    </row>
    <row r="6" spans="1:34" ht="19.5" thickBot="1">
      <c r="A6" s="4" t="s">
        <v>1242</v>
      </c>
      <c r="B6" s="4">
        <v>4.7857478557161324</v>
      </c>
      <c r="C6" s="4">
        <v>4.8541890120367057</v>
      </c>
      <c r="D6" s="4">
        <v>4.9012912982782684</v>
      </c>
      <c r="E6" s="4">
        <v>5.2856870955462503</v>
      </c>
      <c r="F6" s="4">
        <v>5.6721937179326734</v>
      </c>
      <c r="G6" s="4">
        <v>5.4880510153541353</v>
      </c>
      <c r="H6" s="4">
        <v>4.4981256621302261</v>
      </c>
      <c r="I6" s="4">
        <v>4.6481557714473904</v>
      </c>
      <c r="J6" s="4">
        <v>4.806288442861768</v>
      </c>
      <c r="K6" s="4">
        <v>7.7560947295101004</v>
      </c>
      <c r="L6" s="4">
        <v>7.6495305701854823</v>
      </c>
      <c r="M6" s="4">
        <v>7.7896779647990169</v>
      </c>
      <c r="N6" s="4">
        <v>5.8167297875843911E-2</v>
      </c>
      <c r="O6" s="4">
        <v>5.3000560852495805E-2</v>
      </c>
      <c r="P6" s="4">
        <v>6.0011330527678867E-2</v>
      </c>
      <c r="Q6" s="4">
        <v>6.5708526265368032</v>
      </c>
      <c r="R6" s="4">
        <v>6.3832284607938048</v>
      </c>
      <c r="S6" s="4">
        <v>6.677274927395934</v>
      </c>
      <c r="U6" s="4" t="s">
        <v>1390</v>
      </c>
      <c r="V6" s="4" t="s">
        <v>1397</v>
      </c>
      <c r="AB6" s="4">
        <f>AVERAGE(E6:G6)/AVERAGE(B6:D6)</f>
        <v>1.1309864367063174</v>
      </c>
      <c r="AE6" s="4">
        <f t="shared" si="0"/>
        <v>1.6624394982362853</v>
      </c>
      <c r="AH6" s="4">
        <f t="shared" si="1"/>
        <v>114.68307625505543</v>
      </c>
    </row>
    <row r="7" spans="1:34" ht="19.5" thickBot="1">
      <c r="B7" s="215" t="s">
        <v>1427</v>
      </c>
      <c r="C7" s="216"/>
      <c r="D7" s="216"/>
      <c r="E7" s="216"/>
      <c r="F7" s="216"/>
      <c r="G7" s="217"/>
      <c r="H7" s="215" t="s">
        <v>1406</v>
      </c>
      <c r="I7" s="216"/>
      <c r="J7" s="216"/>
      <c r="K7" s="216"/>
      <c r="L7" s="216"/>
      <c r="M7" s="217"/>
      <c r="N7" s="92"/>
      <c r="O7" s="216" t="s">
        <v>1407</v>
      </c>
      <c r="P7" s="216"/>
      <c r="Q7" s="216"/>
      <c r="R7" s="216"/>
      <c r="S7" s="217"/>
      <c r="U7" s="4" t="s">
        <v>1456</v>
      </c>
      <c r="V7" s="4" t="s">
        <v>1367</v>
      </c>
    </row>
    <row r="8" spans="1:34" ht="18.75">
      <c r="A8" s="6" t="s">
        <v>1222</v>
      </c>
      <c r="B8" s="218" t="s">
        <v>1234</v>
      </c>
      <c r="C8" s="218"/>
      <c r="D8" s="218"/>
      <c r="E8" s="218" t="s">
        <v>1235</v>
      </c>
      <c r="F8" s="218"/>
      <c r="G8" s="218"/>
      <c r="H8" s="218" t="s">
        <v>1236</v>
      </c>
      <c r="I8" s="218"/>
      <c r="J8" s="218"/>
      <c r="K8" s="218" t="s">
        <v>1237</v>
      </c>
      <c r="L8" s="218"/>
      <c r="M8" s="218"/>
      <c r="N8" s="218" t="s">
        <v>1414</v>
      </c>
      <c r="O8" s="218"/>
      <c r="P8" s="218"/>
      <c r="Q8" s="218" t="s">
        <v>1413</v>
      </c>
      <c r="R8" s="218"/>
      <c r="S8" s="218"/>
      <c r="U8" s="4" t="s">
        <v>1495</v>
      </c>
      <c r="V8" s="4" t="s">
        <v>1366</v>
      </c>
    </row>
    <row r="9" spans="1:34" ht="18.75">
      <c r="A9" s="6" t="s">
        <v>1240</v>
      </c>
      <c r="B9" s="4">
        <v>0.11858000155872497</v>
      </c>
      <c r="C9" s="4">
        <v>0.11698010989861467</v>
      </c>
      <c r="D9" s="4">
        <v>0.1346984420792843</v>
      </c>
      <c r="E9" s="4">
        <v>0.14543332580377985</v>
      </c>
      <c r="F9" s="4">
        <v>0.14443786544297241</v>
      </c>
      <c r="G9" s="4">
        <v>0.11648093397013116</v>
      </c>
      <c r="H9" s="4">
        <v>1.3376005251928441E-2</v>
      </c>
      <c r="I9" s="4">
        <v>1.35146694038149E-2</v>
      </c>
      <c r="J9" s="4">
        <v>1.2935695865568588E-2</v>
      </c>
      <c r="K9" s="4">
        <v>1.9778667294560869E-2</v>
      </c>
      <c r="L9" s="4">
        <v>2.0165460186142712E-2</v>
      </c>
      <c r="M9" s="4">
        <v>1.8385111811496324E-2</v>
      </c>
      <c r="N9" s="4">
        <v>4.4358685283149769E-2</v>
      </c>
      <c r="O9" s="4">
        <v>5.1927649456521743E-2</v>
      </c>
      <c r="P9" s="4">
        <v>5.2780436863632409E-2</v>
      </c>
      <c r="Q9" s="4">
        <v>9.1438724072390717E-2</v>
      </c>
      <c r="R9" s="4">
        <v>7.75152313518854E-2</v>
      </c>
      <c r="S9" s="4">
        <v>0.10052888191058591</v>
      </c>
      <c r="U9" s="4" t="s">
        <v>1264</v>
      </c>
      <c r="V9" s="4" t="s">
        <v>1372</v>
      </c>
      <c r="AB9" s="4">
        <f>AVERAGE(E9:G9)/AVERAGE(B9:D9)</f>
        <v>1.0974820739061988</v>
      </c>
      <c r="AE9" s="4">
        <f>AVERAGE(K9:M9)/AVERAGE(H9:J9)</f>
        <v>1.4645883752069926</v>
      </c>
      <c r="AG9" s="4">
        <v>6</v>
      </c>
      <c r="AH9" s="4">
        <f>AVERAGE(Q9:S9)/AVERAGE(N9:P9)</f>
        <v>1.8077995145156092</v>
      </c>
    </row>
    <row r="10" spans="1:34" ht="18.75">
      <c r="A10" s="4" t="s">
        <v>1241</v>
      </c>
      <c r="B10" s="4">
        <v>0.15697275017174264</v>
      </c>
      <c r="C10" s="4">
        <v>0.1575137867647059</v>
      </c>
      <c r="D10" s="4">
        <v>0.15536524323478806</v>
      </c>
      <c r="E10" s="4">
        <v>7.820632930067867</v>
      </c>
      <c r="F10" s="4">
        <v>7.8907186736733035</v>
      </c>
      <c r="G10" s="4">
        <v>7.8578935599284438</v>
      </c>
      <c r="H10" s="4">
        <v>1.5809632466791623E-2</v>
      </c>
      <c r="I10" s="4">
        <v>1.6235890724685099E-2</v>
      </c>
      <c r="J10" s="4">
        <v>1.6706740734599122E-2</v>
      </c>
      <c r="K10" s="4">
        <v>0.19805832577818072</v>
      </c>
      <c r="L10" s="4">
        <v>0.17045625093801592</v>
      </c>
      <c r="M10" s="4">
        <v>0.20850545883741517</v>
      </c>
      <c r="N10" s="4">
        <v>5.0848180035802576E-2</v>
      </c>
      <c r="O10" s="4">
        <v>4.7880361930294907E-2</v>
      </c>
      <c r="P10" s="4">
        <v>4.5404536222071766E-2</v>
      </c>
      <c r="Q10" s="4">
        <v>6.4119876130714699</v>
      </c>
      <c r="R10" s="4">
        <v>6.403892845581094</v>
      </c>
      <c r="S10" s="4">
        <v>6.5473311590167844</v>
      </c>
      <c r="U10" s="4" t="s">
        <v>1389</v>
      </c>
      <c r="V10" s="4" t="s">
        <v>251</v>
      </c>
      <c r="AB10" s="4">
        <f>AVERAGE(E10:G10)/AVERAGE(B10:D10)</f>
        <v>50.163149653449956</v>
      </c>
      <c r="AE10" s="4">
        <f t="shared" ref="AE10:AE11" si="2">AVERAGE(K10:M10)/AVERAGE(H10:J10)</f>
        <v>11.83575877478347</v>
      </c>
      <c r="AH10" s="4">
        <f t="shared" ref="AH10:AH11" si="3">AVERAGE(Q10:S10)/AVERAGE(N10:P10)</f>
        <v>134.34259408787625</v>
      </c>
    </row>
    <row r="11" spans="1:34" ht="19.5" thickBot="1">
      <c r="A11" s="4" t="s">
        <v>1242</v>
      </c>
      <c r="B11" s="4">
        <v>0.30945328368314201</v>
      </c>
      <c r="C11" s="4">
        <v>0.27844738720164935</v>
      </c>
      <c r="D11" s="4">
        <v>0.26310906744111001</v>
      </c>
      <c r="E11" s="4">
        <v>9.0338991086667928</v>
      </c>
      <c r="F11" s="4">
        <v>9.4047015765765778</v>
      </c>
      <c r="G11" s="4">
        <v>9.2913426891712501</v>
      </c>
      <c r="H11" s="4">
        <v>2.7850482578112221E-2</v>
      </c>
      <c r="I11" s="4">
        <v>2.6909864223785378E-2</v>
      </c>
      <c r="J11" s="4">
        <v>2.7646000327171603E-2</v>
      </c>
      <c r="K11" s="4">
        <v>1.1411060204163654</v>
      </c>
      <c r="L11" s="4">
        <v>1.0294717840043954</v>
      </c>
      <c r="M11" s="4">
        <v>1.0770796742775028</v>
      </c>
      <c r="N11" s="4">
        <v>5.049929922915207E-2</v>
      </c>
      <c r="O11" s="4">
        <v>4.5085544692737435E-2</v>
      </c>
      <c r="P11" s="4">
        <v>4.3622427008870902E-2</v>
      </c>
      <c r="Q11" s="4">
        <v>5.3092187014600807</v>
      </c>
      <c r="R11" s="4">
        <v>5.2457813358449101</v>
      </c>
      <c r="S11" s="4">
        <v>5.1547508869350613</v>
      </c>
      <c r="U11" s="4" t="s">
        <v>1392</v>
      </c>
      <c r="V11" s="4" t="s">
        <v>1374</v>
      </c>
      <c r="AB11" s="4">
        <f>AVERAGE(E11:G11)/AVERAGE(B11:D11)</f>
        <v>32.584754469396223</v>
      </c>
      <c r="AE11" s="4">
        <f t="shared" si="2"/>
        <v>39.41028321048632</v>
      </c>
      <c r="AH11" s="4">
        <f t="shared" si="3"/>
        <v>112.85151141317787</v>
      </c>
    </row>
    <row r="12" spans="1:34" ht="19.5" thickBot="1">
      <c r="B12" s="215" t="s">
        <v>1408</v>
      </c>
      <c r="C12" s="216"/>
      <c r="D12" s="216"/>
      <c r="E12" s="216"/>
      <c r="F12" s="216"/>
      <c r="G12" s="217"/>
      <c r="H12" s="215" t="s">
        <v>1409</v>
      </c>
      <c r="I12" s="216"/>
      <c r="J12" s="216"/>
      <c r="K12" s="216"/>
      <c r="L12" s="216"/>
      <c r="M12" s="217"/>
      <c r="N12" s="215" t="s">
        <v>1410</v>
      </c>
      <c r="O12" s="216"/>
      <c r="P12" s="216"/>
      <c r="Q12" s="216"/>
      <c r="R12" s="216"/>
      <c r="S12" s="217"/>
      <c r="U12" s="4" t="s">
        <v>1387</v>
      </c>
      <c r="V12" s="4" t="s">
        <v>1371</v>
      </c>
    </row>
    <row r="13" spans="1:34" ht="18.75">
      <c r="A13" s="6" t="s">
        <v>1222</v>
      </c>
      <c r="B13" s="218" t="s">
        <v>1228</v>
      </c>
      <c r="C13" s="218"/>
      <c r="D13" s="218"/>
      <c r="E13" s="218" t="s">
        <v>1229</v>
      </c>
      <c r="F13" s="218"/>
      <c r="G13" s="218"/>
      <c r="H13" s="218" t="s">
        <v>1230</v>
      </c>
      <c r="I13" s="218"/>
      <c r="J13" s="218"/>
      <c r="K13" s="218" t="s">
        <v>1231</v>
      </c>
      <c r="L13" s="218"/>
      <c r="M13" s="218"/>
      <c r="N13" s="218" t="s">
        <v>1232</v>
      </c>
      <c r="O13" s="218"/>
      <c r="P13" s="218"/>
      <c r="Q13" s="218" t="s">
        <v>1233</v>
      </c>
      <c r="R13" s="218"/>
      <c r="S13" s="218"/>
      <c r="U13" s="4" t="s">
        <v>1384</v>
      </c>
      <c r="V13" s="4" t="s">
        <v>1364</v>
      </c>
    </row>
    <row r="14" spans="1:34" ht="18.75">
      <c r="A14" s="6" t="s">
        <v>1240</v>
      </c>
      <c r="B14" s="4">
        <v>0.1153557114228457</v>
      </c>
      <c r="C14" s="4">
        <v>0.11830429170700227</v>
      </c>
      <c r="D14" s="4">
        <v>0.11827377497719925</v>
      </c>
      <c r="E14" s="4">
        <v>7.1282512677899562E-2</v>
      </c>
      <c r="F14" s="4">
        <v>7.0127873098090002E-2</v>
      </c>
      <c r="G14" s="4">
        <v>6.9665694413282492E-2</v>
      </c>
      <c r="H14" s="4">
        <v>1.7098529770124278E-2</v>
      </c>
      <c r="I14" s="4">
        <v>1.7223297838012266E-2</v>
      </c>
      <c r="J14" s="4">
        <v>1.5745133322427614E-2</v>
      </c>
      <c r="K14" s="4">
        <v>1.9813519813519812E-2</v>
      </c>
      <c r="L14" s="4">
        <v>2.1308349224774065E-2</v>
      </c>
      <c r="M14" s="4">
        <v>2.294431854969246E-2</v>
      </c>
      <c r="N14" s="4">
        <v>0.12415533316226159</v>
      </c>
      <c r="O14" s="4">
        <v>9.4542883287580079E-2</v>
      </c>
      <c r="P14" s="4">
        <v>0.11122626647873311</v>
      </c>
      <c r="Q14" s="4">
        <v>0.14530508751840343</v>
      </c>
      <c r="R14" s="4">
        <v>0.13242174895127462</v>
      </c>
      <c r="S14" s="4">
        <v>0.12313855616704436</v>
      </c>
      <c r="U14" s="4" t="s">
        <v>1381</v>
      </c>
      <c r="V14" s="4" t="s">
        <v>1368</v>
      </c>
      <c r="AB14" s="4">
        <f>AVERAGE(E14:G14)/AVERAGE(B14:D14)</f>
        <v>0.59976078830679702</v>
      </c>
      <c r="AE14" s="4">
        <f>AVERAGE(K14:M14)/AVERAGE(H14:J14)</f>
        <v>1.2796100741332621</v>
      </c>
      <c r="AH14" s="4">
        <f>AVERAGE(Q14:S14)/AVERAGE(N14:P14)</f>
        <v>1.2150216591337526</v>
      </c>
    </row>
    <row r="15" spans="1:34" ht="18.75">
      <c r="A15" s="4" t="s">
        <v>1241</v>
      </c>
      <c r="B15" s="4">
        <v>0.21043715395421869</v>
      </c>
      <c r="C15" s="4">
        <v>0.17548296161180665</v>
      </c>
      <c r="D15" s="4">
        <v>0.18596027619128805</v>
      </c>
      <c r="E15" s="4">
        <v>1.5930713547052742</v>
      </c>
      <c r="F15" s="4">
        <v>1.3496978259163332</v>
      </c>
      <c r="G15" s="4">
        <v>1.3934380257992149</v>
      </c>
      <c r="H15" s="4">
        <v>2.961700103084609E-2</v>
      </c>
      <c r="I15" s="4">
        <v>2.8293545534924844E-2</v>
      </c>
      <c r="J15" s="4">
        <v>2.8389245390301354E-2</v>
      </c>
      <c r="K15" s="4">
        <v>1.923439854095631</v>
      </c>
      <c r="L15" s="4">
        <v>1.9337152209492636</v>
      </c>
      <c r="M15" s="4">
        <v>1.7452562790331472</v>
      </c>
      <c r="N15" s="4">
        <v>0.25609448554135844</v>
      </c>
      <c r="O15" s="4">
        <v>0.27771665538253215</v>
      </c>
      <c r="P15" s="4">
        <v>0.26679346066688248</v>
      </c>
      <c r="Q15" s="4">
        <v>7.2358895959011651</v>
      </c>
      <c r="R15" s="4">
        <v>7.0636898999677316</v>
      </c>
      <c r="S15" s="4">
        <v>7.046900291356426</v>
      </c>
      <c r="V15" s="4" t="s">
        <v>1365</v>
      </c>
      <c r="AB15" s="4">
        <f>AVERAGE(E15:G15)/AVERAGE(B15:D15)</f>
        <v>7.5823673427519118</v>
      </c>
      <c r="AE15" s="4">
        <f t="shared" ref="AE15:AE16" si="4">AVERAGE(K15:M15)/AVERAGE(H15:J15)</f>
        <v>64.918016916306613</v>
      </c>
      <c r="AH15" s="4">
        <f t="shared" ref="AH15:AH16" si="5">AVERAGE(Q15:S15)/AVERAGE(N15:P15)</f>
        <v>26.662949157187736</v>
      </c>
    </row>
    <row r="16" spans="1:34" ht="15" thickBot="1">
      <c r="A16" s="4" t="s">
        <v>1242</v>
      </c>
      <c r="B16" s="4">
        <v>0.57847175521183591</v>
      </c>
      <c r="C16" s="4">
        <v>0.61962593094109686</v>
      </c>
      <c r="D16" s="4">
        <v>0.65220886932972244</v>
      </c>
      <c r="E16" s="4">
        <v>6.0384519038076157</v>
      </c>
      <c r="F16" s="4">
        <v>5.6760604542418172</v>
      </c>
      <c r="G16" s="4">
        <v>5.1873086884859898</v>
      </c>
      <c r="H16" s="4">
        <v>3.5484933311378232E-2</v>
      </c>
      <c r="I16" s="4">
        <v>3.7700400801603209E-2</v>
      </c>
      <c r="J16" s="4">
        <v>3.7486800422386488E-2</v>
      </c>
      <c r="K16" s="4">
        <v>4.040847827723816</v>
      </c>
      <c r="L16" s="4">
        <v>3.9690019777879204</v>
      </c>
      <c r="M16" s="4">
        <v>4.0046900795437494</v>
      </c>
      <c r="N16" s="4">
        <v>0.45741338315217395</v>
      </c>
      <c r="O16" s="4">
        <v>0.47517701300839782</v>
      </c>
      <c r="P16" s="4">
        <v>0.47206772452151152</v>
      </c>
      <c r="Q16" s="4">
        <v>7.0886659202480411</v>
      </c>
      <c r="R16" s="4">
        <v>7.385416666666667</v>
      </c>
      <c r="S16" s="4">
        <v>7.1804571524966265</v>
      </c>
      <c r="AB16" s="4">
        <f>AVERAGE(E16:G16)/AVERAGE(B16:D16)</f>
        <v>9.1346058286685139</v>
      </c>
      <c r="AE16" s="4">
        <f t="shared" si="4"/>
        <v>108.55975567378212</v>
      </c>
      <c r="AH16" s="4">
        <f t="shared" si="5"/>
        <v>15.416235040093728</v>
      </c>
    </row>
    <row r="17" spans="1:34" ht="19.5" thickBot="1">
      <c r="B17" s="215" t="s">
        <v>1415</v>
      </c>
      <c r="C17" s="216"/>
      <c r="D17" s="216"/>
      <c r="E17" s="216"/>
      <c r="F17" s="216"/>
      <c r="G17" s="217"/>
      <c r="H17" s="215" t="s">
        <v>1417</v>
      </c>
      <c r="I17" s="216"/>
      <c r="J17" s="216"/>
      <c r="K17" s="216"/>
      <c r="L17" s="216"/>
      <c r="M17" s="217"/>
      <c r="N17" s="216" t="s">
        <v>1416</v>
      </c>
      <c r="O17" s="216"/>
      <c r="P17" s="216"/>
      <c r="Q17" s="216"/>
      <c r="R17" s="216"/>
      <c r="S17" s="217"/>
    </row>
    <row r="18" spans="1:34">
      <c r="A18" s="6" t="s">
        <v>1222</v>
      </c>
      <c r="B18" s="218" t="s">
        <v>1239</v>
      </c>
      <c r="C18" s="218"/>
      <c r="D18" s="218"/>
      <c r="E18" s="218" t="s">
        <v>1238</v>
      </c>
      <c r="F18" s="218"/>
      <c r="G18" s="218"/>
      <c r="H18" s="218" t="s">
        <v>1243</v>
      </c>
      <c r="I18" s="218"/>
      <c r="J18" s="218"/>
      <c r="K18" s="4" t="s">
        <v>1267</v>
      </c>
      <c r="N18" s="4" t="s">
        <v>1243</v>
      </c>
      <c r="Q18" s="4" t="s">
        <v>1267</v>
      </c>
    </row>
    <row r="19" spans="1:34">
      <c r="A19" s="6" t="s">
        <v>1240</v>
      </c>
      <c r="B19" s="4">
        <v>1.9545131485429995E-2</v>
      </c>
      <c r="C19" s="4">
        <v>2.000712948935033E-2</v>
      </c>
      <c r="D19" s="4">
        <v>2.0278556412053259E-2</v>
      </c>
      <c r="E19" s="4">
        <v>2.0759560906515585E-2</v>
      </c>
      <c r="F19" s="4">
        <v>1.9596717877094976E-2</v>
      </c>
      <c r="G19" s="4">
        <v>2.0799242098010508E-2</v>
      </c>
      <c r="H19" s="4">
        <v>7.8355472251650238E-2</v>
      </c>
      <c r="I19" s="4">
        <v>8.8940733464309113E-2</v>
      </c>
      <c r="J19" s="4">
        <v>9.0171950126314085E-2</v>
      </c>
      <c r="K19" s="4">
        <v>1.6590245442348672</v>
      </c>
      <c r="L19" s="4">
        <v>1.7668145726296125</v>
      </c>
      <c r="M19" s="4">
        <v>1.6878863259460277</v>
      </c>
      <c r="N19" s="4">
        <v>4.6534891165172856E-2</v>
      </c>
      <c r="O19" s="4">
        <v>4.2682422940252873E-2</v>
      </c>
      <c r="P19" s="4">
        <v>4.3917812704649645E-2</v>
      </c>
      <c r="Q19" s="4">
        <v>1.042239369825577</v>
      </c>
      <c r="R19" s="4">
        <v>1.0101817296771054</v>
      </c>
      <c r="S19" s="4">
        <v>1.134825079509314</v>
      </c>
      <c r="AB19" s="4">
        <f>AVERAGE(E19:G19)/AVERAGE(B19:D19)</f>
        <v>1.0221408222826487</v>
      </c>
      <c r="AE19" s="4">
        <f>AVERAGE(K19:M19)/AVERAGE(H19:J19)</f>
        <v>19.861584148461475</v>
      </c>
      <c r="AH19" s="4">
        <f>AVERAGE(Q19:S19)/AVERAGE(N19:P19)</f>
        <v>23.939934226064764</v>
      </c>
    </row>
    <row r="20" spans="1:34">
      <c r="A20" s="4" t="s">
        <v>1241</v>
      </c>
      <c r="B20" s="4">
        <v>2.9488010369410244E-2</v>
      </c>
      <c r="C20" s="4">
        <v>2.7896995708154505E-2</v>
      </c>
      <c r="D20" s="4">
        <v>2.7746049876261183E-2</v>
      </c>
      <c r="E20" s="4">
        <v>0.22319352338299889</v>
      </c>
      <c r="F20" s="4">
        <v>0.24388464509484165</v>
      </c>
      <c r="G20" s="4">
        <v>0.24946722359560139</v>
      </c>
      <c r="H20" s="4">
        <v>8.8147006328086988E-2</v>
      </c>
      <c r="I20" s="4">
        <v>0.1046412422148281</v>
      </c>
      <c r="J20" s="4">
        <v>9.2455212690395402E-2</v>
      </c>
      <c r="K20" s="4">
        <v>8.0554160961509211</v>
      </c>
      <c r="L20" s="4">
        <v>8.2380898537614957</v>
      </c>
      <c r="M20" s="4">
        <v>8.3104782256281773</v>
      </c>
      <c r="N20" s="4">
        <v>6.7459029693331174E-2</v>
      </c>
      <c r="O20" s="4">
        <v>6.3140969928732846E-2</v>
      </c>
      <c r="P20" s="4">
        <v>5.9061886051080557E-2</v>
      </c>
      <c r="Q20" s="4">
        <v>10.590119733113976</v>
      </c>
      <c r="R20" s="4">
        <v>10.127560003706794</v>
      </c>
      <c r="S20" s="4">
        <v>10.400918933673006</v>
      </c>
      <c r="U20"/>
      <c r="AB20" s="4">
        <f>AVERAGE(E20:G20)/AVERAGE(B20:D20)</f>
        <v>8.4169682150082519</v>
      </c>
      <c r="AE20" s="4">
        <f t="shared" ref="AE20:AE21" si="6">AVERAGE(K20:M20)/AVERAGE(H20:J20)</f>
        <v>86.256084781610966</v>
      </c>
      <c r="AH20" s="4">
        <f t="shared" ref="AH20:AH21" si="7">AVERAGE(Q20:S20)/AVERAGE(N20:P20)</f>
        <v>164.07407613843023</v>
      </c>
    </row>
    <row r="21" spans="1:34" ht="15" thickBot="1">
      <c r="A21" s="4" t="s">
        <v>1242</v>
      </c>
      <c r="B21" s="4">
        <v>4.6871351856175573E-2</v>
      </c>
      <c r="C21" s="4">
        <v>3.8190622936385643E-2</v>
      </c>
      <c r="D21" s="4">
        <v>4.0750760906323971E-2</v>
      </c>
      <c r="E21" s="4">
        <v>3.1610303941215769</v>
      </c>
      <c r="F21" s="4">
        <v>3.1283778200148751</v>
      </c>
      <c r="G21" s="4">
        <v>3.0029242318435756</v>
      </c>
      <c r="H21" s="4">
        <v>8.6439829872404311E-2</v>
      </c>
      <c r="I21" s="4">
        <v>0.10149966487935658</v>
      </c>
      <c r="J21" s="4">
        <v>9.1392179133538878E-2</v>
      </c>
      <c r="K21" s="4">
        <v>6.3574497975373934</v>
      </c>
      <c r="L21" s="4">
        <v>6.2958131789707403</v>
      </c>
      <c r="M21" s="4">
        <v>6.37936023776005</v>
      </c>
      <c r="N21" s="4">
        <v>0.13619592288534269</v>
      </c>
      <c r="O21" s="4">
        <v>0.12804057086437484</v>
      </c>
      <c r="P21" s="4">
        <v>0.13567004757203124</v>
      </c>
      <c r="Q21" s="4">
        <v>10.480469229824346</v>
      </c>
      <c r="R21" s="4">
        <v>11.324138374485596</v>
      </c>
      <c r="S21" s="4">
        <v>9.610192352803189</v>
      </c>
      <c r="U21"/>
      <c r="AB21" s="4">
        <f>AVERAGE(E21:G21)/AVERAGE(B21:D21)</f>
        <v>73.858440438175506</v>
      </c>
      <c r="AE21" s="4">
        <f t="shared" si="6"/>
        <v>68.136287408936781</v>
      </c>
      <c r="AH21" s="4">
        <f t="shared" si="7"/>
        <v>78.555354091690248</v>
      </c>
    </row>
    <row r="22" spans="1:34" ht="19.5" thickBot="1">
      <c r="B22" s="215" t="s">
        <v>1418</v>
      </c>
      <c r="C22" s="216"/>
      <c r="D22" s="216"/>
      <c r="E22" s="216"/>
      <c r="F22" s="216"/>
      <c r="G22" s="217"/>
      <c r="H22" s="215" t="s">
        <v>1428</v>
      </c>
      <c r="I22" s="216"/>
      <c r="J22" s="216"/>
      <c r="K22" s="216"/>
      <c r="L22" s="216"/>
      <c r="M22" s="217"/>
      <c r="N22" s="215" t="s">
        <v>1429</v>
      </c>
      <c r="O22" s="216"/>
      <c r="P22" s="216"/>
      <c r="Q22" s="216"/>
      <c r="R22" s="216"/>
      <c r="S22" s="217"/>
      <c r="U22"/>
    </row>
    <row r="23" spans="1:34">
      <c r="A23" s="6" t="s">
        <v>1222</v>
      </c>
      <c r="B23" s="222" t="s">
        <v>1243</v>
      </c>
      <c r="C23" s="222"/>
      <c r="D23" s="222"/>
      <c r="E23" s="222" t="s">
        <v>1268</v>
      </c>
      <c r="F23" s="222"/>
      <c r="G23" s="222"/>
      <c r="H23" s="218" t="s">
        <v>1245</v>
      </c>
      <c r="I23" s="218"/>
      <c r="J23" s="218"/>
      <c r="K23" s="218" t="s">
        <v>1246</v>
      </c>
      <c r="L23" s="218"/>
      <c r="M23" s="218"/>
      <c r="N23" s="218" t="s">
        <v>1245</v>
      </c>
      <c r="O23" s="218"/>
      <c r="P23" s="218"/>
      <c r="Q23" s="218" t="s">
        <v>1246</v>
      </c>
      <c r="R23" s="218"/>
      <c r="S23" s="218"/>
      <c r="U23"/>
    </row>
    <row r="24" spans="1:34">
      <c r="A24" s="6" t="s">
        <v>1240</v>
      </c>
      <c r="B24" s="4">
        <v>5.7933981233243975E-2</v>
      </c>
      <c r="C24" s="4">
        <v>5.602252002220285E-2</v>
      </c>
      <c r="D24" s="4">
        <v>6.3123625909014047E-2</v>
      </c>
      <c r="E24" s="4">
        <v>0.10061786328797123</v>
      </c>
      <c r="F24" s="4">
        <v>0.10455345710627402</v>
      </c>
      <c r="G24" s="4">
        <v>0.11430470827467544</v>
      </c>
      <c r="H24" s="4">
        <v>0.45687320802803444</v>
      </c>
      <c r="I24" s="4">
        <v>0.42900411921492609</v>
      </c>
      <c r="J24" s="4">
        <v>0.46523574386747374</v>
      </c>
      <c r="K24" s="4">
        <v>0.86964888853978495</v>
      </c>
      <c r="L24" s="4">
        <v>0.83469483936847078</v>
      </c>
      <c r="M24" s="4">
        <v>0.77269601100412655</v>
      </c>
      <c r="N24" s="4">
        <v>0.12612066876665862</v>
      </c>
      <c r="O24" s="4">
        <v>0.13985138518698007</v>
      </c>
      <c r="P24" s="4">
        <v>0.13132642663043478</v>
      </c>
      <c r="Q24" s="4">
        <v>0.93513061484549231</v>
      </c>
      <c r="R24" s="4">
        <v>0.89305364511691898</v>
      </c>
      <c r="S24" s="4">
        <v>0.89454590943207424</v>
      </c>
      <c r="U24"/>
      <c r="AB24" s="4">
        <f>AVERAGE(E24:G24)/AVERAGE(B24:D24)</f>
        <v>1.804132591186878</v>
      </c>
      <c r="AE24" s="4">
        <f>AVERAGE(K24:M24)/AVERAGE(H24:J24)</f>
        <v>1.8333326735390008</v>
      </c>
      <c r="AH24" s="4">
        <f>AVERAGE(Q24:S24)/AVERAGE(N24:P24)</f>
        <v>6.8531099474424515</v>
      </c>
    </row>
    <row r="25" spans="1:34">
      <c r="A25" s="4" t="s">
        <v>1241</v>
      </c>
      <c r="B25" s="4">
        <v>5.9453647658489976E-2</v>
      </c>
      <c r="C25" s="4">
        <v>7.4458975556593504E-2</v>
      </c>
      <c r="D25" s="4">
        <v>7.114671296661669E-2</v>
      </c>
      <c r="E25" s="4">
        <v>6.0362130091889155</v>
      </c>
      <c r="F25" s="4">
        <v>6.2560492582457154</v>
      </c>
      <c r="G25" s="4">
        <v>6.2831696652569713</v>
      </c>
      <c r="H25" s="4">
        <v>0.69074103713188229</v>
      </c>
      <c r="I25" s="4">
        <v>0.70273348519362189</v>
      </c>
      <c r="J25" s="4">
        <v>0.79825590489597997</v>
      </c>
      <c r="K25" s="4">
        <v>10.141287345534179</v>
      </c>
      <c r="L25" s="4">
        <v>9.9517109410175593</v>
      </c>
      <c r="M25" s="4">
        <v>10.465470045362116</v>
      </c>
      <c r="N25" s="4">
        <v>0.21102034404210196</v>
      </c>
      <c r="O25" s="4">
        <v>0.1986031094625523</v>
      </c>
      <c r="P25" s="4">
        <v>0.23357573754235186</v>
      </c>
      <c r="Q25" s="4">
        <v>11.98227634434531</v>
      </c>
      <c r="R25" s="4">
        <v>11.824749409176107</v>
      </c>
      <c r="S25" s="4">
        <v>11.937697160883282</v>
      </c>
      <c r="U25"/>
      <c r="AB25" s="4">
        <f>AVERAGE(E25:G25)/AVERAGE(B25:D25)</f>
        <v>90.585643543838316</v>
      </c>
      <c r="AE25" s="4">
        <f t="shared" ref="AE25:AE26" si="8">AVERAGE(K25:M25)/AVERAGE(H25:J25)</f>
        <v>13.942621753284529</v>
      </c>
      <c r="AH25" s="4">
        <f t="shared" ref="AH25:AH26" si="9">AVERAGE(Q25:S25)/AVERAGE(N25:P25)</f>
        <v>55.573333132181148</v>
      </c>
    </row>
    <row r="26" spans="1:34" ht="15" thickBot="1">
      <c r="A26" s="4" t="s">
        <v>1242</v>
      </c>
      <c r="B26" s="4">
        <v>5.7833988212180755E-2</v>
      </c>
      <c r="C26" s="4">
        <v>5.8797164045310088E-2</v>
      </c>
      <c r="D26" s="4">
        <v>5.6788039546660243E-2</v>
      </c>
      <c r="E26" s="4">
        <v>5.6418855365024241</v>
      </c>
      <c r="F26" s="4">
        <v>5.5449717255081765</v>
      </c>
      <c r="G26" s="4">
        <v>5.9320265933058227</v>
      </c>
      <c r="H26" s="4">
        <v>0.69038934263738005</v>
      </c>
      <c r="I26" s="4">
        <v>0.72552010010949475</v>
      </c>
      <c r="J26" s="4">
        <v>0.65089152462493127</v>
      </c>
      <c r="K26" s="4">
        <v>10.416817217814783</v>
      </c>
      <c r="L26" s="4">
        <v>10.412367572547213</v>
      </c>
      <c r="M26" s="4">
        <v>11.053180269349344</v>
      </c>
      <c r="N26" s="4">
        <v>0.32910108713288982</v>
      </c>
      <c r="O26" s="4">
        <v>0.33355800491634285</v>
      </c>
      <c r="P26" s="4">
        <v>0.33852574167424182</v>
      </c>
      <c r="Q26" s="4">
        <v>10.979386649527132</v>
      </c>
      <c r="R26" s="4">
        <v>11.338564384600797</v>
      </c>
      <c r="S26" s="4">
        <v>11.448797217660131</v>
      </c>
      <c r="U26"/>
      <c r="AB26" s="4">
        <f>AVERAGE(E26:G26)/AVERAGE(B26:D26)</f>
        <v>98.713894795735371</v>
      </c>
      <c r="AE26" s="4">
        <f t="shared" si="8"/>
        <v>15.425948392241041</v>
      </c>
      <c r="AH26" s="4">
        <f t="shared" si="9"/>
        <v>33.726787616435644</v>
      </c>
    </row>
    <row r="27" spans="1:34" ht="19.5" thickBot="1">
      <c r="B27" s="215" t="s">
        <v>1420</v>
      </c>
      <c r="C27" s="216"/>
      <c r="D27" s="216"/>
      <c r="E27" s="216"/>
      <c r="F27" s="216"/>
      <c r="G27" s="217"/>
      <c r="H27" s="215" t="s">
        <v>1421</v>
      </c>
      <c r="I27" s="216"/>
      <c r="J27" s="216"/>
      <c r="K27" s="216"/>
      <c r="L27" s="216"/>
      <c r="M27" s="217"/>
      <c r="N27" s="215" t="s">
        <v>1419</v>
      </c>
      <c r="O27" s="216"/>
      <c r="P27" s="216"/>
      <c r="Q27" s="216"/>
      <c r="R27" s="216"/>
      <c r="S27" s="217"/>
      <c r="U27"/>
    </row>
    <row r="28" spans="1:34">
      <c r="A28" s="6" t="s">
        <v>1222</v>
      </c>
      <c r="B28" s="218" t="s">
        <v>1247</v>
      </c>
      <c r="C28" s="218"/>
      <c r="D28" s="218"/>
      <c r="E28" s="218" t="s">
        <v>1248</v>
      </c>
      <c r="F28" s="218"/>
      <c r="G28" s="218"/>
      <c r="H28" s="218" t="s">
        <v>1247</v>
      </c>
      <c r="I28" s="218"/>
      <c r="J28" s="218"/>
      <c r="K28" s="218" t="s">
        <v>1248</v>
      </c>
      <c r="L28" s="218"/>
      <c r="M28" s="218"/>
      <c r="N28" s="218" t="s">
        <v>1249</v>
      </c>
      <c r="O28" s="218"/>
      <c r="P28" s="218"/>
      <c r="Q28" s="218" t="s">
        <v>1250</v>
      </c>
      <c r="R28" s="218"/>
      <c r="S28" s="218"/>
      <c r="U28"/>
    </row>
    <row r="29" spans="1:34">
      <c r="A29" s="6" t="s">
        <v>1240</v>
      </c>
      <c r="B29" s="4">
        <v>0.10057280425037358</v>
      </c>
      <c r="C29" s="4">
        <v>0.1129812251090461</v>
      </c>
      <c r="D29" s="4">
        <v>0.10347833305661631</v>
      </c>
      <c r="E29" s="4">
        <v>0.40980408434335053</v>
      </c>
      <c r="F29" s="4">
        <v>0.33522022973307991</v>
      </c>
      <c r="G29" s="4">
        <v>0.39882462371046845</v>
      </c>
      <c r="H29" s="4">
        <v>1.8044535449193801E-2</v>
      </c>
      <c r="I29" s="4">
        <v>2.0442359249329758E-2</v>
      </c>
      <c r="J29" s="4">
        <v>1.9115378021601234E-2</v>
      </c>
      <c r="K29" s="4">
        <v>2.4613979744313466E-2</v>
      </c>
      <c r="L29" s="4">
        <v>2.4807938540332908E-2</v>
      </c>
      <c r="M29" s="4">
        <v>2.5977816695855225E-2</v>
      </c>
      <c r="N29" s="4">
        <v>4.0989075139688101E-2</v>
      </c>
      <c r="O29" s="4">
        <v>3.9258402987728973E-2</v>
      </c>
      <c r="P29" s="4">
        <v>4.094773167241815E-2</v>
      </c>
      <c r="Q29" s="4">
        <v>3.4719299722245606E-2</v>
      </c>
      <c r="R29" s="4">
        <v>4.0284567039106149E-2</v>
      </c>
      <c r="S29" s="4">
        <v>3.6910197869101984E-2</v>
      </c>
      <c r="U29"/>
      <c r="AB29" s="4">
        <f>AVERAGE(E29:G29)/AVERAGE(B29:D29)</f>
        <v>3.6079879324302104</v>
      </c>
      <c r="AE29" s="4">
        <f>AVERAGE(K29:M29)/AVERAGE(H29:J29)</f>
        <v>1.3089715287250951</v>
      </c>
      <c r="AH29" s="4">
        <f>AVERAGE(Q29:S29)/AVERAGE(N29:P29)</f>
        <v>0.92341986795756936</v>
      </c>
    </row>
    <row r="30" spans="1:34">
      <c r="A30" s="4" t="s">
        <v>1241</v>
      </c>
      <c r="B30" s="4">
        <v>0.11854724376615797</v>
      </c>
      <c r="C30" s="4">
        <v>0.12696600710299341</v>
      </c>
      <c r="D30" s="4">
        <v>0.12343237101254105</v>
      </c>
      <c r="E30" s="4">
        <v>8.4634319438219041</v>
      </c>
      <c r="F30" s="4">
        <v>8.5030949105914715</v>
      </c>
      <c r="G30" s="4">
        <v>8.820702330674175</v>
      </c>
      <c r="H30" s="4">
        <v>2.2075438901442725E-2</v>
      </c>
      <c r="I30" s="4">
        <v>2.0878765850900576E-2</v>
      </c>
      <c r="J30" s="4">
        <v>2.1211592178770947E-2</v>
      </c>
      <c r="K30" s="4">
        <v>5.1631862975129046</v>
      </c>
      <c r="L30" s="4">
        <v>5.1612815744614906</v>
      </c>
      <c r="M30" s="4">
        <v>5.1620348746691578</v>
      </c>
      <c r="N30" s="4">
        <v>6.332567489948307E-2</v>
      </c>
      <c r="O30" s="4">
        <v>6.5356004250797031E-2</v>
      </c>
      <c r="P30" s="4">
        <v>6.0919742753942394E-2</v>
      </c>
      <c r="Q30" s="4">
        <v>1.8097005374968009</v>
      </c>
      <c r="R30" s="4">
        <v>1.8008015866457319</v>
      </c>
      <c r="S30" s="4">
        <v>1.7531064965390712</v>
      </c>
      <c r="U30"/>
      <c r="AB30" s="4">
        <f>AVERAGE(E30:G30)/AVERAGE(B30:D30)</f>
        <v>69.894390001344377</v>
      </c>
      <c r="AE30" s="4">
        <f t="shared" ref="AE30:AE31" si="10">AVERAGE(K30:M30)/AVERAGE(H30:J30)</f>
        <v>241.35136610660695</v>
      </c>
      <c r="AH30" s="4">
        <f t="shared" ref="AH30:AH31" si="11">AVERAGE(Q30:S30)/AVERAGE(N30:P30)</f>
        <v>28.28886285141385</v>
      </c>
    </row>
    <row r="31" spans="1:34" ht="15" thickBot="1">
      <c r="A31" s="4" t="s">
        <v>1242</v>
      </c>
      <c r="B31" s="4">
        <v>9.6810180976778792E-2</v>
      </c>
      <c r="C31" s="4">
        <v>0.117865369848989</v>
      </c>
      <c r="D31" s="4">
        <v>0.11104161454424152</v>
      </c>
      <c r="E31" s="4">
        <v>7.263100106012419</v>
      </c>
      <c r="F31" s="4">
        <v>7.6048502707868755</v>
      </c>
      <c r="G31" s="4">
        <v>7.3592998297683367</v>
      </c>
      <c r="H31" s="4">
        <v>2.5008852691218133E-2</v>
      </c>
      <c r="I31" s="4">
        <v>2.2977863816177089E-2</v>
      </c>
      <c r="J31" s="4">
        <v>2.5899530679645403E-2</v>
      </c>
      <c r="K31" s="4">
        <v>5.8581000713662679</v>
      </c>
      <c r="L31" s="4">
        <v>5.7501549666821639</v>
      </c>
      <c r="M31" s="4">
        <v>5.8284131411746474</v>
      </c>
      <c r="N31" s="4">
        <v>6.8378438331854474E-2</v>
      </c>
      <c r="O31" s="4">
        <v>7.802599076361294E-2</v>
      </c>
      <c r="P31" s="4">
        <v>6.6280078040320836E-2</v>
      </c>
      <c r="Q31" s="4">
        <v>6.1641950968626782</v>
      </c>
      <c r="R31" s="4">
        <v>6.018929346515554</v>
      </c>
      <c r="S31" s="4">
        <v>5.9362975129047397</v>
      </c>
      <c r="U31"/>
      <c r="AB31" s="4">
        <f>AVERAGE(E31:G31)/AVERAGE(B31:D31)</f>
        <v>68.24095433017122</v>
      </c>
      <c r="AE31" s="4">
        <f t="shared" si="10"/>
        <v>235.99342019743844</v>
      </c>
      <c r="AH31" s="4">
        <f t="shared" si="11"/>
        <v>85.193896820677438</v>
      </c>
    </row>
    <row r="32" spans="1:34" ht="19.5" thickBot="1">
      <c r="B32" s="215" t="s">
        <v>1425</v>
      </c>
      <c r="C32" s="216"/>
      <c r="D32" s="216"/>
      <c r="E32" s="216"/>
      <c r="F32" s="216"/>
      <c r="G32" s="217"/>
      <c r="H32" s="215" t="s">
        <v>1422</v>
      </c>
      <c r="I32" s="216"/>
      <c r="J32" s="216"/>
      <c r="K32" s="216"/>
      <c r="L32" s="216"/>
      <c r="M32" s="217"/>
      <c r="N32" s="215" t="s">
        <v>1430</v>
      </c>
      <c r="O32" s="216"/>
      <c r="P32" s="216"/>
      <c r="Q32" s="216"/>
      <c r="R32" s="216"/>
      <c r="S32" s="217"/>
      <c r="U32"/>
    </row>
    <row r="33" spans="1:34">
      <c r="A33" s="6" t="s">
        <v>1222</v>
      </c>
      <c r="B33" s="4" t="s">
        <v>1252</v>
      </c>
      <c r="E33" s="4" t="s">
        <v>1253</v>
      </c>
      <c r="H33" s="4" t="s">
        <v>1252</v>
      </c>
      <c r="K33" s="4" t="s">
        <v>1253</v>
      </c>
      <c r="N33" s="4" t="s">
        <v>1256</v>
      </c>
      <c r="Q33" s="4" t="s">
        <v>1257</v>
      </c>
      <c r="U33"/>
    </row>
    <row r="34" spans="1:34">
      <c r="A34" s="6" t="s">
        <v>1240</v>
      </c>
      <c r="B34" s="4">
        <v>6.4825978619082084E-2</v>
      </c>
      <c r="C34" s="4">
        <v>6.2385854225469044E-2</v>
      </c>
      <c r="D34" s="4">
        <v>7.2425164890918325E-2</v>
      </c>
      <c r="E34" s="4">
        <v>7.0542573623559549E-2</v>
      </c>
      <c r="F34" s="4">
        <v>6.9648742062535171E-2</v>
      </c>
      <c r="G34" s="4">
        <v>7.3908925893773195E-2</v>
      </c>
      <c r="H34" s="4">
        <v>6.7168476472523872E-2</v>
      </c>
      <c r="I34" s="4">
        <v>7.443104619565219E-2</v>
      </c>
      <c r="J34" s="4">
        <v>9.7930006139812315E-2</v>
      </c>
      <c r="K34" s="4">
        <v>7.3592893906691034E-2</v>
      </c>
      <c r="L34" s="4">
        <v>7.7766402184114E-2</v>
      </c>
      <c r="M34" s="4">
        <v>7.0205479452054798E-2</v>
      </c>
      <c r="N34" s="4">
        <v>1.4828257790368274E-2</v>
      </c>
      <c r="O34" s="4">
        <v>1.5688395996754124E-2</v>
      </c>
      <c r="P34" s="4">
        <v>1.4967090433684972E-2</v>
      </c>
      <c r="Q34" s="4">
        <v>6.4595710401772227E-2</v>
      </c>
      <c r="R34" s="4">
        <v>7.0637398046520999E-2</v>
      </c>
      <c r="S34" s="4">
        <v>5.251233511227469E-2</v>
      </c>
      <c r="U34"/>
      <c r="AB34" s="4">
        <f>AVERAGE(E34:G34)/AVERAGE(B34:D34)</f>
        <v>1.0724477126407355</v>
      </c>
      <c r="AE34" s="4">
        <f>AVERAGE(K34:M34)/AVERAGE(H34:J34)</f>
        <v>0.92499983883185688</v>
      </c>
      <c r="AH34" s="4">
        <f>AVERAGE(Q34:S34)/AVERAGE(N34:P34)</f>
        <v>4.1277482049219758</v>
      </c>
    </row>
    <row r="35" spans="1:34">
      <c r="A35" s="4" t="s">
        <v>1241</v>
      </c>
      <c r="B35" s="4">
        <v>9.9466925127211059E-2</v>
      </c>
      <c r="C35" s="4">
        <v>0.10747778874629814</v>
      </c>
      <c r="D35" s="4">
        <v>9.7281294304061391E-2</v>
      </c>
      <c r="E35" s="4">
        <v>2.5391008526397383</v>
      </c>
      <c r="F35" s="4">
        <v>2.4051761260873312</v>
      </c>
      <c r="G35" s="4">
        <v>2.2878124736975005</v>
      </c>
      <c r="H35" s="4">
        <v>0.10624383020730505</v>
      </c>
      <c r="I35" s="4">
        <v>8.6606987658612911E-2</v>
      </c>
      <c r="J35" s="4">
        <v>9.4331047020907374E-2</v>
      </c>
      <c r="K35" s="4">
        <v>0.14721275077313459</v>
      </c>
      <c r="L35" s="4">
        <v>0.14687313369166455</v>
      </c>
      <c r="M35" s="4">
        <v>0.14056498079385404</v>
      </c>
      <c r="N35" s="4">
        <v>1.8122802272112527E-2</v>
      </c>
      <c r="O35" s="4">
        <v>1.7021648044692739E-2</v>
      </c>
      <c r="P35" s="4">
        <v>1.7395538243626062E-2</v>
      </c>
      <c r="Q35" s="4">
        <v>0.31414490397317341</v>
      </c>
      <c r="R35" s="4">
        <v>0.32085870249842535</v>
      </c>
      <c r="S35" s="4">
        <v>0.33398068444257817</v>
      </c>
      <c r="AB35" s="4">
        <f>AVERAGE(E35:G35)/AVERAGE(B35:D35)</f>
        <v>23.772094620534038</v>
      </c>
      <c r="AE35" s="4">
        <f t="shared" ref="AE35:AE36" si="12">AVERAGE(K35:M35)/AVERAGE(H35:J35)</f>
        <v>1.5135038747308902</v>
      </c>
      <c r="AH35" s="4">
        <f t="shared" ref="AH35:AH36" si="13">AVERAGE(Q35:S35)/AVERAGE(N35:P35)</f>
        <v>18.442796000986068</v>
      </c>
    </row>
    <row r="36" spans="1:34" ht="15" thickBot="1">
      <c r="A36" s="4" t="s">
        <v>1242</v>
      </c>
      <c r="B36" s="4">
        <v>0.29091154990532864</v>
      </c>
      <c r="C36" s="4">
        <v>0.3880177105433078</v>
      </c>
      <c r="D36" s="4">
        <v>0.40280234615026533</v>
      </c>
      <c r="E36" s="4">
        <v>3.8736027074146242</v>
      </c>
      <c r="F36" s="4">
        <v>3.8956752655538693</v>
      </c>
      <c r="G36" s="4">
        <v>4.2207328433909534</v>
      </c>
      <c r="H36" s="4">
        <v>7.0185122282608703E-2</v>
      </c>
      <c r="I36" s="4">
        <v>6.4736289475809713E-2</v>
      </c>
      <c r="J36" s="4">
        <v>6.745354995063281E-2</v>
      </c>
      <c r="K36" s="4">
        <v>1.0528919330289195</v>
      </c>
      <c r="L36" s="4">
        <v>0.89454590943207424</v>
      </c>
      <c r="M36" s="4">
        <v>1.0057996051332676</v>
      </c>
      <c r="N36" s="4">
        <v>1.7905025516823807E-2</v>
      </c>
      <c r="O36" s="4">
        <v>2.0713116871931787E-2</v>
      </c>
      <c r="P36" s="4">
        <v>2.0848087818696882E-2</v>
      </c>
      <c r="Q36" s="4">
        <v>4.2338089399175116</v>
      </c>
      <c r="R36" s="4">
        <v>4.2338089399175116</v>
      </c>
      <c r="S36" s="4">
        <v>4.1162077806264632</v>
      </c>
      <c r="AB36" s="4">
        <f>AVERAGE(E36:G36)/AVERAGE(B36:D36)</f>
        <v>11.084090307814456</v>
      </c>
      <c r="AE36" s="4">
        <f t="shared" si="12"/>
        <v>14.592899352045572</v>
      </c>
      <c r="AH36" s="4">
        <f t="shared" si="13"/>
        <v>211.61297120335104</v>
      </c>
    </row>
    <row r="37" spans="1:34" ht="19.5" thickBot="1">
      <c r="B37" s="215" t="s">
        <v>1433</v>
      </c>
      <c r="C37" s="216"/>
      <c r="D37" s="216"/>
      <c r="E37" s="216"/>
      <c r="F37" s="216"/>
      <c r="G37" s="217"/>
      <c r="H37" s="215" t="s">
        <v>1432</v>
      </c>
      <c r="I37" s="216"/>
      <c r="J37" s="216"/>
      <c r="K37" s="216"/>
      <c r="L37" s="216"/>
      <c r="M37" s="217"/>
      <c r="N37" s="215" t="s">
        <v>1431</v>
      </c>
      <c r="O37" s="216"/>
      <c r="P37" s="216"/>
      <c r="Q37" s="216"/>
      <c r="R37" s="216"/>
      <c r="S37" s="217"/>
    </row>
    <row r="38" spans="1:34">
      <c r="A38" s="6" t="s">
        <v>1222</v>
      </c>
      <c r="B38" s="4" t="s">
        <v>1259</v>
      </c>
      <c r="E38" s="4" t="s">
        <v>1260</v>
      </c>
      <c r="H38" s="4" t="s">
        <v>1256</v>
      </c>
      <c r="K38" s="4" t="s">
        <v>1257</v>
      </c>
      <c r="N38" s="4" t="s">
        <v>1256</v>
      </c>
      <c r="Q38" s="4" t="s">
        <v>1257</v>
      </c>
    </row>
    <row r="39" spans="1:34">
      <c r="A39" s="6" t="s">
        <v>1240</v>
      </c>
      <c r="B39" s="78">
        <v>3.4439396397858188E-2</v>
      </c>
      <c r="C39" s="78">
        <v>3.3152352747614348E-2</v>
      </c>
      <c r="D39" s="78">
        <v>3.3090588988476319E-2</v>
      </c>
      <c r="E39" s="4">
        <v>3.3417215602101993E-2</v>
      </c>
      <c r="F39" s="4">
        <v>3.5480067791614472E-2</v>
      </c>
      <c r="G39" s="4">
        <v>3.7022435667694073E-2</v>
      </c>
      <c r="H39" s="4">
        <v>1.1805127301559335E-2</v>
      </c>
      <c r="I39" s="4">
        <v>1.5515172295559749E-2</v>
      </c>
      <c r="J39" s="4">
        <v>1.6002075944987457E-2</v>
      </c>
      <c r="K39" s="4">
        <v>5.9447687888054872E-2</v>
      </c>
      <c r="L39" s="4">
        <v>6.0003741464783475E-2</v>
      </c>
      <c r="M39" s="4">
        <v>5.9068375268917783E-2</v>
      </c>
      <c r="N39" s="4">
        <v>1.3971887888224899E-2</v>
      </c>
      <c r="O39" s="4">
        <v>1.3887719888898241E-2</v>
      </c>
      <c r="P39" s="4">
        <v>1.3825469304921362E-2</v>
      </c>
      <c r="Q39" s="4">
        <v>3.8382049010924124E-2</v>
      </c>
      <c r="R39" s="4">
        <v>3.8799920917358642E-2</v>
      </c>
      <c r="S39" s="4">
        <v>3.5008976660682228E-2</v>
      </c>
      <c r="AB39" s="4">
        <f>AVERAGE(E39:G39)/AVERAGE(B39:D39)</f>
        <v>1.0520188647237596</v>
      </c>
      <c r="AE39" s="4">
        <f>AVERAGE(K39:M39)/AVERAGE(H39:J39)</f>
        <v>4.1207298165874233</v>
      </c>
      <c r="AH39" s="4">
        <f>AVERAGE(Q39:S39)/AVERAGE(N39:P39)</f>
        <v>2.6913935259889525</v>
      </c>
    </row>
    <row r="40" spans="1:34">
      <c r="A40" s="4" t="s">
        <v>1241</v>
      </c>
      <c r="B40" s="4">
        <v>5.7730250177570837E-2</v>
      </c>
      <c r="C40" s="4">
        <v>5.447833847152362E-2</v>
      </c>
      <c r="D40" s="4">
        <v>5.6506571474931051E-2</v>
      </c>
      <c r="E40" s="4">
        <v>4.2194656488549622</v>
      </c>
      <c r="F40" s="4">
        <v>4.2855172901492118</v>
      </c>
      <c r="G40" s="4">
        <v>3.8376077359680472</v>
      </c>
      <c r="H40" s="4">
        <v>2.1883920076117981E-2</v>
      </c>
      <c r="I40" s="4">
        <v>2.2118894489831398E-2</v>
      </c>
      <c r="J40" s="4">
        <v>2.0885367324089226E-2</v>
      </c>
      <c r="K40" s="4">
        <v>1.7240625952647088</v>
      </c>
      <c r="L40" s="4">
        <v>1.7513781135157207</v>
      </c>
      <c r="M40" s="4">
        <v>1.7125867701102491</v>
      </c>
      <c r="N40" s="4">
        <v>1.8056926620598886E-2</v>
      </c>
      <c r="O40" s="4">
        <v>1.83037183283975E-2</v>
      </c>
      <c r="P40" s="4">
        <v>1.8680677174547577E-2</v>
      </c>
      <c r="Q40" s="4">
        <v>8.0649771341463422E-2</v>
      </c>
      <c r="R40" s="4">
        <v>9.2889575886387798E-2</v>
      </c>
      <c r="S40" s="4">
        <v>8.0741513369998116E-2</v>
      </c>
      <c r="AB40" s="4">
        <f>AVERAGE(E40:G40)/AVERAGE(B40:D40)</f>
        <v>73.156381832545236</v>
      </c>
      <c r="AE40" s="4">
        <f t="shared" ref="AE40:AE41" si="14">AVERAGE(K40:M40)/AVERAGE(H40:J40)</f>
        <v>79.953349404710721</v>
      </c>
      <c r="AH40" s="4">
        <f t="shared" ref="AH40:AH41" si="15">AVERAGE(Q40:S40)/AVERAGE(N40:P40)</f>
        <v>4.6198174532780802</v>
      </c>
    </row>
    <row r="41" spans="1:34" ht="15" thickBot="1">
      <c r="A41" s="4" t="s">
        <v>1242</v>
      </c>
      <c r="B41" s="4">
        <v>8.8537898882726479E-2</v>
      </c>
      <c r="C41" s="4">
        <v>9.1394344389210347E-2</v>
      </c>
      <c r="D41" s="4">
        <v>9.5024634520636475E-2</v>
      </c>
      <c r="E41" s="4">
        <v>7.7238657962151889</v>
      </c>
      <c r="F41" s="4">
        <v>7.4344204598779919</v>
      </c>
      <c r="G41" s="4">
        <v>7.8238236235595391</v>
      </c>
      <c r="H41" s="4">
        <v>4.6809083565209589E-2</v>
      </c>
      <c r="I41" s="4">
        <v>4.7057331303906651E-2</v>
      </c>
      <c r="J41" s="4">
        <v>4.6204758713136729E-2</v>
      </c>
      <c r="K41" s="4">
        <v>3.3210583413693344</v>
      </c>
      <c r="L41" s="4">
        <v>3.3866886688668867</v>
      </c>
      <c r="M41" s="4">
        <v>3.3677423297885345</v>
      </c>
      <c r="N41" s="4">
        <v>2.1127345176822184E-2</v>
      </c>
      <c r="O41" s="4">
        <v>2.0442359249329758E-2</v>
      </c>
      <c r="P41" s="4">
        <v>2.2078804347826088E-2</v>
      </c>
      <c r="Q41" s="4">
        <v>1.2791560943520348</v>
      </c>
      <c r="R41" s="4">
        <v>1.2650596748425902</v>
      </c>
      <c r="S41" s="4">
        <v>0.98642044920590188</v>
      </c>
      <c r="AB41" s="4">
        <f>AVERAGE(E41:G41)/AVERAGE(B41:D41)</f>
        <v>83.584415360543773</v>
      </c>
      <c r="AE41" s="4">
        <f t="shared" si="14"/>
        <v>71.931212414010361</v>
      </c>
      <c r="AH41" s="4">
        <f t="shared" si="15"/>
        <v>55.470839559464842</v>
      </c>
    </row>
    <row r="42" spans="1:34" ht="19.5" thickBot="1">
      <c r="B42" s="215" t="s">
        <v>1434</v>
      </c>
      <c r="C42" s="216"/>
      <c r="D42" s="216"/>
      <c r="E42" s="216"/>
      <c r="F42" s="216"/>
      <c r="G42" s="217"/>
    </row>
    <row r="43" spans="1:34">
      <c r="A43" s="6" t="s">
        <v>1222</v>
      </c>
      <c r="B43" s="218" t="s">
        <v>1424</v>
      </c>
      <c r="C43" s="218"/>
      <c r="D43" s="218"/>
      <c r="E43" s="218" t="s">
        <v>1423</v>
      </c>
      <c r="F43" s="218"/>
      <c r="G43" s="218"/>
    </row>
    <row r="44" spans="1:34">
      <c r="A44" s="6" t="s">
        <v>1240</v>
      </c>
      <c r="B44" s="4">
        <v>3.1064965390709701E-2</v>
      </c>
      <c r="C44" s="4">
        <v>3.5079745475580529E-2</v>
      </c>
      <c r="D44" s="4">
        <v>2.9304333388676738E-2</v>
      </c>
      <c r="E44" s="4">
        <v>2.9158526879386439E-2</v>
      </c>
      <c r="F44" s="4">
        <v>2.8522636436305503E-2</v>
      </c>
      <c r="G44" s="4">
        <v>2.8217929238115912E-2</v>
      </c>
      <c r="AB44" s="4">
        <f>AVERAGE(E44:G44)/AVERAGE(B44:D44)</f>
        <v>0.89994712073125693</v>
      </c>
    </row>
    <row r="45" spans="1:34">
      <c r="A45" s="4" t="s">
        <v>1241</v>
      </c>
      <c r="B45" s="4">
        <v>4.4529155495978558E-2</v>
      </c>
      <c r="C45" s="4">
        <v>4.536775693176158E-2</v>
      </c>
      <c r="D45" s="4">
        <v>4.3508800925543344E-2</v>
      </c>
      <c r="E45" s="4">
        <v>0.23401976366526156</v>
      </c>
      <c r="F45" s="4">
        <v>0.24688991997848161</v>
      </c>
      <c r="G45" s="4">
        <v>0.24201721504928503</v>
      </c>
      <c r="AB45" s="4">
        <f>AVERAGE(E45:G45)/AVERAGE(B45:D45)</f>
        <v>5.4190100297922124</v>
      </c>
    </row>
    <row r="46" spans="1:34">
      <c r="A46" s="4" t="s">
        <v>1242</v>
      </c>
      <c r="B46" s="4">
        <v>8.3161296113454825E-2</v>
      </c>
      <c r="C46" s="4">
        <v>8.1282120638355437E-2</v>
      </c>
      <c r="D46" s="4">
        <v>8.7768656028041708E-2</v>
      </c>
      <c r="E46" s="4">
        <v>4.2476868016759779</v>
      </c>
      <c r="F46" s="4">
        <v>4.2419423967083834</v>
      </c>
      <c r="G46" s="4">
        <v>4.1497675642487497</v>
      </c>
      <c r="AB46" s="4">
        <f>AVERAGE(E46:G46)/AVERAGE(B46:D46)</f>
        <v>50.114162352829339</v>
      </c>
    </row>
    <row r="48" spans="1:34" ht="15">
      <c r="A48" s="68" t="s">
        <v>3298</v>
      </c>
    </row>
    <row r="49" spans="1:23">
      <c r="A49" s="4" t="s">
        <v>252</v>
      </c>
      <c r="B49" s="4" t="s">
        <v>1278</v>
      </c>
      <c r="C49" s="4" t="s">
        <v>1325</v>
      </c>
      <c r="D49" s="4" t="s">
        <v>1326</v>
      </c>
      <c r="E49" s="4" t="s">
        <v>1327</v>
      </c>
      <c r="F49" s="4" t="s">
        <v>1328</v>
      </c>
      <c r="G49" s="4" t="s">
        <v>1329</v>
      </c>
      <c r="H49" s="4" t="s">
        <v>1330</v>
      </c>
      <c r="K49" s="4" t="s">
        <v>1277</v>
      </c>
      <c r="L49" s="4" t="s">
        <v>1332</v>
      </c>
      <c r="M49" s="4" t="s">
        <v>1333</v>
      </c>
      <c r="N49" s="4" t="s">
        <v>1334</v>
      </c>
      <c r="O49" s="4" t="s">
        <v>1335</v>
      </c>
      <c r="P49" s="4" t="s">
        <v>1336</v>
      </c>
      <c r="Q49" s="4" t="s">
        <v>1337</v>
      </c>
      <c r="R49" s="4" t="s">
        <v>1338</v>
      </c>
    </row>
    <row r="50" spans="1:23" ht="18.75">
      <c r="A50" s="4" t="s">
        <v>1387</v>
      </c>
      <c r="B50" s="106">
        <v>1.7621560000000001E-5</v>
      </c>
      <c r="C50" s="4">
        <v>-4.7539999999999996</v>
      </c>
      <c r="D50" s="106">
        <v>1.9258540000000001E-6</v>
      </c>
      <c r="E50" s="4">
        <v>1.9526000000000002E-2</v>
      </c>
      <c r="F50" s="4">
        <v>4.0093480000000001</v>
      </c>
      <c r="G50" s="4">
        <v>4.0288729999999999</v>
      </c>
      <c r="H50" s="4">
        <v>1.9545E-2</v>
      </c>
      <c r="K50" s="4" t="s">
        <v>1365</v>
      </c>
      <c r="L50" s="106">
        <v>5.9027809999999998E-5</v>
      </c>
      <c r="M50" s="4">
        <v>-4.2289000000000003</v>
      </c>
      <c r="N50" s="106">
        <v>1.458335E-5</v>
      </c>
      <c r="O50" s="4">
        <v>-4.8361000000000001</v>
      </c>
      <c r="P50" s="4">
        <v>10000</v>
      </c>
      <c r="Q50" s="106">
        <v>5902.7809999999999</v>
      </c>
      <c r="R50" s="4">
        <v>3.7711000000000001</v>
      </c>
      <c r="W50" s="68" t="s">
        <v>3297</v>
      </c>
    </row>
    <row r="51" spans="1:23" ht="18.75">
      <c r="A51" s="4" t="s">
        <v>1454</v>
      </c>
      <c r="B51" s="106">
        <v>1.012117E-4</v>
      </c>
      <c r="C51" s="4">
        <v>-3.9948000000000001</v>
      </c>
      <c r="D51" s="106">
        <v>1.106139E-5</v>
      </c>
      <c r="E51" s="4">
        <v>3.4685000000000001E-2</v>
      </c>
      <c r="F51" s="4">
        <v>6.676158</v>
      </c>
      <c r="G51" s="4">
        <v>6.7108429999999997</v>
      </c>
      <c r="H51" s="4">
        <v>3.4719E-2</v>
      </c>
      <c r="K51" s="4" t="s">
        <v>1397</v>
      </c>
      <c r="L51" s="106">
        <v>7.4615319999999998E-5</v>
      </c>
      <c r="M51" s="4">
        <v>-4.1272000000000002</v>
      </c>
      <c r="N51" s="106">
        <v>6.3727930000000006E-5</v>
      </c>
      <c r="O51" s="4">
        <v>-4.1957000000000004</v>
      </c>
      <c r="P51" s="4">
        <v>10000</v>
      </c>
      <c r="Q51" s="106">
        <v>7461.5320000000002</v>
      </c>
      <c r="R51" s="4">
        <v>3.8727999999999998</v>
      </c>
    </row>
    <row r="52" spans="1:23" ht="18.75">
      <c r="A52" s="4" t="s">
        <v>1385</v>
      </c>
      <c r="B52" s="106">
        <v>2.3264550000000002</v>
      </c>
      <c r="C52" s="4">
        <v>0.36670000000000003</v>
      </c>
      <c r="D52" s="106">
        <v>0.25425740000000002</v>
      </c>
      <c r="E52" s="4">
        <v>6.9596000000000005E-2</v>
      </c>
      <c r="F52" s="4">
        <v>5.8661580000000004</v>
      </c>
      <c r="G52" s="4">
        <v>5.9357540000000002</v>
      </c>
      <c r="H52" s="4">
        <v>6.9666000000000006E-2</v>
      </c>
      <c r="K52" s="4" t="s">
        <v>1369</v>
      </c>
      <c r="L52" s="106">
        <v>1.015703E-4</v>
      </c>
      <c r="M52" s="4">
        <v>-3.9931999999999999</v>
      </c>
      <c r="N52" s="106">
        <v>1.580837</v>
      </c>
      <c r="O52" s="4">
        <v>0.19889999999999999</v>
      </c>
      <c r="P52" s="4">
        <v>100</v>
      </c>
      <c r="Q52" s="106">
        <v>1.015703</v>
      </c>
      <c r="R52" s="4">
        <v>6.7999999999999996E-3</v>
      </c>
    </row>
    <row r="53" spans="1:23" ht="18.75">
      <c r="A53" s="4" t="s">
        <v>1455</v>
      </c>
      <c r="B53" s="106">
        <v>3.9637959999999999</v>
      </c>
      <c r="C53" s="4">
        <v>0.59809999999999997</v>
      </c>
      <c r="D53" s="106">
        <v>0.43320170000000002</v>
      </c>
      <c r="E53" s="4">
        <v>1.5729E-2</v>
      </c>
      <c r="F53" s="4">
        <v>4.0730519999999997</v>
      </c>
      <c r="G53" s="4">
        <v>4.0887820000000001</v>
      </c>
      <c r="H53" s="4">
        <v>1.5744999999999999E-2</v>
      </c>
      <c r="K53" s="4" t="s">
        <v>1368</v>
      </c>
      <c r="L53" s="106">
        <v>2.1523859999999999E-4</v>
      </c>
      <c r="M53" s="4">
        <v>-3.6671</v>
      </c>
      <c r="N53" s="106">
        <v>8.9100079999999996E-6</v>
      </c>
      <c r="O53" s="4">
        <v>-5.0500999999999996</v>
      </c>
      <c r="P53" s="4">
        <v>2000</v>
      </c>
      <c r="Q53" s="106">
        <v>860.95439999999996</v>
      </c>
      <c r="R53" s="4">
        <v>2.9350000000000001</v>
      </c>
    </row>
    <row r="54" spans="1:23" ht="18.75">
      <c r="A54" s="4" t="s">
        <v>1384</v>
      </c>
      <c r="B54" s="106">
        <v>4.3052869999999999</v>
      </c>
      <c r="C54" s="4">
        <v>0.63400000000000001</v>
      </c>
      <c r="D54" s="106">
        <v>0.47052319999999997</v>
      </c>
      <c r="E54" s="4">
        <v>1.3812E-2</v>
      </c>
      <c r="F54" s="4">
        <v>7.2680809999999996</v>
      </c>
      <c r="G54" s="4">
        <v>7.2818930000000002</v>
      </c>
      <c r="H54" s="4">
        <v>1.3825E-2</v>
      </c>
      <c r="K54" s="4" t="s">
        <v>1366</v>
      </c>
      <c r="L54" s="106">
        <v>8.9101819999999998E-2</v>
      </c>
      <c r="M54" s="4">
        <v>-1.0501</v>
      </c>
      <c r="N54" s="106">
        <v>9.6544399999999998E-4</v>
      </c>
      <c r="O54" s="4">
        <v>-3.0152999999999999</v>
      </c>
      <c r="P54" s="4" t="s">
        <v>1339</v>
      </c>
      <c r="Q54" s="106">
        <v>463.32940000000002</v>
      </c>
      <c r="R54" s="4">
        <v>2.6659000000000002</v>
      </c>
    </row>
    <row r="55" spans="1:23" ht="18.75">
      <c r="A55" s="4" t="s">
        <v>1453</v>
      </c>
      <c r="B55" s="106">
        <v>9.15</v>
      </c>
      <c r="C55" s="4">
        <v>0.96140000000000003</v>
      </c>
      <c r="D55" s="106">
        <v>1</v>
      </c>
      <c r="E55" s="4">
        <v>1.1793E-2</v>
      </c>
      <c r="F55" s="4">
        <v>7.8479799999999997</v>
      </c>
      <c r="G55" s="4">
        <v>7.8597729999999997</v>
      </c>
      <c r="H55" s="4">
        <v>1.1805E-2</v>
      </c>
      <c r="K55" s="4" t="s">
        <v>1367</v>
      </c>
      <c r="L55" s="106">
        <v>0.89997590000000005</v>
      </c>
      <c r="M55" s="4">
        <v>-4.58E-2</v>
      </c>
      <c r="N55" s="106">
        <v>7.4408589999999997E-6</v>
      </c>
      <c r="O55" s="4">
        <v>-5.1284000000000001</v>
      </c>
      <c r="P55" s="4">
        <v>10</v>
      </c>
      <c r="Q55" s="106">
        <v>89.997590000000002</v>
      </c>
      <c r="R55" s="4">
        <v>1.9541999999999999</v>
      </c>
    </row>
    <row r="56" spans="1:23" ht="18.75">
      <c r="A56" s="4" t="s">
        <v>1392</v>
      </c>
      <c r="B56" s="106">
        <v>13.15803</v>
      </c>
      <c r="C56" s="4">
        <v>1.1192</v>
      </c>
      <c r="D56" s="106">
        <v>1.4380360000000001</v>
      </c>
      <c r="E56" s="4">
        <v>9.4448000000000004E-2</v>
      </c>
      <c r="F56" s="4">
        <v>7.1481789999999998</v>
      </c>
      <c r="G56" s="4">
        <v>7.2426269999999997</v>
      </c>
      <c r="H56" s="4">
        <v>9.4543000000000002E-2</v>
      </c>
      <c r="K56" s="4" t="s">
        <v>1364</v>
      </c>
      <c r="L56" s="106">
        <v>4.2535720000000001</v>
      </c>
      <c r="M56" s="4">
        <v>0.62880000000000003</v>
      </c>
      <c r="N56" s="106">
        <v>1.3034249999999999E-4</v>
      </c>
      <c r="O56" s="4">
        <v>-3.8849</v>
      </c>
      <c r="P56" s="4">
        <v>200</v>
      </c>
      <c r="Q56" s="106">
        <v>170142.9</v>
      </c>
      <c r="R56" s="4">
        <v>5.2308000000000003</v>
      </c>
    </row>
    <row r="57" spans="1:23" ht="18.75">
      <c r="A57" s="4" t="s">
        <v>1456</v>
      </c>
      <c r="B57" s="106">
        <v>37.141129999999997</v>
      </c>
      <c r="C57" s="4">
        <v>1.5699000000000001</v>
      </c>
      <c r="D57" s="106">
        <v>4.0591400000000002</v>
      </c>
      <c r="E57" s="4">
        <v>1.2923E-2</v>
      </c>
      <c r="F57" s="4">
        <v>5.8071010000000003</v>
      </c>
      <c r="G57" s="4">
        <v>5.8200240000000001</v>
      </c>
      <c r="H57" s="4">
        <v>1.2936E-2</v>
      </c>
      <c r="K57" s="4" t="s">
        <v>1372</v>
      </c>
      <c r="L57" s="106">
        <v>10.51285</v>
      </c>
      <c r="M57" s="4">
        <v>1.0217000000000001</v>
      </c>
      <c r="N57" s="106">
        <v>1.2503680000000001E-5</v>
      </c>
      <c r="O57" s="4">
        <v>-4.9029999999999996</v>
      </c>
      <c r="P57" s="4">
        <v>100</v>
      </c>
      <c r="Q57" s="106">
        <v>105128.5</v>
      </c>
      <c r="R57" s="4">
        <v>5.0217000000000001</v>
      </c>
    </row>
    <row r="58" spans="1:23" ht="18.75">
      <c r="A58" s="4" t="s">
        <v>1524</v>
      </c>
      <c r="B58" s="106">
        <v>44.054639999999999</v>
      </c>
      <c r="C58" s="4">
        <v>1.6439999999999999</v>
      </c>
      <c r="D58" s="106">
        <v>4.8147149999999996</v>
      </c>
      <c r="E58" s="4">
        <v>3.3057000000000003E-2</v>
      </c>
      <c r="F58" s="4">
        <v>10.125934000000001</v>
      </c>
      <c r="G58" s="4">
        <v>10.158991</v>
      </c>
      <c r="H58" s="4">
        <v>3.3091000000000002E-2</v>
      </c>
      <c r="K58" s="4" t="s">
        <v>250</v>
      </c>
      <c r="L58" s="106">
        <v>14.521739999999999</v>
      </c>
      <c r="M58" s="4">
        <v>1.1619999999999999</v>
      </c>
      <c r="N58" s="106">
        <v>2540.5219999999999</v>
      </c>
      <c r="O58" s="4">
        <v>3.4049</v>
      </c>
      <c r="P58" s="4">
        <v>10</v>
      </c>
      <c r="Q58" s="106">
        <v>1452.174</v>
      </c>
      <c r="R58" s="4">
        <v>3.1619999999999999</v>
      </c>
    </row>
    <row r="59" spans="1:23" ht="18.75">
      <c r="A59" s="4" t="s">
        <v>1386</v>
      </c>
      <c r="B59" s="106">
        <v>48.566940000000002</v>
      </c>
      <c r="C59" s="4">
        <v>1.6862999999999999</v>
      </c>
      <c r="D59" s="106">
        <v>5.3078630000000002</v>
      </c>
      <c r="E59" s="4">
        <v>5.2948000000000002E-2</v>
      </c>
      <c r="F59" s="4">
        <v>9.3565330000000007</v>
      </c>
      <c r="G59" s="4">
        <v>9.4094809999999995</v>
      </c>
      <c r="H59" s="4">
        <v>5.3001E-2</v>
      </c>
      <c r="K59" s="4" t="s">
        <v>1374</v>
      </c>
      <c r="L59" s="106">
        <v>24.090520000000001</v>
      </c>
      <c r="M59" s="4">
        <v>1.3817999999999999</v>
      </c>
      <c r="N59" s="106">
        <v>5.5999420000000003E-4</v>
      </c>
      <c r="O59" s="4">
        <v>-3.2517999999999998</v>
      </c>
      <c r="P59" s="4">
        <v>1</v>
      </c>
      <c r="Q59" s="106">
        <v>24.090520000000001</v>
      </c>
      <c r="R59" s="4">
        <v>1.3817999999999999</v>
      </c>
    </row>
    <row r="60" spans="1:23" ht="18.75">
      <c r="A60" s="4" t="s">
        <v>1495</v>
      </c>
      <c r="B60" s="106">
        <v>87628.29</v>
      </c>
      <c r="C60" s="4">
        <v>4.9425999999999997</v>
      </c>
      <c r="D60" s="106">
        <v>9576.8629999999994</v>
      </c>
      <c r="E60" s="4">
        <v>0</v>
      </c>
      <c r="F60" s="4">
        <v>5.8751670000000003</v>
      </c>
      <c r="G60" s="4">
        <v>5.8751670000000003</v>
      </c>
      <c r="H60" s="4">
        <v>4.3622000000000001E-2</v>
      </c>
      <c r="K60" s="4" t="s">
        <v>1373</v>
      </c>
      <c r="L60" s="106">
        <v>5464.9960000000001</v>
      </c>
      <c r="M60" s="4">
        <v>3.7376</v>
      </c>
      <c r="N60" s="106">
        <v>1.014383E-8</v>
      </c>
      <c r="O60" s="4">
        <v>-7.9938000000000002</v>
      </c>
      <c r="P60" s="4">
        <v>10</v>
      </c>
      <c r="Q60" s="106">
        <v>546499.6</v>
      </c>
      <c r="R60" s="4">
        <v>5.7375999999999996</v>
      </c>
    </row>
    <row r="61" spans="1:23">
      <c r="K61" s="4" t="s">
        <v>215</v>
      </c>
      <c r="L61" s="106">
        <v>325882.40000000002</v>
      </c>
      <c r="M61" s="4">
        <v>5.5130999999999997</v>
      </c>
      <c r="N61" s="106">
        <v>6.3093700000000004</v>
      </c>
      <c r="O61" s="4">
        <v>0.8</v>
      </c>
      <c r="P61" s="4">
        <v>0.1</v>
      </c>
      <c r="Q61" s="106">
        <v>3258.8240000000001</v>
      </c>
      <c r="R61" s="4">
        <v>3.5131000000000001</v>
      </c>
    </row>
    <row r="62" spans="1:23" ht="18.75">
      <c r="K62" s="4" t="s">
        <v>1371</v>
      </c>
      <c r="L62" s="106">
        <v>13730620000</v>
      </c>
      <c r="M62" s="4">
        <v>10.137700000000001</v>
      </c>
      <c r="N62" s="106">
        <v>2.0561439999999999E-4</v>
      </c>
      <c r="O62" s="4">
        <v>-3.6869000000000001</v>
      </c>
      <c r="P62" s="4" t="s">
        <v>1340</v>
      </c>
      <c r="Q62" s="106">
        <v>1717014000</v>
      </c>
      <c r="R62" s="4">
        <v>9.2347999999999999</v>
      </c>
    </row>
    <row r="65" spans="1:34" ht="15">
      <c r="A65" s="227" t="s">
        <v>3299</v>
      </c>
      <c r="B65" s="227"/>
      <c r="C65" s="227"/>
      <c r="D65" s="227"/>
      <c r="E65" s="227"/>
      <c r="F65" s="227"/>
      <c r="G65" s="227"/>
      <c r="H65" s="227"/>
      <c r="I65" s="227"/>
    </row>
    <row r="66" spans="1:34" ht="15">
      <c r="A66" s="68" t="s">
        <v>456</v>
      </c>
      <c r="B66" s="68" t="s">
        <v>2315</v>
      </c>
      <c r="C66" s="68" t="s">
        <v>1362</v>
      </c>
      <c r="D66" s="68" t="s">
        <v>1363</v>
      </c>
      <c r="E66" s="68" t="s">
        <v>2316</v>
      </c>
      <c r="F66" s="68" t="s">
        <v>1312</v>
      </c>
      <c r="G66" s="68" t="s">
        <v>1037</v>
      </c>
      <c r="H66" s="68" t="s">
        <v>2317</v>
      </c>
      <c r="I66" s="4" t="s">
        <v>2318</v>
      </c>
    </row>
    <row r="67" spans="1:34" ht="15">
      <c r="A67" s="4" t="s">
        <v>2319</v>
      </c>
      <c r="B67" s="4">
        <v>403</v>
      </c>
      <c r="C67" s="4" t="s">
        <v>2320</v>
      </c>
      <c r="D67" s="4">
        <v>1</v>
      </c>
      <c r="E67" s="4">
        <v>1.4354824E-2</v>
      </c>
      <c r="F67" s="159">
        <v>9.9999999999999995E-8</v>
      </c>
      <c r="G67" s="4">
        <v>7.8355471999999995E-2</v>
      </c>
      <c r="H67" s="4">
        <v>3.0915520230846864E-2</v>
      </c>
      <c r="I67" s="4">
        <v>7</v>
      </c>
      <c r="K67" s="68" t="s">
        <v>2294</v>
      </c>
    </row>
    <row r="68" spans="1:34" ht="17.25">
      <c r="A68" s="4" t="s">
        <v>2321</v>
      </c>
      <c r="B68" s="4">
        <v>403</v>
      </c>
      <c r="C68" s="4" t="s">
        <v>2320</v>
      </c>
      <c r="D68" s="4">
        <v>2</v>
      </c>
      <c r="E68" s="4">
        <v>1.4354824E-2</v>
      </c>
      <c r="F68" s="106">
        <v>1.0000000000000001E-5</v>
      </c>
      <c r="G68" s="4">
        <v>6.9081615999999998E-2</v>
      </c>
      <c r="H68" s="4">
        <v>3.0916701719677406E-2</v>
      </c>
      <c r="I68" s="4">
        <v>7</v>
      </c>
      <c r="K68"/>
      <c r="L68"/>
      <c r="M68" s="224" t="s">
        <v>1680</v>
      </c>
      <c r="N68" s="224"/>
      <c r="O68" s="224"/>
      <c r="P68" s="224"/>
      <c r="Q68" s="224"/>
      <c r="R68" s="224"/>
      <c r="S68" s="224"/>
      <c r="T68" s="224"/>
      <c r="U68" s="55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>
      <c r="A69" s="4" t="s">
        <v>2322</v>
      </c>
      <c r="B69" s="4">
        <v>403</v>
      </c>
      <c r="C69" s="4" t="s">
        <v>2320</v>
      </c>
      <c r="D69" s="4">
        <v>3</v>
      </c>
      <c r="E69" s="4">
        <v>1.4354824E-2</v>
      </c>
      <c r="F69" s="106">
        <v>5.0000000000000002E-5</v>
      </c>
      <c r="G69" s="4">
        <v>7.9222781000000006E-2</v>
      </c>
      <c r="H69" s="4">
        <v>3.0945059636959579E-2</v>
      </c>
      <c r="I69" s="4">
        <v>7</v>
      </c>
      <c r="K69" s="82" t="s">
        <v>2295</v>
      </c>
      <c r="L69" s="51"/>
      <c r="M69" s="48">
        <v>1.4566296728971966E-2</v>
      </c>
      <c r="N69" s="48">
        <v>1.3647739715313627E-2</v>
      </c>
      <c r="O69" s="48">
        <v>1.4850434905593665E-2</v>
      </c>
      <c r="P69" s="48">
        <v>0.50441357354750016</v>
      </c>
      <c r="Q69" s="48">
        <v>0.47348653874758295</v>
      </c>
      <c r="R69" s="48">
        <v>0.46238017154389505</v>
      </c>
      <c r="S69" s="48">
        <v>3.4532262710643815</v>
      </c>
      <c r="T69" s="48">
        <v>3.1536521318499067</v>
      </c>
      <c r="U69" s="48">
        <v>3.3410637184351692</v>
      </c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>
      <c r="A70" s="4" t="s">
        <v>2323</v>
      </c>
      <c r="B70" s="4">
        <v>403</v>
      </c>
      <c r="C70" s="4" t="s">
        <v>2320</v>
      </c>
      <c r="D70" s="4">
        <v>4</v>
      </c>
      <c r="E70" s="4">
        <v>1.4354824E-2</v>
      </c>
      <c r="F70" s="4">
        <v>1E-4</v>
      </c>
      <c r="G70" s="4">
        <v>7.3343469999999994E-2</v>
      </c>
      <c r="H70" s="4">
        <v>3.1033670104172413E-2</v>
      </c>
      <c r="I70" s="4">
        <v>7</v>
      </c>
      <c r="K70" s="52" t="s">
        <v>787</v>
      </c>
      <c r="L70" s="53"/>
      <c r="M70" s="56">
        <v>0</v>
      </c>
      <c r="N70" s="56"/>
      <c r="O70" s="56"/>
      <c r="P70" s="56">
        <v>20</v>
      </c>
      <c r="Q70" s="56"/>
      <c r="R70" s="56"/>
      <c r="S70" s="56">
        <v>500</v>
      </c>
      <c r="T70" s="56"/>
      <c r="U70" s="56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>
      <c r="A71" s="4" t="s">
        <v>2324</v>
      </c>
      <c r="B71" s="4">
        <v>403</v>
      </c>
      <c r="C71" s="4" t="s">
        <v>2320</v>
      </c>
      <c r="D71" s="4">
        <v>5</v>
      </c>
      <c r="E71" s="4">
        <v>1.4354824E-2</v>
      </c>
      <c r="F71" s="4">
        <v>5.0000000000000001E-4</v>
      </c>
      <c r="G71" s="4">
        <v>9.0199157000000002E-2</v>
      </c>
      <c r="H71" s="4">
        <v>3.386281574189267E-2</v>
      </c>
      <c r="I71" s="4">
        <v>7</v>
      </c>
      <c r="K71" s="225" t="s">
        <v>789</v>
      </c>
      <c r="L71" s="49">
        <v>0</v>
      </c>
      <c r="M71" s="48">
        <v>4.6534891165172856E-2</v>
      </c>
      <c r="N71" s="48">
        <v>4.2682422940252873E-2</v>
      </c>
      <c r="O71" s="48">
        <v>4.3917812704649645E-2</v>
      </c>
      <c r="P71" s="48">
        <v>6.7459029693331174E-2</v>
      </c>
      <c r="Q71" s="48">
        <v>6.3140969928732846E-2</v>
      </c>
      <c r="R71" s="48">
        <v>5.9061886051080557E-2</v>
      </c>
      <c r="S71" s="48">
        <v>0.13619592288534269</v>
      </c>
      <c r="T71" s="48">
        <v>0.12804057086437484</v>
      </c>
      <c r="U71" s="48">
        <v>0.13567004757203124</v>
      </c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>
      <c r="A72" s="4" t="s">
        <v>2325</v>
      </c>
      <c r="B72" s="4">
        <v>403</v>
      </c>
      <c r="C72" s="4" t="s">
        <v>2320</v>
      </c>
      <c r="D72" s="4">
        <v>6</v>
      </c>
      <c r="E72" s="4">
        <v>1.4354824E-2</v>
      </c>
      <c r="F72" s="4">
        <v>0.01</v>
      </c>
      <c r="G72" s="4">
        <v>1.659024544</v>
      </c>
      <c r="H72" s="4">
        <v>0.684861849172549</v>
      </c>
      <c r="I72" s="4">
        <v>7</v>
      </c>
      <c r="K72" s="225"/>
      <c r="L72" s="54">
        <v>0.01</v>
      </c>
      <c r="M72" s="48">
        <v>3.5405598287209579E-2</v>
      </c>
      <c r="N72" s="48">
        <v>3.9646320593268683E-2</v>
      </c>
      <c r="O72" s="48">
        <v>3.5045294027329955E-2</v>
      </c>
      <c r="P72" s="48">
        <v>5.8652586771447295E-2</v>
      </c>
      <c r="Q72" s="48">
        <v>5.7491743438206164E-2</v>
      </c>
      <c r="R72" s="48">
        <v>5.9199421268386794E-2</v>
      </c>
      <c r="S72" s="48">
        <v>0.19565217391304349</v>
      </c>
      <c r="T72" s="48">
        <v>0.17189613199891807</v>
      </c>
      <c r="U72" s="48">
        <v>0.19134286466099468</v>
      </c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>
      <c r="A73" s="4" t="s">
        <v>2326</v>
      </c>
      <c r="B73" s="4">
        <v>403</v>
      </c>
      <c r="C73" s="4" t="s">
        <v>2320</v>
      </c>
      <c r="D73" s="4">
        <v>7</v>
      </c>
      <c r="E73" s="4">
        <v>1.4354824E-2</v>
      </c>
      <c r="F73" s="159">
        <v>9.9999999999999995E-8</v>
      </c>
      <c r="G73" s="4">
        <v>8.8940732999999994E-2</v>
      </c>
      <c r="H73" s="4">
        <v>3.0915520230846864E-2</v>
      </c>
      <c r="I73" s="4">
        <v>7</v>
      </c>
      <c r="K73" s="225"/>
      <c r="L73" s="54">
        <v>0.05</v>
      </c>
      <c r="M73" s="48">
        <v>3.7095088819226754E-2</v>
      </c>
      <c r="N73" s="48">
        <v>3.7846827843582675E-2</v>
      </c>
      <c r="O73" s="48">
        <v>4.06434184675835E-2</v>
      </c>
      <c r="P73" s="48">
        <v>0.11291137109670904</v>
      </c>
      <c r="Q73" s="48">
        <v>0.11047691527143583</v>
      </c>
      <c r="R73" s="48">
        <v>0.11431728880157173</v>
      </c>
      <c r="S73" s="48">
        <v>1.6481016066780363</v>
      </c>
      <c r="T73" s="48">
        <v>1.5390625000000002</v>
      </c>
      <c r="U73" s="48">
        <v>1.5878764610528113</v>
      </c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>
      <c r="A74" s="4" t="s">
        <v>2327</v>
      </c>
      <c r="B74" s="4">
        <v>403</v>
      </c>
      <c r="C74" s="4" t="s">
        <v>2320</v>
      </c>
      <c r="D74" s="4">
        <v>8</v>
      </c>
      <c r="E74" s="4">
        <v>1.4354824E-2</v>
      </c>
      <c r="F74" s="106">
        <v>1.0000000000000001E-5</v>
      </c>
      <c r="G74" s="4">
        <v>6.5724064999999998E-2</v>
      </c>
      <c r="H74" s="4">
        <v>3.0916701719677406E-2</v>
      </c>
      <c r="I74" s="4">
        <v>7</v>
      </c>
      <c r="K74" s="225"/>
      <c r="L74" s="54">
        <v>0.1</v>
      </c>
      <c r="M74" s="48">
        <v>3.5857356060010996E-2</v>
      </c>
      <c r="N74" s="48">
        <v>3.6193029490616618E-2</v>
      </c>
      <c r="O74" s="48">
        <v>3.7732074263764404E-2</v>
      </c>
      <c r="P74" s="48">
        <v>0.27648136349155783</v>
      </c>
      <c r="Q74" s="48">
        <v>0.29917967505575022</v>
      </c>
      <c r="R74" s="48">
        <v>0.26180377720870679</v>
      </c>
      <c r="S74" s="48">
        <v>3.8774868659030228</v>
      </c>
      <c r="T74" s="48">
        <v>3.8927904211956523</v>
      </c>
      <c r="U74" s="48">
        <v>3.9128715452807232</v>
      </c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>
      <c r="A75" s="4" t="s">
        <v>2328</v>
      </c>
      <c r="B75" s="4">
        <v>403</v>
      </c>
      <c r="C75" s="4" t="s">
        <v>2320</v>
      </c>
      <c r="D75" s="4">
        <v>9</v>
      </c>
      <c r="E75" s="4">
        <v>1.4354824E-2</v>
      </c>
      <c r="F75" s="106">
        <v>5.0000000000000002E-5</v>
      </c>
      <c r="G75" s="4">
        <v>7.4615259000000003E-2</v>
      </c>
      <c r="H75" s="4">
        <v>3.0945059636959579E-2</v>
      </c>
      <c r="I75" s="4">
        <v>7</v>
      </c>
      <c r="K75" s="225"/>
      <c r="L75" s="54">
        <v>0.5</v>
      </c>
      <c r="M75" s="48">
        <v>4.2900625205659758E-2</v>
      </c>
      <c r="N75" s="48">
        <v>5.8637013219006801E-2</v>
      </c>
      <c r="O75" s="48">
        <v>4.5987934881414762E-2</v>
      </c>
      <c r="P75" s="48">
        <v>5.5799850572804255</v>
      </c>
      <c r="Q75" s="48">
        <v>5.7091577879249114</v>
      </c>
      <c r="R75" s="48">
        <v>5.5525805669978192</v>
      </c>
      <c r="S75" s="48">
        <v>7.0414935754999517</v>
      </c>
      <c r="T75" s="48">
        <v>7.1062089903045731</v>
      </c>
      <c r="U75" s="48">
        <v>6.9442168445121952</v>
      </c>
      <c r="V75" t="s">
        <v>1166</v>
      </c>
      <c r="W75">
        <f t="shared" ref="W75:AE75" si="16">M76-M71</f>
        <v>0.99570447866040412</v>
      </c>
      <c r="X75">
        <f t="shared" si="16"/>
        <v>0.96749930673685247</v>
      </c>
      <c r="Y75">
        <f t="shared" si="16"/>
        <v>1.0909072668046644</v>
      </c>
      <c r="Z75">
        <f t="shared" si="16"/>
        <v>10.522660703420645</v>
      </c>
      <c r="AA75">
        <f t="shared" si="16"/>
        <v>10.06441903377806</v>
      </c>
      <c r="AB75">
        <f t="shared" si="16"/>
        <v>10.341857047621925</v>
      </c>
      <c r="AC75">
        <f t="shared" si="16"/>
        <v>10.344273306939003</v>
      </c>
      <c r="AD75">
        <f t="shared" si="16"/>
        <v>11.196097803621221</v>
      </c>
      <c r="AE75">
        <f t="shared" si="16"/>
        <v>9.474522305231158</v>
      </c>
      <c r="AF75"/>
      <c r="AG75"/>
      <c r="AH75"/>
    </row>
    <row r="76" spans="1:34">
      <c r="A76" s="4" t="s">
        <v>2329</v>
      </c>
      <c r="B76" s="4">
        <v>403</v>
      </c>
      <c r="C76" s="4" t="s">
        <v>2320</v>
      </c>
      <c r="D76" s="4">
        <v>10</v>
      </c>
      <c r="E76" s="4">
        <v>1.4354824E-2</v>
      </c>
      <c r="F76" s="4">
        <v>1E-4</v>
      </c>
      <c r="G76" s="4">
        <v>7.8411488000000001E-2</v>
      </c>
      <c r="H76" s="4">
        <v>3.1033670104172413E-2</v>
      </c>
      <c r="I76" s="4">
        <v>7</v>
      </c>
      <c r="K76" s="225"/>
      <c r="L76" s="54">
        <v>10</v>
      </c>
      <c r="M76" s="48">
        <v>1.042239369825577</v>
      </c>
      <c r="N76" s="48">
        <v>1.0101817296771054</v>
      </c>
      <c r="O76" s="48">
        <v>1.134825079509314</v>
      </c>
      <c r="P76" s="48">
        <v>10.590119733113976</v>
      </c>
      <c r="Q76" s="48">
        <v>10.127560003706794</v>
      </c>
      <c r="R76" s="48">
        <v>10.400918933673006</v>
      </c>
      <c r="S76" s="48">
        <v>10.480469229824346</v>
      </c>
      <c r="T76" s="48">
        <v>11.324138374485596</v>
      </c>
      <c r="U76" s="48">
        <v>9.610192352803189</v>
      </c>
      <c r="V76" t="s">
        <v>1167</v>
      </c>
      <c r="W76">
        <f t="shared" ref="W76:AE76" si="17">M76/M71</f>
        <v>22.396944394394513</v>
      </c>
      <c r="X76">
        <f t="shared" si="17"/>
        <v>23.667394212628562</v>
      </c>
      <c r="Y76">
        <f t="shared" si="17"/>
        <v>25.839744960458113</v>
      </c>
      <c r="Z76">
        <f t="shared" si="17"/>
        <v>156.98594808221631</v>
      </c>
      <c r="AA76">
        <f t="shared" si="17"/>
        <v>160.3960156953205</v>
      </c>
      <c r="AB76">
        <f t="shared" si="17"/>
        <v>176.10204531358201</v>
      </c>
      <c r="AC76">
        <f t="shared" si="17"/>
        <v>76.951416810379769</v>
      </c>
      <c r="AD76">
        <f t="shared" si="17"/>
        <v>88.441798548996857</v>
      </c>
      <c r="AE76">
        <f t="shared" si="17"/>
        <v>70.83503341222648</v>
      </c>
      <c r="AF76">
        <f>AVERAGE(W76:Y76)</f>
        <v>23.968027855827064</v>
      </c>
      <c r="AG76">
        <f>AVERAGE(Z76:AB76)</f>
        <v>164.49466969703963</v>
      </c>
      <c r="AH76">
        <f>AVERAGE(AC76:AE76)</f>
        <v>78.742749590534359</v>
      </c>
    </row>
    <row r="77" spans="1:34" ht="15" thickBot="1">
      <c r="A77" s="4" t="s">
        <v>2330</v>
      </c>
      <c r="B77" s="4">
        <v>403</v>
      </c>
      <c r="C77" s="4" t="s">
        <v>2320</v>
      </c>
      <c r="D77" s="4">
        <v>11</v>
      </c>
      <c r="E77" s="4">
        <v>1.4354824E-2</v>
      </c>
      <c r="F77" s="4">
        <v>5.0000000000000001E-4</v>
      </c>
      <c r="G77" s="4">
        <v>9.5080223000000005E-2</v>
      </c>
      <c r="H77" s="4">
        <v>3.386281574189267E-2</v>
      </c>
      <c r="I77" s="4">
        <v>7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5" thickBot="1">
      <c r="A78" s="4" t="s">
        <v>2331</v>
      </c>
      <c r="B78" s="4">
        <v>403</v>
      </c>
      <c r="C78" s="4" t="s">
        <v>2320</v>
      </c>
      <c r="D78" s="4">
        <v>12</v>
      </c>
      <c r="E78" s="4">
        <v>1.4354824E-2</v>
      </c>
      <c r="F78" s="4">
        <v>0.01</v>
      </c>
      <c r="G78" s="4">
        <v>1.766814573</v>
      </c>
      <c r="H78" s="4">
        <v>0.684861849172549</v>
      </c>
      <c r="I78" s="4">
        <v>7</v>
      </c>
      <c r="K78"/>
      <c r="L78" s="49"/>
      <c r="M78"/>
      <c r="N78"/>
      <c r="O78"/>
      <c r="P78"/>
      <c r="Q78" s="48"/>
      <c r="R78" s="48"/>
      <c r="S78" s="48"/>
      <c r="T78" s="48"/>
      <c r="U78" s="48"/>
      <c r="V78" t="s">
        <v>1168</v>
      </c>
      <c r="W78">
        <f>W75+W76</f>
        <v>23.392648873054917</v>
      </c>
      <c r="X78">
        <f t="shared" ref="X78:AE78" si="18">X75+X76</f>
        <v>24.634893519365413</v>
      </c>
      <c r="Y78">
        <f t="shared" si="18"/>
        <v>26.930652227262776</v>
      </c>
      <c r="Z78" s="88">
        <f t="shared" si="18"/>
        <v>167.50860878563697</v>
      </c>
      <c r="AA78" s="89">
        <f t="shared" si="18"/>
        <v>170.46043472909855</v>
      </c>
      <c r="AB78" s="90">
        <f t="shared" si="18"/>
        <v>186.44390236120393</v>
      </c>
      <c r="AC78">
        <f t="shared" si="18"/>
        <v>87.29569011731877</v>
      </c>
      <c r="AD78">
        <f t="shared" si="18"/>
        <v>99.637896352618071</v>
      </c>
      <c r="AE78">
        <f t="shared" si="18"/>
        <v>80.309555717457641</v>
      </c>
      <c r="AF78"/>
      <c r="AG78"/>
      <c r="AH78"/>
    </row>
    <row r="79" spans="1:34" ht="17.25">
      <c r="A79" s="4" t="s">
        <v>2332</v>
      </c>
      <c r="B79" s="4">
        <v>403</v>
      </c>
      <c r="C79" s="4" t="s">
        <v>2320</v>
      </c>
      <c r="D79" s="4">
        <v>13</v>
      </c>
      <c r="E79" s="4">
        <v>1.4354824E-2</v>
      </c>
      <c r="F79" s="159">
        <v>9.9999999999999995E-8</v>
      </c>
      <c r="G79" s="4">
        <v>9.0171950000000001E-2</v>
      </c>
      <c r="H79" s="4">
        <v>3.0915520230846864E-2</v>
      </c>
      <c r="I79" s="4">
        <v>7</v>
      </c>
      <c r="K79"/>
      <c r="L79"/>
      <c r="M79" s="224" t="s">
        <v>1685</v>
      </c>
      <c r="N79" s="224"/>
      <c r="O79" s="224"/>
      <c r="P79" s="224"/>
      <c r="Q79" s="224"/>
      <c r="R79" s="224"/>
      <c r="S79" s="224"/>
      <c r="T79" s="224"/>
      <c r="U79" s="224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>
      <c r="A80" s="4" t="s">
        <v>2333</v>
      </c>
      <c r="B80" s="4">
        <v>403</v>
      </c>
      <c r="C80" s="4" t="s">
        <v>2320</v>
      </c>
      <c r="D80" s="4">
        <v>14</v>
      </c>
      <c r="E80" s="4">
        <v>1.4354824E-2</v>
      </c>
      <c r="F80" s="106">
        <v>1.0000000000000001E-5</v>
      </c>
      <c r="G80" s="4">
        <v>6.8126242000000004E-2</v>
      </c>
      <c r="H80" s="4">
        <v>3.0916701719677406E-2</v>
      </c>
      <c r="I80" s="4">
        <v>7</v>
      </c>
      <c r="K80" s="82" t="s">
        <v>2295</v>
      </c>
      <c r="L80" s="51"/>
      <c r="M80" s="48">
        <v>1.4566296728971966E-2</v>
      </c>
      <c r="N80" s="48">
        <v>1.3647739715313627E-2</v>
      </c>
      <c r="O80" s="48">
        <v>1.4850434905593665E-2</v>
      </c>
      <c r="P80" s="48">
        <v>0.50441357354750016</v>
      </c>
      <c r="Q80" s="48">
        <v>0.47348653874758295</v>
      </c>
      <c r="R80" s="48">
        <v>0.46238017154389505</v>
      </c>
      <c r="S80" s="48">
        <v>3.4532262710643815</v>
      </c>
      <c r="T80" s="48">
        <v>3.1536521318499067</v>
      </c>
      <c r="U80" s="48">
        <v>3.3410637184351692</v>
      </c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>
      <c r="A81" s="4" t="s">
        <v>2334</v>
      </c>
      <c r="B81" s="4">
        <v>403</v>
      </c>
      <c r="C81" s="4" t="s">
        <v>2320</v>
      </c>
      <c r="D81" s="4">
        <v>15</v>
      </c>
      <c r="E81" s="4">
        <v>1.4354824E-2</v>
      </c>
      <c r="F81" s="106">
        <v>5.0000000000000002E-5</v>
      </c>
      <c r="G81" s="4">
        <v>8.2258559999999994E-2</v>
      </c>
      <c r="H81" s="4">
        <v>3.0945059636959579E-2</v>
      </c>
      <c r="I81" s="4">
        <v>7</v>
      </c>
      <c r="K81" s="52" t="s">
        <v>787</v>
      </c>
      <c r="L81" s="53"/>
      <c r="M81" s="226">
        <v>0</v>
      </c>
      <c r="N81" s="226"/>
      <c r="O81" s="226"/>
      <c r="P81" s="226">
        <v>20</v>
      </c>
      <c r="Q81" s="226"/>
      <c r="R81" s="226"/>
      <c r="S81" s="226">
        <v>500</v>
      </c>
      <c r="T81" s="226"/>
      <c r="U81" s="226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>
      <c r="A82" s="4" t="s">
        <v>2335</v>
      </c>
      <c r="B82" s="4">
        <v>403</v>
      </c>
      <c r="C82" s="4" t="s">
        <v>2320</v>
      </c>
      <c r="D82" s="4">
        <v>16</v>
      </c>
      <c r="E82" s="4">
        <v>1.4354824E-2</v>
      </c>
      <c r="F82" s="4">
        <v>1E-4</v>
      </c>
      <c r="G82" s="4">
        <v>7.4500232E-2</v>
      </c>
      <c r="H82" s="4">
        <v>3.1033670104172413E-2</v>
      </c>
      <c r="I82" s="4">
        <v>7</v>
      </c>
      <c r="K82" s="225" t="s">
        <v>788</v>
      </c>
      <c r="L82" s="49">
        <v>0</v>
      </c>
      <c r="M82" s="51">
        <v>1.8044535449193801E-2</v>
      </c>
      <c r="N82" s="51">
        <v>2.0442359249329758E-2</v>
      </c>
      <c r="O82" s="51">
        <v>1.9115378021601234E-2</v>
      </c>
      <c r="P82" s="48">
        <v>2.2075438901442725E-2</v>
      </c>
      <c r="Q82" s="48">
        <v>2.0878765850900576E-2</v>
      </c>
      <c r="R82" s="48">
        <v>2.1211592178770947E-2</v>
      </c>
      <c r="S82" s="48">
        <v>2.5008852691218133E-2</v>
      </c>
      <c r="T82" s="48">
        <v>2.2977863816177089E-2</v>
      </c>
      <c r="U82" s="48">
        <v>2.5899530679645403E-2</v>
      </c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>
      <c r="A83" s="4" t="s">
        <v>2336</v>
      </c>
      <c r="B83" s="4">
        <v>403</v>
      </c>
      <c r="C83" s="4" t="s">
        <v>2320</v>
      </c>
      <c r="D83" s="4">
        <v>17</v>
      </c>
      <c r="E83" s="4">
        <v>1.4354824E-2</v>
      </c>
      <c r="F83" s="4">
        <v>5.0000000000000001E-4</v>
      </c>
      <c r="G83" s="4">
        <v>9.8201775000000005E-2</v>
      </c>
      <c r="H83" s="4">
        <v>3.386281574189267E-2</v>
      </c>
      <c r="I83" s="4">
        <v>7</v>
      </c>
      <c r="K83" s="225"/>
      <c r="L83" s="54">
        <v>0.01</v>
      </c>
      <c r="M83" s="48">
        <v>1.8009168303863787E-2</v>
      </c>
      <c r="N83" s="48">
        <v>1.9101876675603216E-2</v>
      </c>
      <c r="O83" s="48">
        <v>1.7038728225942837E-2</v>
      </c>
      <c r="P83" s="48">
        <v>2.176632474355767E-2</v>
      </c>
      <c r="Q83" s="48">
        <v>2.0699209518376661E-2</v>
      </c>
      <c r="R83" s="48">
        <v>2.257590173860393E-2</v>
      </c>
      <c r="S83" s="48">
        <v>2.4459564206356043E-2</v>
      </c>
      <c r="T83" s="48">
        <v>2.4069138195622324E-2</v>
      </c>
      <c r="U83" s="48">
        <v>2.4514642974662718E-2</v>
      </c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>
      <c r="A84" s="4" t="s">
        <v>2337</v>
      </c>
      <c r="B84" s="4">
        <v>403</v>
      </c>
      <c r="C84" s="4" t="s">
        <v>2320</v>
      </c>
      <c r="D84" s="4">
        <v>18</v>
      </c>
      <c r="E84" s="4">
        <v>1.4354824E-2</v>
      </c>
      <c r="F84" s="4">
        <v>0.01</v>
      </c>
      <c r="G84" s="4">
        <v>1.6878863260000001</v>
      </c>
      <c r="H84" s="4">
        <v>0.684861849172549</v>
      </c>
      <c r="I84" s="4">
        <v>7</v>
      </c>
      <c r="K84" s="225"/>
      <c r="L84" s="54">
        <v>0.05</v>
      </c>
      <c r="M84" s="48">
        <v>1.876675603217158E-2</v>
      </c>
      <c r="N84" s="48">
        <v>1.8769463849844289E-2</v>
      </c>
      <c r="O84" s="48">
        <v>1.7831243067997611E-2</v>
      </c>
      <c r="P84" s="48">
        <v>2.2808032394017026E-2</v>
      </c>
      <c r="Q84" s="48">
        <v>2.3084728564180618E-2</v>
      </c>
      <c r="R84" s="48">
        <v>2.2220351822237187E-2</v>
      </c>
      <c r="S84" s="48">
        <v>4.3435801630434784E-2</v>
      </c>
      <c r="T84" s="48">
        <v>3.7653239929947464E-2</v>
      </c>
      <c r="U84" s="48">
        <v>4.2988170752614435E-2</v>
      </c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>
      <c r="A85" s="4" t="s">
        <v>2338</v>
      </c>
      <c r="B85" s="4">
        <v>403</v>
      </c>
      <c r="C85" s="4" t="s">
        <v>2320</v>
      </c>
      <c r="D85" s="4">
        <v>19</v>
      </c>
      <c r="E85" s="4">
        <v>0.48009342799999999</v>
      </c>
      <c r="F85" s="106">
        <v>9.9999999999999995E-8</v>
      </c>
      <c r="G85" s="4">
        <v>8.8147006E-2</v>
      </c>
      <c r="H85" s="4">
        <v>3.182587948905468E-2</v>
      </c>
      <c r="I85" s="4">
        <v>7</v>
      </c>
      <c r="K85" s="225"/>
      <c r="L85" s="54">
        <v>0.1</v>
      </c>
      <c r="M85" s="48">
        <v>1.9733620605229651E-2</v>
      </c>
      <c r="N85" s="48">
        <v>1.9259505229951856E-2</v>
      </c>
      <c r="O85" s="48">
        <v>1.7684488885216097E-2</v>
      </c>
      <c r="P85" s="48">
        <v>2.6245335064092167E-2</v>
      </c>
      <c r="Q85" s="48">
        <v>2.6890962671905702E-2</v>
      </c>
      <c r="R85" s="48">
        <v>2.8308152083679233E-2</v>
      </c>
      <c r="S85" s="48">
        <v>0.1597639981490051</v>
      </c>
      <c r="T85" s="48">
        <v>0.16283413581271794</v>
      </c>
      <c r="U85" s="48">
        <v>0.15190559586356436</v>
      </c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>
      <c r="A86" s="4" t="s">
        <v>2339</v>
      </c>
      <c r="B86" s="4">
        <v>403</v>
      </c>
      <c r="C86" s="4" t="s">
        <v>2320</v>
      </c>
      <c r="D86" s="4">
        <v>20</v>
      </c>
      <c r="E86" s="4">
        <v>0.48009342799999999</v>
      </c>
      <c r="F86" s="106">
        <v>1.0000000000000001E-5</v>
      </c>
      <c r="G86" s="4">
        <v>0.100274614</v>
      </c>
      <c r="H86" s="4">
        <v>3.3147172319569679E-2</v>
      </c>
      <c r="I86" s="4">
        <v>7</v>
      </c>
      <c r="K86" s="225"/>
      <c r="L86" s="54">
        <v>1</v>
      </c>
      <c r="M86" s="48">
        <v>2.0015429453111609E-2</v>
      </c>
      <c r="N86" s="48">
        <v>2.4459123109324143E-2</v>
      </c>
      <c r="O86" s="48">
        <v>1.7719504021447723E-2</v>
      </c>
      <c r="P86" s="48">
        <v>0.53593839132915</v>
      </c>
      <c r="Q86" s="48">
        <v>0.54328249229271464</v>
      </c>
      <c r="R86" s="48">
        <v>0.66891781270464967</v>
      </c>
      <c r="S86" s="48">
        <v>5.9478967495219885</v>
      </c>
      <c r="T86" s="48">
        <v>5.8049139853456513</v>
      </c>
      <c r="U86" s="48">
        <v>5.9096756372819828</v>
      </c>
      <c r="V86" t="s">
        <v>1166</v>
      </c>
      <c r="W86">
        <f t="shared" ref="W86:AE86" si="19">M87-M82</f>
        <v>6.5694442951196655E-3</v>
      </c>
      <c r="X86">
        <f t="shared" si="19"/>
        <v>4.36557929100315E-3</v>
      </c>
      <c r="Y86">
        <f t="shared" si="19"/>
        <v>6.8624386742539914E-3</v>
      </c>
      <c r="Z86">
        <f t="shared" si="19"/>
        <v>5.1411108586114622</v>
      </c>
      <c r="AA86">
        <f t="shared" si="19"/>
        <v>5.14040280861059</v>
      </c>
      <c r="AB86">
        <f t="shared" si="19"/>
        <v>5.1408232824903868</v>
      </c>
      <c r="AC86">
        <f t="shared" si="19"/>
        <v>5.8330912186750501</v>
      </c>
      <c r="AD86">
        <f t="shared" si="19"/>
        <v>5.727177102865987</v>
      </c>
      <c r="AE86">
        <f t="shared" si="19"/>
        <v>5.8025136104950024</v>
      </c>
      <c r="AF86"/>
      <c r="AG86"/>
      <c r="AH86"/>
    </row>
    <row r="87" spans="1:34">
      <c r="A87" s="4" t="s">
        <v>2340</v>
      </c>
      <c r="B87" s="4">
        <v>403</v>
      </c>
      <c r="C87" s="4" t="s">
        <v>2320</v>
      </c>
      <c r="D87" s="4">
        <v>21</v>
      </c>
      <c r="E87" s="4">
        <v>0.48009342799999999</v>
      </c>
      <c r="F87" s="106">
        <v>5.0000000000000002E-5</v>
      </c>
      <c r="G87" s="4">
        <v>0.18387044699999999</v>
      </c>
      <c r="H87" s="4">
        <v>6.4794527105246122E-2</v>
      </c>
      <c r="I87" s="4">
        <v>7</v>
      </c>
      <c r="K87" s="225"/>
      <c r="L87" s="54">
        <v>100</v>
      </c>
      <c r="M87" s="48">
        <v>2.4613979744313466E-2</v>
      </c>
      <c r="N87" s="48">
        <v>2.4807938540332908E-2</v>
      </c>
      <c r="O87" s="48">
        <v>2.5977816695855225E-2</v>
      </c>
      <c r="P87" s="48">
        <v>5.1631862975129046</v>
      </c>
      <c r="Q87" s="48">
        <v>5.1612815744614906</v>
      </c>
      <c r="R87" s="48">
        <v>5.1620348746691578</v>
      </c>
      <c r="S87" s="48">
        <v>5.8581000713662679</v>
      </c>
      <c r="T87" s="48">
        <v>5.7501549666821639</v>
      </c>
      <c r="U87" s="48">
        <v>5.8284131411746474</v>
      </c>
      <c r="V87" t="s">
        <v>1167</v>
      </c>
      <c r="W87">
        <f t="shared" ref="W87:AE87" si="20">M87/M82</f>
        <v>1.3640683526387585</v>
      </c>
      <c r="X87">
        <f t="shared" si="20"/>
        <v>1.2135555508910394</v>
      </c>
      <c r="Y87">
        <f t="shared" si="20"/>
        <v>1.3590009397930363</v>
      </c>
      <c r="Z87">
        <f t="shared" si="20"/>
        <v>233.88827377631293</v>
      </c>
      <c r="AA87">
        <f t="shared" si="20"/>
        <v>247.20242620273774</v>
      </c>
      <c r="AB87">
        <f t="shared" si="20"/>
        <v>243.35914207493778</v>
      </c>
      <c r="AC87">
        <f t="shared" si="20"/>
        <v>234.24105630496763</v>
      </c>
      <c r="AD87">
        <f t="shared" si="20"/>
        <v>250.24758666355601</v>
      </c>
      <c r="AE87">
        <f t="shared" si="20"/>
        <v>225.03933423609226</v>
      </c>
      <c r="AF87">
        <f>AVERAGE(W87:Y87)</f>
        <v>1.3122082811076112</v>
      </c>
      <c r="AG87">
        <f>AVERAGE(Z87:AB87)</f>
        <v>241.48328068466284</v>
      </c>
      <c r="AH87">
        <f>AVERAGE(AC87:AE87)</f>
        <v>236.50932573487196</v>
      </c>
    </row>
    <row r="88" spans="1:34" ht="15" thickBot="1">
      <c r="A88" s="4" t="s">
        <v>2341</v>
      </c>
      <c r="B88" s="4">
        <v>403</v>
      </c>
      <c r="C88" s="4" t="s">
        <v>2320</v>
      </c>
      <c r="D88" s="4">
        <v>22</v>
      </c>
      <c r="E88" s="4">
        <v>0.48009342799999999</v>
      </c>
      <c r="F88" s="4">
        <v>1E-4</v>
      </c>
      <c r="G88" s="4">
        <v>0.391565785</v>
      </c>
      <c r="H88" s="4">
        <v>0.16287172093941532</v>
      </c>
      <c r="I88" s="4">
        <v>7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5" thickBot="1">
      <c r="A89" s="4" t="s">
        <v>2342</v>
      </c>
      <c r="B89" s="4">
        <v>403</v>
      </c>
      <c r="C89" s="4" t="s">
        <v>2320</v>
      </c>
      <c r="D89" s="4">
        <v>23</v>
      </c>
      <c r="E89" s="4">
        <v>0.48009342799999999</v>
      </c>
      <c r="F89" s="4">
        <v>5.0000000000000001E-4</v>
      </c>
      <c r="G89" s="4">
        <v>6.2385712010000001</v>
      </c>
      <c r="H89" s="4">
        <v>2.7523962473329715</v>
      </c>
      <c r="I89" s="4">
        <v>7</v>
      </c>
      <c r="K89"/>
      <c r="L89" s="49"/>
      <c r="M89"/>
      <c r="N89"/>
      <c r="O89"/>
      <c r="P89"/>
      <c r="Q89" s="48"/>
      <c r="R89" s="48"/>
      <c r="S89" s="48"/>
      <c r="T89" s="48"/>
      <c r="U89" s="48"/>
      <c r="V89" t="s">
        <v>1168</v>
      </c>
      <c r="W89">
        <f>W86+W87</f>
        <v>1.3706377969338781</v>
      </c>
      <c r="X89">
        <f t="shared" ref="X89:AE89" si="21">X86+X87</f>
        <v>1.2179211301820425</v>
      </c>
      <c r="Y89">
        <f t="shared" si="21"/>
        <v>1.3658633784672902</v>
      </c>
      <c r="Z89">
        <f t="shared" si="21"/>
        <v>239.02938463492438</v>
      </c>
      <c r="AA89">
        <f t="shared" si="21"/>
        <v>252.34282901134833</v>
      </c>
      <c r="AB89">
        <f t="shared" si="21"/>
        <v>248.49996535742815</v>
      </c>
      <c r="AC89" s="88">
        <f t="shared" si="21"/>
        <v>240.07414752364267</v>
      </c>
      <c r="AD89" s="89">
        <f t="shared" si="21"/>
        <v>255.974763766422</v>
      </c>
      <c r="AE89" s="90">
        <f t="shared" si="21"/>
        <v>230.84184784658726</v>
      </c>
      <c r="AF89"/>
      <c r="AG89"/>
      <c r="AH89"/>
    </row>
    <row r="90" spans="1:34">
      <c r="A90" s="4" t="s">
        <v>2343</v>
      </c>
      <c r="B90" s="4">
        <v>403</v>
      </c>
      <c r="C90" s="4" t="s">
        <v>2320</v>
      </c>
      <c r="D90" s="4">
        <v>24</v>
      </c>
      <c r="E90" s="4">
        <v>0.48009342799999999</v>
      </c>
      <c r="F90" s="4">
        <v>0.01</v>
      </c>
      <c r="G90" s="4">
        <v>8.0554160960000001</v>
      </c>
      <c r="H90" s="4">
        <v>13.330260043594649</v>
      </c>
      <c r="I90" s="4">
        <v>7</v>
      </c>
    </row>
    <row r="91" spans="1:34" ht="17.25">
      <c r="A91" s="4" t="s">
        <v>2344</v>
      </c>
      <c r="B91" s="4">
        <v>403</v>
      </c>
      <c r="C91" s="4" t="s">
        <v>2320</v>
      </c>
      <c r="D91" s="4">
        <v>25</v>
      </c>
      <c r="E91" s="4">
        <v>0.48009342799999999</v>
      </c>
      <c r="F91" s="106">
        <v>9.9999999999999995E-8</v>
      </c>
      <c r="G91" s="4">
        <v>0.104641242</v>
      </c>
      <c r="H91" s="4">
        <v>3.182587948905468E-2</v>
      </c>
      <c r="I91" s="4">
        <v>7</v>
      </c>
      <c r="K91" s="80"/>
      <c r="L91" s="80"/>
      <c r="M91" s="229" t="s">
        <v>1689</v>
      </c>
      <c r="N91" s="229"/>
      <c r="O91" s="229"/>
      <c r="P91" s="229"/>
      <c r="Q91" s="229"/>
      <c r="R91" s="229"/>
      <c r="S91" s="229"/>
      <c r="T91" s="229"/>
      <c r="U91" s="229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>
      <c r="A92" s="4" t="s">
        <v>2345</v>
      </c>
      <c r="B92" s="4">
        <v>403</v>
      </c>
      <c r="C92" s="4" t="s">
        <v>2320</v>
      </c>
      <c r="D92" s="4">
        <v>26</v>
      </c>
      <c r="E92" s="4">
        <v>0.48009342799999999</v>
      </c>
      <c r="F92" s="106">
        <v>1.0000000000000001E-5</v>
      </c>
      <c r="G92" s="4">
        <v>9.4164455999999994E-2</v>
      </c>
      <c r="H92" s="4">
        <v>3.3147172319569679E-2</v>
      </c>
      <c r="I92" s="4">
        <v>7</v>
      </c>
      <c r="K92" s="82" t="s">
        <v>2295</v>
      </c>
      <c r="L92" s="83"/>
      <c r="M92" s="83">
        <v>7.8495155929566504E-3</v>
      </c>
      <c r="N92" s="83">
        <v>9.0799939966981838E-3</v>
      </c>
      <c r="O92" s="83">
        <v>8.2431366927102016E-3</v>
      </c>
      <c r="P92" s="80">
        <v>0.32898234612500854</v>
      </c>
      <c r="Q92" s="80">
        <v>0.32619014859658779</v>
      </c>
      <c r="R92" s="80">
        <v>0.31716091722143769</v>
      </c>
      <c r="S92" s="83">
        <v>2.7071147824928388</v>
      </c>
      <c r="T92" s="83">
        <v>2.6859133017466941</v>
      </c>
      <c r="U92" s="83">
        <v>2.7579827849507152</v>
      </c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>
      <c r="A93" s="4" t="s">
        <v>2346</v>
      </c>
      <c r="B93" s="4">
        <v>403</v>
      </c>
      <c r="C93" s="4" t="s">
        <v>2320</v>
      </c>
      <c r="D93" s="4">
        <v>27</v>
      </c>
      <c r="E93" s="4">
        <v>0.48009342799999999</v>
      </c>
      <c r="F93" s="106">
        <v>5.0000000000000002E-5</v>
      </c>
      <c r="G93" s="4">
        <v>0.203135232</v>
      </c>
      <c r="H93" s="4">
        <v>6.4794527105246122E-2</v>
      </c>
      <c r="I93" s="4">
        <v>7</v>
      </c>
      <c r="K93" s="84" t="s">
        <v>1162</v>
      </c>
      <c r="L93" s="85"/>
      <c r="M93" s="223">
        <v>0</v>
      </c>
      <c r="N93" s="223"/>
      <c r="O93" s="223"/>
      <c r="P93" s="223">
        <v>20</v>
      </c>
      <c r="Q93" s="223"/>
      <c r="R93" s="223"/>
      <c r="S93" s="223">
        <v>500</v>
      </c>
      <c r="T93" s="223"/>
      <c r="U93" s="22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>
      <c r="A94" s="4" t="s">
        <v>2347</v>
      </c>
      <c r="B94" s="4">
        <v>403</v>
      </c>
      <c r="C94" s="4" t="s">
        <v>2320</v>
      </c>
      <c r="D94" s="4">
        <v>28</v>
      </c>
      <c r="E94" s="4">
        <v>0.48009342799999999</v>
      </c>
      <c r="F94" s="4">
        <v>1E-4</v>
      </c>
      <c r="G94" s="4">
        <v>0.43838548999999999</v>
      </c>
      <c r="H94" s="4">
        <v>0.16287172093941532</v>
      </c>
      <c r="I94" s="4">
        <v>7</v>
      </c>
      <c r="K94" s="228" t="s">
        <v>1163</v>
      </c>
      <c r="L94" s="81">
        <v>0</v>
      </c>
      <c r="M94" s="80">
        <v>1.4828257790368274E-2</v>
      </c>
      <c r="N94" s="80">
        <v>1.5688395996754124E-2</v>
      </c>
      <c r="O94" s="80">
        <v>1.4967090433684972E-2</v>
      </c>
      <c r="P94" s="80">
        <v>1.8122802272112527E-2</v>
      </c>
      <c r="Q94" s="80">
        <v>1.7021648044692739E-2</v>
      </c>
      <c r="R94" s="80">
        <v>1.7395538243626062E-2</v>
      </c>
      <c r="S94" s="80">
        <v>1.7905025516823807E-2</v>
      </c>
      <c r="T94" s="80">
        <v>2.0713116871931787E-2</v>
      </c>
      <c r="U94" s="80">
        <v>2.0848087818696882E-2</v>
      </c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>
      <c r="A95" s="4" t="s">
        <v>2348</v>
      </c>
      <c r="B95" s="4">
        <v>403</v>
      </c>
      <c r="C95" s="4" t="s">
        <v>2320</v>
      </c>
      <c r="D95" s="4">
        <v>29</v>
      </c>
      <c r="E95" s="4">
        <v>0.48009342799999999</v>
      </c>
      <c r="F95" s="4">
        <v>5.0000000000000001E-4</v>
      </c>
      <c r="G95" s="4">
        <v>6.6436350720000004</v>
      </c>
      <c r="H95" s="4">
        <v>2.7523962473329715</v>
      </c>
      <c r="I95" s="4">
        <v>7</v>
      </c>
      <c r="K95" s="228"/>
      <c r="L95" s="87">
        <v>1</v>
      </c>
      <c r="M95" s="80">
        <v>1.4183772354858605E-2</v>
      </c>
      <c r="N95" s="80">
        <v>1.4967090433684972E-2</v>
      </c>
      <c r="O95" s="80">
        <v>1.3840050491389415E-2</v>
      </c>
      <c r="P95" s="80">
        <v>1.9647399350934128E-2</v>
      </c>
      <c r="Q95" s="80">
        <v>1.8104131794555545E-2</v>
      </c>
      <c r="R95" s="80">
        <v>1.7569546120058566E-2</v>
      </c>
      <c r="S95" s="80">
        <v>2.2941230234896266E-2</v>
      </c>
      <c r="T95" s="80">
        <v>2.1586931155192533E-2</v>
      </c>
      <c r="U95" s="80">
        <v>2.2186662053455583E-2</v>
      </c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>
      <c r="A96" s="4" t="s">
        <v>2349</v>
      </c>
      <c r="B96" s="4">
        <v>403</v>
      </c>
      <c r="C96" s="4" t="s">
        <v>2320</v>
      </c>
      <c r="D96" s="4">
        <v>30</v>
      </c>
      <c r="E96" s="4">
        <v>0.48009342799999999</v>
      </c>
      <c r="F96" s="4">
        <v>0.01</v>
      </c>
      <c r="G96" s="4">
        <v>8.238089854</v>
      </c>
      <c r="H96" s="4">
        <v>13.330260043594649</v>
      </c>
      <c r="I96" s="4">
        <v>7</v>
      </c>
      <c r="K96" s="228"/>
      <c r="L96" s="87">
        <v>10</v>
      </c>
      <c r="M96" s="80">
        <v>1.4896192160878877E-2</v>
      </c>
      <c r="N96" s="80">
        <v>1.5985543508479291E-2</v>
      </c>
      <c r="O96" s="80">
        <v>1.6432361977469511E-2</v>
      </c>
      <c r="P96" s="80">
        <v>2.1057875192464451E-2</v>
      </c>
      <c r="Q96" s="80">
        <v>2.1379569589324313E-2</v>
      </c>
      <c r="R96" s="80">
        <v>1.9193857965451058E-2</v>
      </c>
      <c r="S96" s="80">
        <v>0.13570193794923122</v>
      </c>
      <c r="T96" s="80">
        <v>0.1089022941230235</v>
      </c>
      <c r="U96" s="80">
        <v>0.10292128753043009</v>
      </c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>
      <c r="A97" s="4" t="s">
        <v>2350</v>
      </c>
      <c r="B97" s="4">
        <v>403</v>
      </c>
      <c r="C97" s="4" t="s">
        <v>2320</v>
      </c>
      <c r="D97" s="4">
        <v>31</v>
      </c>
      <c r="E97" s="4">
        <v>0.48009342799999999</v>
      </c>
      <c r="F97" s="106">
        <v>9.9999999999999995E-8</v>
      </c>
      <c r="G97" s="4">
        <v>9.2455212999999994E-2</v>
      </c>
      <c r="H97" s="4">
        <v>3.182587948905468E-2</v>
      </c>
      <c r="I97" s="4">
        <v>7</v>
      </c>
      <c r="K97" s="228"/>
      <c r="L97" s="87">
        <v>100</v>
      </c>
      <c r="M97" s="80">
        <v>2.5262042162289486E-2</v>
      </c>
      <c r="N97" s="80">
        <v>2.342123525329632E-2</v>
      </c>
      <c r="O97" s="80">
        <v>2.3894109557643824E-2</v>
      </c>
      <c r="P97" s="80">
        <v>4.8914312397851968E-2</v>
      </c>
      <c r="Q97" s="80">
        <v>5.0370113347212579E-2</v>
      </c>
      <c r="R97" s="80">
        <v>4.8977457587729485E-2</v>
      </c>
      <c r="S97" s="80">
        <v>1.0400788436268067</v>
      </c>
      <c r="T97" s="80">
        <v>1.0690736938170202</v>
      </c>
      <c r="U97" s="80">
        <v>1.1750518075063319</v>
      </c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>
      <c r="A98" s="4" t="s">
        <v>2351</v>
      </c>
      <c r="B98" s="4">
        <v>403</v>
      </c>
      <c r="C98" s="4" t="s">
        <v>2320</v>
      </c>
      <c r="D98" s="4">
        <v>32</v>
      </c>
      <c r="E98" s="4">
        <v>0.48009342799999999</v>
      </c>
      <c r="F98" s="106">
        <v>1.0000000000000001E-5</v>
      </c>
      <c r="G98" s="4">
        <v>9.7034096E-2</v>
      </c>
      <c r="H98" s="4">
        <v>3.3147172319569679E-2</v>
      </c>
      <c r="I98" s="4">
        <v>7</v>
      </c>
      <c r="K98" s="228"/>
      <c r="L98" s="87">
        <v>500</v>
      </c>
      <c r="M98" s="80">
        <v>3.0918514946962388E-2</v>
      </c>
      <c r="N98" s="80">
        <v>3.2899366643209006E-2</v>
      </c>
      <c r="O98" s="80">
        <v>3.3034978212224703E-2</v>
      </c>
      <c r="P98" s="80">
        <v>0.11702775073028238</v>
      </c>
      <c r="Q98" s="80">
        <v>0.10417150825005811</v>
      </c>
      <c r="R98" s="80">
        <v>8.2839871699975337E-2</v>
      </c>
      <c r="S98" s="80">
        <v>2.4283706148392619</v>
      </c>
      <c r="T98" s="80">
        <v>1.9409079844206427</v>
      </c>
      <c r="U98" s="80">
        <v>2.0245549804317635</v>
      </c>
      <c r="V98" t="s">
        <v>1166</v>
      </c>
      <c r="W98">
        <f>M99-M94</f>
        <v>4.9767452611403952E-2</v>
      </c>
      <c r="X98">
        <f t="shared" ref="X98:AE98" si="22">N99-N94</f>
        <v>5.4949002049766875E-2</v>
      </c>
      <c r="Y98">
        <f t="shared" si="22"/>
        <v>3.7545244678589718E-2</v>
      </c>
      <c r="Z98">
        <f t="shared" si="22"/>
        <v>0.29602210170106086</v>
      </c>
      <c r="AA98">
        <f t="shared" si="22"/>
        <v>0.3038370544537326</v>
      </c>
      <c r="AB98">
        <f t="shared" si="22"/>
        <v>0.31658514619895212</v>
      </c>
      <c r="AC98">
        <f t="shared" si="22"/>
        <v>4.2159039144006876</v>
      </c>
      <c r="AD98">
        <f t="shared" si="22"/>
        <v>4.2130958230455802</v>
      </c>
      <c r="AE98">
        <f t="shared" si="22"/>
        <v>4.095359692807766</v>
      </c>
      <c r="AF98"/>
      <c r="AG98"/>
      <c r="AH98"/>
    </row>
    <row r="99" spans="1:34">
      <c r="A99" s="4" t="s">
        <v>2352</v>
      </c>
      <c r="B99" s="4">
        <v>403</v>
      </c>
      <c r="C99" s="4" t="s">
        <v>2320</v>
      </c>
      <c r="D99" s="4">
        <v>33</v>
      </c>
      <c r="E99" s="4">
        <v>0.48009342799999999</v>
      </c>
      <c r="F99" s="106">
        <v>5.0000000000000002E-5</v>
      </c>
      <c r="G99" s="4">
        <v>0.184694197</v>
      </c>
      <c r="H99" s="4">
        <v>6.4794527105246122E-2</v>
      </c>
      <c r="I99" s="4">
        <v>7</v>
      </c>
      <c r="K99" s="228"/>
      <c r="L99" s="87">
        <v>2000</v>
      </c>
      <c r="M99" s="80">
        <v>6.4595710401772227E-2</v>
      </c>
      <c r="N99" s="80">
        <v>7.0637398046520999E-2</v>
      </c>
      <c r="O99" s="80">
        <v>5.251233511227469E-2</v>
      </c>
      <c r="P99" s="80">
        <v>0.31414490397317341</v>
      </c>
      <c r="Q99" s="80">
        <v>0.32085870249842535</v>
      </c>
      <c r="R99" s="80">
        <v>0.33398068444257817</v>
      </c>
      <c r="S99" s="80">
        <v>4.2338089399175116</v>
      </c>
      <c r="T99" s="80">
        <v>4.2338089399175116</v>
      </c>
      <c r="U99" s="80">
        <v>4.1162077806264632</v>
      </c>
      <c r="V99" t="s">
        <v>1167</v>
      </c>
      <c r="W99">
        <f t="shared" ref="W99:AB99" si="23">M99/M94</f>
        <v>4.3562575802890686</v>
      </c>
      <c r="X99">
        <f t="shared" si="23"/>
        <v>4.5025251823791059</v>
      </c>
      <c r="Y99">
        <f t="shared" si="23"/>
        <v>3.5085199321098703</v>
      </c>
      <c r="Z99">
        <f t="shared" si="23"/>
        <v>17.334234477445101</v>
      </c>
      <c r="AA99">
        <f t="shared" si="23"/>
        <v>18.850037414471593</v>
      </c>
      <c r="AB99">
        <f t="shared" si="23"/>
        <v>19.199215325513297</v>
      </c>
      <c r="AC99">
        <f>S99/S94</f>
        <v>236.45925195355721</v>
      </c>
      <c r="AD99">
        <f t="shared" ref="AD99" si="24">T99/T94</f>
        <v>204.4023101928575</v>
      </c>
      <c r="AE99">
        <f>U99/U94</f>
        <v>197.43814475565406</v>
      </c>
      <c r="AF99">
        <f>AVERAGE(W99:Y99)</f>
        <v>4.1224342315926812</v>
      </c>
      <c r="AG99">
        <f>AVERAGE(Z99:AB99)</f>
        <v>18.461162405809997</v>
      </c>
      <c r="AH99">
        <f>AVERAGE(AC99:AE99)</f>
        <v>212.76656896735628</v>
      </c>
    </row>
    <row r="100" spans="1:34">
      <c r="A100" s="4" t="s">
        <v>2353</v>
      </c>
      <c r="B100" s="4">
        <v>403</v>
      </c>
      <c r="C100" s="4" t="s">
        <v>2320</v>
      </c>
      <c r="D100" s="4">
        <v>34</v>
      </c>
      <c r="E100" s="4">
        <v>0.48009342799999999</v>
      </c>
      <c r="F100" s="4">
        <v>1E-4</v>
      </c>
      <c r="G100" s="4">
        <v>0.462822864</v>
      </c>
      <c r="H100" s="4">
        <v>0.16287172093941532</v>
      </c>
      <c r="I100" s="4">
        <v>7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>
      <c r="A101" s="4" t="s">
        <v>2354</v>
      </c>
      <c r="B101" s="4">
        <v>403</v>
      </c>
      <c r="C101" s="4" t="s">
        <v>2320</v>
      </c>
      <c r="D101" s="4">
        <v>35</v>
      </c>
      <c r="E101" s="4">
        <v>0.48009342799999999</v>
      </c>
      <c r="F101" s="4">
        <v>5.0000000000000001E-4</v>
      </c>
      <c r="G101" s="4">
        <v>6.7281160079999998</v>
      </c>
      <c r="H101" s="4">
        <v>2.7523962473329715</v>
      </c>
      <c r="I101" s="4">
        <v>7</v>
      </c>
      <c r="K101"/>
      <c r="L101"/>
      <c r="M101"/>
      <c r="N101"/>
      <c r="O101"/>
      <c r="P101"/>
      <c r="Q101"/>
      <c r="R101"/>
      <c r="S101"/>
      <c r="T101"/>
      <c r="U101"/>
      <c r="V101" t="s">
        <v>1168</v>
      </c>
      <c r="W101">
        <f>W98+W99</f>
        <v>4.4060250329004722</v>
      </c>
      <c r="X101">
        <f t="shared" ref="X101:AE101" si="25">X98+X99</f>
        <v>4.5574741844288731</v>
      </c>
      <c r="Y101">
        <f t="shared" si="25"/>
        <v>3.5460651767884599</v>
      </c>
      <c r="Z101">
        <f t="shared" si="25"/>
        <v>17.630256579146163</v>
      </c>
      <c r="AA101">
        <f t="shared" si="25"/>
        <v>19.153874468925327</v>
      </c>
      <c r="AB101">
        <f t="shared" si="25"/>
        <v>19.51580047171225</v>
      </c>
      <c r="AC101" s="67">
        <f>AC98+AC99</f>
        <v>240.6751558679579</v>
      </c>
      <c r="AD101" s="67">
        <f t="shared" si="25"/>
        <v>208.61540601590309</v>
      </c>
      <c r="AE101" s="67">
        <f t="shared" si="25"/>
        <v>201.53350444846183</v>
      </c>
      <c r="AF101"/>
      <c r="AG101"/>
      <c r="AH101"/>
    </row>
    <row r="102" spans="1:34">
      <c r="A102" s="4" t="s">
        <v>2355</v>
      </c>
      <c r="B102" s="4">
        <v>403</v>
      </c>
      <c r="C102" s="4" t="s">
        <v>2320</v>
      </c>
      <c r="D102" s="4">
        <v>36</v>
      </c>
      <c r="E102" s="4">
        <v>0.48009342799999999</v>
      </c>
      <c r="F102" s="4">
        <v>0.01</v>
      </c>
      <c r="G102" s="4">
        <v>8.3104782260000007</v>
      </c>
      <c r="H102" s="4">
        <v>13.330260043594649</v>
      </c>
      <c r="I102" s="4">
        <v>7</v>
      </c>
    </row>
    <row r="103" spans="1:34" ht="17.25">
      <c r="A103" s="4" t="s">
        <v>2356</v>
      </c>
      <c r="B103" s="4">
        <v>403</v>
      </c>
      <c r="C103" s="4" t="s">
        <v>2320</v>
      </c>
      <c r="D103" s="4">
        <v>37</v>
      </c>
      <c r="E103" s="4">
        <v>3.315980707</v>
      </c>
      <c r="F103" s="106">
        <v>9.9999999999999995E-8</v>
      </c>
      <c r="G103" s="4">
        <v>8.6439829999999995E-2</v>
      </c>
      <c r="H103" s="4">
        <v>7.4300282729353101E-2</v>
      </c>
      <c r="I103" s="4">
        <v>7</v>
      </c>
      <c r="K103"/>
      <c r="L103"/>
      <c r="M103" s="224" t="s">
        <v>1684</v>
      </c>
      <c r="N103" s="224"/>
      <c r="O103" s="224"/>
      <c r="P103" s="224"/>
      <c r="Q103" s="224"/>
      <c r="R103" s="224"/>
      <c r="S103" s="224"/>
      <c r="T103" s="224"/>
      <c r="U103" s="224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>
      <c r="A104" s="4" t="s">
        <v>2357</v>
      </c>
      <c r="B104" s="4">
        <v>403</v>
      </c>
      <c r="C104" s="4" t="s">
        <v>2320</v>
      </c>
      <c r="D104" s="4">
        <v>38</v>
      </c>
      <c r="E104" s="4">
        <v>3.315980707</v>
      </c>
      <c r="F104" s="106">
        <v>1.0000000000000001E-5</v>
      </c>
      <c r="G104" s="4">
        <v>0.144816946</v>
      </c>
      <c r="H104" s="4">
        <v>0.13692045381462745</v>
      </c>
      <c r="I104" s="4">
        <v>7</v>
      </c>
      <c r="K104" s="82" t="s">
        <v>2295</v>
      </c>
      <c r="L104" s="51"/>
      <c r="M104" s="48">
        <v>1.4566296728971966E-2</v>
      </c>
      <c r="N104" s="48">
        <v>1.3647739715313627E-2</v>
      </c>
      <c r="O104" s="48">
        <v>1.4850434905593665E-2</v>
      </c>
      <c r="P104" s="48">
        <v>0.50441357354750016</v>
      </c>
      <c r="Q104" s="48">
        <v>0.47348653874758295</v>
      </c>
      <c r="R104" s="48">
        <v>0.46238017154389505</v>
      </c>
      <c r="S104" s="48">
        <v>3.4532262710643815</v>
      </c>
      <c r="T104" s="48">
        <v>3.1536521318499067</v>
      </c>
      <c r="U104" s="48">
        <v>3.3410637184351692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>
      <c r="A105" s="4" t="s">
        <v>2358</v>
      </c>
      <c r="B105" s="4">
        <v>403</v>
      </c>
      <c r="C105" s="4" t="s">
        <v>2320</v>
      </c>
      <c r="D105" s="4">
        <v>39</v>
      </c>
      <c r="E105" s="4">
        <v>3.315980707</v>
      </c>
      <c r="F105" s="106">
        <v>5.0000000000000002E-5</v>
      </c>
      <c r="G105" s="4">
        <v>1.8173252529999999</v>
      </c>
      <c r="H105" s="4">
        <v>1.5384953986357355</v>
      </c>
      <c r="I105" s="4">
        <v>7</v>
      </c>
      <c r="K105" s="52" t="s">
        <v>787</v>
      </c>
      <c r="L105" s="53"/>
      <c r="M105" s="226">
        <v>0</v>
      </c>
      <c r="N105" s="226"/>
      <c r="O105" s="226"/>
      <c r="P105" s="226">
        <v>20</v>
      </c>
      <c r="Q105" s="226"/>
      <c r="R105" s="226"/>
      <c r="S105" s="226">
        <v>500</v>
      </c>
      <c r="T105" s="226"/>
      <c r="U105" s="226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>
      <c r="A106" s="4" t="s">
        <v>2359</v>
      </c>
      <c r="B106" s="4">
        <v>403</v>
      </c>
      <c r="C106" s="4" t="s">
        <v>2320</v>
      </c>
      <c r="D106" s="4">
        <v>40</v>
      </c>
      <c r="E106" s="4">
        <v>3.315980707</v>
      </c>
      <c r="F106" s="4">
        <v>1E-4</v>
      </c>
      <c r="G106" s="4">
        <v>5.0966913859999998</v>
      </c>
      <c r="H106" s="4">
        <v>4.8994859374567516</v>
      </c>
      <c r="I106" s="4">
        <v>7</v>
      </c>
      <c r="K106" s="225" t="s">
        <v>789</v>
      </c>
      <c r="L106" s="49">
        <v>0</v>
      </c>
      <c r="M106" s="48">
        <v>4.0989075139688101E-2</v>
      </c>
      <c r="N106" s="48">
        <v>3.9258402987728973E-2</v>
      </c>
      <c r="O106" s="48">
        <v>4.094773167241815E-2</v>
      </c>
      <c r="P106" s="48">
        <v>6.332567489948307E-2</v>
      </c>
      <c r="Q106" s="48">
        <v>6.5356004250797031E-2</v>
      </c>
      <c r="R106" s="48">
        <v>6.0919742753942394E-2</v>
      </c>
      <c r="S106" s="48">
        <v>6.8378438331854474E-2</v>
      </c>
      <c r="T106" s="48">
        <v>7.802599076361294E-2</v>
      </c>
      <c r="U106" s="48">
        <v>6.6280078040320836E-2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>
      <c r="A107" s="4" t="s">
        <v>2360</v>
      </c>
      <c r="B107" s="4">
        <v>403</v>
      </c>
      <c r="C107" s="4" t="s">
        <v>2320</v>
      </c>
      <c r="D107" s="4">
        <v>41</v>
      </c>
      <c r="E107" s="4">
        <v>3.315980707</v>
      </c>
      <c r="F107" s="4">
        <v>5.0000000000000001E-4</v>
      </c>
      <c r="G107" s="4">
        <v>7.0484209680000003</v>
      </c>
      <c r="H107" s="4">
        <v>13.543832009737446</v>
      </c>
      <c r="I107" s="4">
        <v>7</v>
      </c>
      <c r="K107" s="225"/>
      <c r="L107" s="54">
        <v>0.01</v>
      </c>
      <c r="M107" s="48">
        <v>3.516781836130306E-2</v>
      </c>
      <c r="N107" s="48">
        <v>3.6026295303174465E-2</v>
      </c>
      <c r="O107" s="48">
        <v>3.4625237583670775E-2</v>
      </c>
      <c r="P107" s="48">
        <v>5.1285303568408595E-2</v>
      </c>
      <c r="Q107" s="48">
        <v>6.169532938633588E-2</v>
      </c>
      <c r="R107" s="48">
        <v>5.8560552407932023E-2</v>
      </c>
      <c r="S107" s="48">
        <v>8.5405883095568749E-2</v>
      </c>
      <c r="T107" s="48">
        <v>7.3773964622391705E-2</v>
      </c>
      <c r="U107" s="48">
        <v>7.2951331114808657E-2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>
      <c r="A108" s="4" t="s">
        <v>2361</v>
      </c>
      <c r="B108" s="4">
        <v>403</v>
      </c>
      <c r="C108" s="4" t="s">
        <v>2320</v>
      </c>
      <c r="D108" s="4">
        <v>42</v>
      </c>
      <c r="E108" s="4">
        <v>3.315980707</v>
      </c>
      <c r="F108" s="4">
        <v>0.01</v>
      </c>
      <c r="G108" s="4">
        <v>6.3574497980000002</v>
      </c>
      <c r="H108" s="4">
        <v>13.609983884480263</v>
      </c>
      <c r="I108" s="4">
        <v>7</v>
      </c>
      <c r="K108" s="225"/>
      <c r="L108" s="54">
        <v>0.1</v>
      </c>
      <c r="M108" s="48">
        <v>3.6484588050574335E-2</v>
      </c>
      <c r="N108" s="48">
        <v>3.5980043970911549E-2</v>
      </c>
      <c r="O108" s="48">
        <v>3.4500253678335868E-2</v>
      </c>
      <c r="P108" s="48">
        <v>6.0652574335584609E-2</v>
      </c>
      <c r="Q108" s="48">
        <v>6.8908538763844243E-2</v>
      </c>
      <c r="R108" s="48">
        <v>6.3122191877367645E-2</v>
      </c>
      <c r="S108" s="48">
        <v>0.29677161761350668</v>
      </c>
      <c r="T108" s="48">
        <v>0.26783781123905126</v>
      </c>
      <c r="U108" s="48">
        <v>0.24987923872089654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>
      <c r="A109" s="4" t="s">
        <v>2362</v>
      </c>
      <c r="B109" s="4">
        <v>403</v>
      </c>
      <c r="C109" s="4" t="s">
        <v>2320</v>
      </c>
      <c r="D109" s="4">
        <v>43</v>
      </c>
      <c r="E109" s="4">
        <v>3.315980707</v>
      </c>
      <c r="F109" s="106">
        <v>9.9999999999999995E-8</v>
      </c>
      <c r="G109" s="4">
        <v>0.101499665</v>
      </c>
      <c r="H109" s="4">
        <v>7.4300282729353101E-2</v>
      </c>
      <c r="I109" s="4">
        <v>7</v>
      </c>
      <c r="K109" s="225"/>
      <c r="L109" s="54">
        <v>1</v>
      </c>
      <c r="M109" s="48">
        <v>3.3372073717416566E-2</v>
      </c>
      <c r="N109" s="48">
        <v>3.5746043037524454E-2</v>
      </c>
      <c r="O109" s="48">
        <v>3.6360575709115391E-2</v>
      </c>
      <c r="P109" s="48">
        <v>0.31309148264984227</v>
      </c>
      <c r="Q109" s="48">
        <v>0.34774008921807931</v>
      </c>
      <c r="R109" s="48">
        <v>0.31855762933857235</v>
      </c>
      <c r="S109" s="48">
        <v>4.3856047142456269</v>
      </c>
      <c r="T109" s="48">
        <v>4.1665095148294187</v>
      </c>
      <c r="U109" s="48">
        <v>4.0349144698785224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>
      <c r="A110" s="4" t="s">
        <v>2363</v>
      </c>
      <c r="B110" s="4">
        <v>403</v>
      </c>
      <c r="C110" s="4" t="s">
        <v>2320</v>
      </c>
      <c r="D110" s="4">
        <v>44</v>
      </c>
      <c r="E110" s="4">
        <v>3.315980707</v>
      </c>
      <c r="F110" s="106">
        <v>1.0000000000000001E-5</v>
      </c>
      <c r="G110" s="4">
        <v>0.159304047</v>
      </c>
      <c r="H110" s="4">
        <v>0.13692045381462745</v>
      </c>
      <c r="I110" s="4">
        <v>7</v>
      </c>
      <c r="K110" s="225"/>
      <c r="L110" s="54">
        <v>10</v>
      </c>
      <c r="M110" s="48">
        <v>3.8187622789783889E-2</v>
      </c>
      <c r="N110" s="48">
        <v>3.8775693384794904E-2</v>
      </c>
      <c r="O110" s="48">
        <v>3.5920516304347824E-2</v>
      </c>
      <c r="P110" s="48">
        <v>1.1518180322474501</v>
      </c>
      <c r="Q110" s="48">
        <v>1.2780931227377428</v>
      </c>
      <c r="R110" s="48">
        <v>1.2781920241286866</v>
      </c>
      <c r="S110" s="48">
        <v>5.9707455842391308</v>
      </c>
      <c r="T110" s="48">
        <v>6.3370531744620315</v>
      </c>
      <c r="U110" s="48">
        <v>6.0480978919311852</v>
      </c>
      <c r="V110" t="s">
        <v>1166</v>
      </c>
      <c r="W110">
        <f>M111-M106</f>
        <v>-6.2697754174424955E-3</v>
      </c>
      <c r="X110">
        <f t="shared" ref="X110:AE110" si="26">N111-N106</f>
        <v>1.0261640513771764E-3</v>
      </c>
      <c r="Y110">
        <f t="shared" si="26"/>
        <v>-4.0375338033161665E-3</v>
      </c>
      <c r="Z110">
        <f t="shared" si="26"/>
        <v>1.7463748625973179</v>
      </c>
      <c r="AA110">
        <f t="shared" si="26"/>
        <v>1.7354455823949348</v>
      </c>
      <c r="AB110">
        <f t="shared" si="26"/>
        <v>1.6921867537851289</v>
      </c>
      <c r="AC110">
        <f t="shared" si="26"/>
        <v>6.0958166585308238</v>
      </c>
      <c r="AD110">
        <f t="shared" si="26"/>
        <v>5.9409033557519413</v>
      </c>
      <c r="AE110">
        <f t="shared" si="26"/>
        <v>5.870017434864419</v>
      </c>
      <c r="AF110"/>
      <c r="AG110"/>
      <c r="AH110"/>
    </row>
    <row r="111" spans="1:34">
      <c r="A111" s="4" t="s">
        <v>2364</v>
      </c>
      <c r="B111" s="4">
        <v>403</v>
      </c>
      <c r="C111" s="4" t="s">
        <v>2320</v>
      </c>
      <c r="D111" s="4">
        <v>45</v>
      </c>
      <c r="E111" s="4">
        <v>3.315980707</v>
      </c>
      <c r="F111" s="106">
        <v>5.0000000000000002E-5</v>
      </c>
      <c r="G111" s="4">
        <v>2.0526730870000001</v>
      </c>
      <c r="H111" s="4">
        <v>1.5384953986357355</v>
      </c>
      <c r="I111" s="4">
        <v>7</v>
      </c>
      <c r="K111" s="225"/>
      <c r="L111" s="54">
        <v>100</v>
      </c>
      <c r="M111" s="48">
        <v>3.4719299722245606E-2</v>
      </c>
      <c r="N111" s="48">
        <v>4.0284567039106149E-2</v>
      </c>
      <c r="O111" s="48">
        <v>3.6910197869101984E-2</v>
      </c>
      <c r="P111" s="48">
        <v>1.8097005374968009</v>
      </c>
      <c r="Q111" s="48">
        <v>1.8008015866457319</v>
      </c>
      <c r="R111" s="48">
        <v>1.7531064965390712</v>
      </c>
      <c r="S111" s="48">
        <v>6.1641950968626782</v>
      </c>
      <c r="T111" s="48">
        <v>6.018929346515554</v>
      </c>
      <c r="U111" s="48">
        <v>5.9362975129047397</v>
      </c>
      <c r="V111" t="s">
        <v>1167</v>
      </c>
      <c r="W111">
        <f t="shared" ref="W111:AE111" si="27">M111/M106</f>
        <v>0.84703789007008556</v>
      </c>
      <c r="X111">
        <f t="shared" si="27"/>
        <v>1.0261387110346267</v>
      </c>
      <c r="Y111">
        <f t="shared" si="27"/>
        <v>0.9013978640961986</v>
      </c>
      <c r="Z111">
        <f t="shared" si="27"/>
        <v>28.577674700969883</v>
      </c>
      <c r="AA111">
        <f t="shared" si="27"/>
        <v>27.553728342010302</v>
      </c>
      <c r="AB111">
        <f t="shared" si="27"/>
        <v>28.777312859313081</v>
      </c>
      <c r="AC111">
        <f t="shared" si="27"/>
        <v>90.14822869961705</v>
      </c>
      <c r="AD111">
        <f t="shared" si="27"/>
        <v>77.140056635108493</v>
      </c>
      <c r="AE111">
        <f t="shared" si="27"/>
        <v>89.563828052427027</v>
      </c>
      <c r="AF111">
        <f>AVERAGE(W111:Y111)</f>
        <v>0.92485815506697033</v>
      </c>
      <c r="AG111">
        <f>AVERAGE(Z111:AB111)</f>
        <v>28.302905300764422</v>
      </c>
      <c r="AH111">
        <f>AVERAGE(AC111:AE111)</f>
        <v>85.617371129050866</v>
      </c>
    </row>
    <row r="112" spans="1:34">
      <c r="A112" s="4" t="s">
        <v>2365</v>
      </c>
      <c r="B112" s="4">
        <v>403</v>
      </c>
      <c r="C112" s="4" t="s">
        <v>2320</v>
      </c>
      <c r="D112" s="4">
        <v>46</v>
      </c>
      <c r="E112" s="4">
        <v>3.315980707</v>
      </c>
      <c r="F112" s="4">
        <v>1E-4</v>
      </c>
      <c r="G112" s="4">
        <v>4.9388690569999998</v>
      </c>
      <c r="H112" s="4">
        <v>4.8994859374567516</v>
      </c>
      <c r="I112" s="4"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>
      <c r="A113" s="4" t="s">
        <v>2366</v>
      </c>
      <c r="B113" s="4">
        <v>403</v>
      </c>
      <c r="C113" s="4" t="s">
        <v>2320</v>
      </c>
      <c r="D113" s="4">
        <v>47</v>
      </c>
      <c r="E113" s="4">
        <v>3.315980707</v>
      </c>
      <c r="F113" s="4">
        <v>5.0000000000000001E-4</v>
      </c>
      <c r="G113" s="4">
        <v>6.8835030079999999</v>
      </c>
      <c r="H113" s="4">
        <v>13.543832009737446</v>
      </c>
      <c r="I113" s="4">
        <v>7</v>
      </c>
      <c r="K113"/>
      <c r="L113" s="49"/>
      <c r="M113"/>
      <c r="N113"/>
      <c r="O113"/>
      <c r="P113"/>
      <c r="Q113" s="48"/>
      <c r="R113" s="48"/>
      <c r="S113" s="48"/>
      <c r="T113" s="48"/>
      <c r="U113" s="48"/>
      <c r="V113" t="s">
        <v>1168</v>
      </c>
      <c r="W113">
        <f>W110+W111</f>
        <v>0.84076811465264312</v>
      </c>
      <c r="X113">
        <f t="shared" ref="X113:AE113" si="28">X110+X111</f>
        <v>1.0271648750860038</v>
      </c>
      <c r="Y113">
        <f t="shared" si="28"/>
        <v>0.89736033029288242</v>
      </c>
      <c r="Z113">
        <f t="shared" si="28"/>
        <v>30.3240495635672</v>
      </c>
      <c r="AA113">
        <f t="shared" si="28"/>
        <v>29.289173924405237</v>
      </c>
      <c r="AB113">
        <f t="shared" si="28"/>
        <v>30.469499613098211</v>
      </c>
      <c r="AC113" s="67">
        <f t="shared" si="28"/>
        <v>96.244045358147872</v>
      </c>
      <c r="AD113" s="67">
        <f t="shared" si="28"/>
        <v>83.080959990860435</v>
      </c>
      <c r="AE113" s="67">
        <f t="shared" si="28"/>
        <v>95.43384548729145</v>
      </c>
      <c r="AF113"/>
      <c r="AG113"/>
      <c r="AH113"/>
    </row>
    <row r="114" spans="1:34">
      <c r="A114" s="4" t="s">
        <v>2367</v>
      </c>
      <c r="B114" s="4">
        <v>403</v>
      </c>
      <c r="C114" s="4" t="s">
        <v>2320</v>
      </c>
      <c r="D114" s="4">
        <v>48</v>
      </c>
      <c r="E114" s="4">
        <v>3.315980707</v>
      </c>
      <c r="F114" s="4">
        <v>0.01</v>
      </c>
      <c r="G114" s="4">
        <v>6.2958131789999996</v>
      </c>
      <c r="H114" s="4">
        <v>13.609983884480263</v>
      </c>
      <c r="I114" s="4">
        <v>7</v>
      </c>
    </row>
    <row r="115" spans="1:34">
      <c r="A115" s="4" t="s">
        <v>2368</v>
      </c>
      <c r="B115" s="4">
        <v>403</v>
      </c>
      <c r="C115" s="4" t="s">
        <v>2320</v>
      </c>
      <c r="D115" s="4">
        <v>49</v>
      </c>
      <c r="E115" s="4">
        <v>3.315980707</v>
      </c>
      <c r="F115" s="106">
        <v>9.9999999999999995E-8</v>
      </c>
      <c r="G115" s="4">
        <v>9.1392179000000004E-2</v>
      </c>
      <c r="H115" s="4">
        <v>7.4300282729353101E-2</v>
      </c>
      <c r="I115" s="4">
        <v>7</v>
      </c>
    </row>
    <row r="116" spans="1:34" ht="17.25">
      <c r="A116" s="4" t="s">
        <v>2369</v>
      </c>
      <c r="B116" s="4">
        <v>403</v>
      </c>
      <c r="C116" s="4" t="s">
        <v>2320</v>
      </c>
      <c r="D116" s="4">
        <v>50</v>
      </c>
      <c r="E116" s="4">
        <v>3.315980707</v>
      </c>
      <c r="F116" s="106">
        <v>1.0000000000000001E-5</v>
      </c>
      <c r="G116" s="4">
        <v>0.143766005</v>
      </c>
      <c r="H116" s="4">
        <v>0.13692045381462745</v>
      </c>
      <c r="I116" s="4">
        <v>7</v>
      </c>
      <c r="K116" s="80"/>
      <c r="L116" s="80"/>
      <c r="M116" s="229" t="s">
        <v>1690</v>
      </c>
      <c r="N116" s="229"/>
      <c r="O116" s="229"/>
      <c r="P116" s="229"/>
      <c r="Q116" s="229"/>
      <c r="R116" s="229"/>
      <c r="S116" s="229"/>
      <c r="T116" s="229"/>
      <c r="U116" s="229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>
      <c r="A117" s="4" t="s">
        <v>2370</v>
      </c>
      <c r="B117" s="4">
        <v>403</v>
      </c>
      <c r="C117" s="4" t="s">
        <v>2320</v>
      </c>
      <c r="D117" s="4">
        <v>51</v>
      </c>
      <c r="E117" s="4">
        <v>3.315980707</v>
      </c>
      <c r="F117" s="106">
        <v>5.0000000000000002E-5</v>
      </c>
      <c r="G117" s="4">
        <v>2.0515307790000001</v>
      </c>
      <c r="H117" s="4">
        <v>1.5384953986357355</v>
      </c>
      <c r="I117" s="4">
        <v>7</v>
      </c>
      <c r="K117" s="82" t="s">
        <v>2295</v>
      </c>
      <c r="L117" s="83"/>
      <c r="M117" s="83">
        <v>7.8495155929566504E-3</v>
      </c>
      <c r="N117" s="83">
        <v>9.0799939966981838E-3</v>
      </c>
      <c r="O117" s="83">
        <v>8.2431366927102016E-3</v>
      </c>
      <c r="P117" s="80">
        <v>0.32898234612500854</v>
      </c>
      <c r="Q117" s="80">
        <v>0.32619014859658779</v>
      </c>
      <c r="R117" s="80">
        <v>0.31716091722143769</v>
      </c>
      <c r="S117" s="83">
        <v>2.7071147824928388</v>
      </c>
      <c r="T117" s="83">
        <v>2.6859133017466941</v>
      </c>
      <c r="U117" s="83">
        <v>2.7579827849507152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>
      <c r="A118" s="4" t="s">
        <v>2371</v>
      </c>
      <c r="B118" s="4">
        <v>403</v>
      </c>
      <c r="C118" s="4" t="s">
        <v>2320</v>
      </c>
      <c r="D118" s="4">
        <v>52</v>
      </c>
      <c r="E118" s="4">
        <v>3.315980707</v>
      </c>
      <c r="F118" s="4">
        <v>1E-4</v>
      </c>
      <c r="G118" s="4">
        <v>5.2550364170000003</v>
      </c>
      <c r="H118" s="4">
        <v>4.8994859374567516</v>
      </c>
      <c r="I118" s="4">
        <v>7</v>
      </c>
      <c r="K118" s="84" t="s">
        <v>1162</v>
      </c>
      <c r="L118" s="85"/>
      <c r="M118" s="223">
        <v>0</v>
      </c>
      <c r="N118" s="223"/>
      <c r="O118" s="223"/>
      <c r="P118" s="223">
        <v>20</v>
      </c>
      <c r="Q118" s="223"/>
      <c r="R118" s="223"/>
      <c r="S118" s="223">
        <v>500</v>
      </c>
      <c r="T118" s="223"/>
      <c r="U118" s="223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>
      <c r="A119" s="4" t="s">
        <v>2372</v>
      </c>
      <c r="B119" s="4">
        <v>403</v>
      </c>
      <c r="C119" s="4" t="s">
        <v>2320</v>
      </c>
      <c r="D119" s="4">
        <v>53</v>
      </c>
      <c r="E119" s="4">
        <v>3.315980707</v>
      </c>
      <c r="F119" s="4">
        <v>5.0000000000000001E-4</v>
      </c>
      <c r="G119" s="4">
        <v>7.0373151050000002</v>
      </c>
      <c r="H119" s="4">
        <v>13.543832009737446</v>
      </c>
      <c r="I119" s="4">
        <v>7</v>
      </c>
      <c r="K119" s="228" t="s">
        <v>1164</v>
      </c>
      <c r="L119" s="81">
        <v>0</v>
      </c>
      <c r="M119" s="80">
        <v>3.4439396397858188E-2</v>
      </c>
      <c r="N119" s="80">
        <v>3.3152352747614348E-2</v>
      </c>
      <c r="O119" s="80">
        <v>3.3090588988476319E-2</v>
      </c>
      <c r="P119" s="80">
        <v>5.7730250177570837E-2</v>
      </c>
      <c r="Q119" s="80">
        <v>5.447833847152362E-2</v>
      </c>
      <c r="R119" s="80">
        <v>5.6506571474931051E-2</v>
      </c>
      <c r="S119" s="80">
        <v>8.8537898882726479E-2</v>
      </c>
      <c r="T119" s="80">
        <v>9.1394344389210347E-2</v>
      </c>
      <c r="U119" s="80">
        <v>9.5024634520636475E-2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>
      <c r="A120" s="4" t="s">
        <v>2373</v>
      </c>
      <c r="B120" s="4">
        <v>403</v>
      </c>
      <c r="C120" s="4" t="s">
        <v>2320</v>
      </c>
      <c r="D120" s="4">
        <v>54</v>
      </c>
      <c r="E120" s="4">
        <v>3.315980707</v>
      </c>
      <c r="F120" s="4">
        <v>0.01</v>
      </c>
      <c r="G120" s="4">
        <v>6.3793602380000003</v>
      </c>
      <c r="H120" s="4">
        <v>13.609983884480263</v>
      </c>
      <c r="I120" s="4">
        <v>7</v>
      </c>
      <c r="K120" s="228"/>
      <c r="L120" s="87">
        <v>10</v>
      </c>
      <c r="M120" s="80">
        <v>3.4749508840864439E-2</v>
      </c>
      <c r="N120" s="80">
        <v>3.6357120101943294E-2</v>
      </c>
      <c r="O120" s="80">
        <v>3.5825929582099375E-2</v>
      </c>
      <c r="P120" s="80">
        <v>4.8135403329065303E-2</v>
      </c>
      <c r="Q120" s="80">
        <v>4.9335787451984636E-2</v>
      </c>
      <c r="R120" s="80">
        <v>5.1638812266753209E-2</v>
      </c>
      <c r="S120" s="80">
        <v>9.7194800921355726E-2</v>
      </c>
      <c r="T120" s="80">
        <v>9.9751920614596687E-2</v>
      </c>
      <c r="U120" s="80">
        <v>8.9326778209499649E-2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>
      <c r="A121" s="4" t="s">
        <v>2374</v>
      </c>
      <c r="B121" s="4">
        <v>404</v>
      </c>
      <c r="C121" s="4" t="s">
        <v>2375</v>
      </c>
      <c r="D121" s="4">
        <v>1</v>
      </c>
      <c r="E121" s="4">
        <v>1.4354824E-2</v>
      </c>
      <c r="F121" s="106">
        <v>9.9999999999999995E-8</v>
      </c>
      <c r="G121" s="4">
        <v>4.6534891000000002E-2</v>
      </c>
      <c r="H121" s="4">
        <v>5.0446798645208686E-2</v>
      </c>
      <c r="I121" s="4">
        <v>7</v>
      </c>
      <c r="K121" s="228"/>
      <c r="L121" s="87">
        <v>100</v>
      </c>
      <c r="M121" s="80">
        <v>3.5696496762410761E-2</v>
      </c>
      <c r="N121" s="80">
        <v>3.4221783481408363E-2</v>
      </c>
      <c r="O121" s="80">
        <v>3.5490180099421398E-2</v>
      </c>
      <c r="P121" s="80">
        <v>5.7993730407523522E-2</v>
      </c>
      <c r="Q121" s="80">
        <v>5.6815478550471817E-2</v>
      </c>
      <c r="R121" s="80">
        <v>5.7338348271446869E-2</v>
      </c>
      <c r="S121" s="80">
        <v>0.26609712987122297</v>
      </c>
      <c r="T121" s="80">
        <v>0.27885559921414538</v>
      </c>
      <c r="U121" s="80">
        <v>0.25108004084518104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>
      <c r="A122" s="4" t="s">
        <v>2376</v>
      </c>
      <c r="B122" s="4">
        <v>404</v>
      </c>
      <c r="C122" s="4" t="s">
        <v>2375</v>
      </c>
      <c r="D122" s="4">
        <v>2</v>
      </c>
      <c r="E122" s="4">
        <v>1.4354824E-2</v>
      </c>
      <c r="F122" s="106">
        <v>1.0000000000000001E-5</v>
      </c>
      <c r="G122" s="4">
        <v>3.5405598000000003E-2</v>
      </c>
      <c r="H122" s="4">
        <v>5.0449487143747418E-2</v>
      </c>
      <c r="I122" s="4">
        <v>7</v>
      </c>
      <c r="K122" s="228"/>
      <c r="L122" s="87">
        <v>1000</v>
      </c>
      <c r="M122" s="80">
        <v>3.1499878846619825E-2</v>
      </c>
      <c r="N122" s="80">
        <v>3.4730635651401345E-2</v>
      </c>
      <c r="O122" s="80">
        <v>3.4468575189206978E-2</v>
      </c>
      <c r="P122" s="80">
        <v>0.27529615004935837</v>
      </c>
      <c r="Q122" s="80">
        <v>0.30061619718309862</v>
      </c>
      <c r="R122" s="80">
        <v>0.30331474353939203</v>
      </c>
      <c r="S122" s="80">
        <v>3.4336079476617396</v>
      </c>
      <c r="T122" s="80">
        <v>3.5077478500730161</v>
      </c>
      <c r="U122" s="80">
        <v>3.5876602304072693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>
      <c r="A123" s="4" t="s">
        <v>2377</v>
      </c>
      <c r="B123" s="4">
        <v>404</v>
      </c>
      <c r="C123" s="4" t="s">
        <v>2375</v>
      </c>
      <c r="D123" s="4">
        <v>3</v>
      </c>
      <c r="E123" s="4">
        <v>1.4354824E-2</v>
      </c>
      <c r="F123" s="106">
        <v>5.0000000000000002E-5</v>
      </c>
      <c r="G123" s="4">
        <v>3.7095088999999998E-2</v>
      </c>
      <c r="H123" s="4">
        <v>5.0514015978682096E-2</v>
      </c>
      <c r="I123" s="4">
        <v>7</v>
      </c>
      <c r="K123" s="228"/>
      <c r="L123" s="87">
        <v>5000</v>
      </c>
      <c r="M123" s="80">
        <v>3.1222998978870476E-2</v>
      </c>
      <c r="N123" s="80">
        <v>3.2436271801752035E-2</v>
      </c>
      <c r="O123" s="80">
        <v>2.7351619401828606E-2</v>
      </c>
      <c r="P123" s="80">
        <v>1.7961384922462769</v>
      </c>
      <c r="Q123" s="80">
        <v>1.948972442783746</v>
      </c>
      <c r="R123" s="80">
        <v>1.7878006872852235</v>
      </c>
      <c r="S123" s="80">
        <v>6.5802705565968544</v>
      </c>
      <c r="T123" s="80">
        <v>6.7177936821322808</v>
      </c>
      <c r="U123" s="80">
        <v>6.9381713916484937</v>
      </c>
      <c r="V123" t="s">
        <v>1166</v>
      </c>
      <c r="W123">
        <f>M124-M119</f>
        <v>-1.0221807957561946E-3</v>
      </c>
      <c r="X123">
        <f t="shared" ref="X123:AE123" si="29">N124-N119</f>
        <v>2.327715044000124E-3</v>
      </c>
      <c r="Y123">
        <f t="shared" si="29"/>
        <v>3.9318466792177542E-3</v>
      </c>
      <c r="Z123">
        <f t="shared" si="29"/>
        <v>4.1617353986773917</v>
      </c>
      <c r="AA123">
        <f t="shared" si="29"/>
        <v>4.2310389516776885</v>
      </c>
      <c r="AB123">
        <f t="shared" si="29"/>
        <v>3.7811011644931161</v>
      </c>
      <c r="AC123">
        <f t="shared" si="29"/>
        <v>7.6353278973324628</v>
      </c>
      <c r="AD123">
        <f t="shared" si="29"/>
        <v>7.3430261154887813</v>
      </c>
      <c r="AE123">
        <f t="shared" si="29"/>
        <v>7.7287989890389026</v>
      </c>
      <c r="AF123"/>
      <c r="AG123"/>
      <c r="AH123"/>
    </row>
    <row r="124" spans="1:34">
      <c r="A124" s="4" t="s">
        <v>2378</v>
      </c>
      <c r="B124" s="4">
        <v>404</v>
      </c>
      <c r="C124" s="4" t="s">
        <v>2375</v>
      </c>
      <c r="D124" s="4">
        <v>4</v>
      </c>
      <c r="E124" s="4">
        <v>1.4354824E-2</v>
      </c>
      <c r="F124" s="4">
        <v>1E-4</v>
      </c>
      <c r="G124" s="4">
        <v>3.5857356E-2</v>
      </c>
      <c r="H124" s="4">
        <v>5.0715649059262638E-2</v>
      </c>
      <c r="I124" s="4">
        <v>7</v>
      </c>
      <c r="K124" s="228"/>
      <c r="L124" s="87">
        <v>10000</v>
      </c>
      <c r="M124" s="80">
        <v>3.3417215602101993E-2</v>
      </c>
      <c r="N124" s="80">
        <v>3.5480067791614472E-2</v>
      </c>
      <c r="O124" s="80">
        <v>3.7022435667694073E-2</v>
      </c>
      <c r="P124" s="80">
        <v>4.2194656488549622</v>
      </c>
      <c r="Q124" s="80">
        <v>4.2855172901492118</v>
      </c>
      <c r="R124" s="80">
        <v>3.8376077359680472</v>
      </c>
      <c r="S124" s="80">
        <v>7.7238657962151889</v>
      </c>
      <c r="T124" s="80">
        <v>7.4344204598779919</v>
      </c>
      <c r="U124" s="80">
        <v>7.8238236235595391</v>
      </c>
      <c r="V124" t="s">
        <v>1167</v>
      </c>
      <c r="W124">
        <f t="shared" ref="W124:AD124" si="30">M124/M119</f>
        <v>0.97031943347823124</v>
      </c>
      <c r="X124">
        <f t="shared" si="30"/>
        <v>1.0702126651981774</v>
      </c>
      <c r="Y124">
        <f t="shared" si="30"/>
        <v>1.1188206919069046</v>
      </c>
      <c r="Z124">
        <f t="shared" si="30"/>
        <v>73.089335935257992</v>
      </c>
      <c r="AA124">
        <f t="shared" si="30"/>
        <v>78.664610749633908</v>
      </c>
      <c r="AB124">
        <f t="shared" si="30"/>
        <v>67.914361742343345</v>
      </c>
      <c r="AC124">
        <f t="shared" si="30"/>
        <v>87.237961298877124</v>
      </c>
      <c r="AD124">
        <f t="shared" si="30"/>
        <v>81.344425736212955</v>
      </c>
      <c r="AE124">
        <f>U124/U119</f>
        <v>82.334687873600203</v>
      </c>
      <c r="AF124">
        <f>AVERAGE(W124:Y124)</f>
        <v>1.0531175968611044</v>
      </c>
      <c r="AG124">
        <f>AVERAGE(Z124:AB124)</f>
        <v>73.222769475745082</v>
      </c>
      <c r="AH124">
        <f>AVERAGE(AC124:AE124)</f>
        <v>83.639024969563422</v>
      </c>
    </row>
    <row r="125" spans="1:34">
      <c r="A125" s="4" t="s">
        <v>2379</v>
      </c>
      <c r="B125" s="4">
        <v>404</v>
      </c>
      <c r="C125" s="4" t="s">
        <v>2375</v>
      </c>
      <c r="D125" s="4">
        <v>5</v>
      </c>
      <c r="E125" s="4">
        <v>1.4354824E-2</v>
      </c>
      <c r="F125" s="4">
        <v>5.0000000000000001E-4</v>
      </c>
      <c r="G125" s="4">
        <v>4.2900624999999998E-2</v>
      </c>
      <c r="H125" s="4">
        <v>5.7152357991688066E-2</v>
      </c>
      <c r="I125" s="4">
        <v>7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>
      <c r="A126" s="4" t="s">
        <v>2380</v>
      </c>
      <c r="B126" s="4">
        <v>404</v>
      </c>
      <c r="C126" s="4" t="s">
        <v>2375</v>
      </c>
      <c r="D126" s="4">
        <v>6</v>
      </c>
      <c r="E126" s="4">
        <v>1.4354824E-2</v>
      </c>
      <c r="F126" s="4">
        <v>0.01</v>
      </c>
      <c r="G126" s="4">
        <v>1.0422393700000001</v>
      </c>
      <c r="H126" s="4">
        <v>1.4868042028698281</v>
      </c>
      <c r="I126" s="4">
        <v>7</v>
      </c>
      <c r="K126"/>
      <c r="L126"/>
      <c r="M126"/>
      <c r="N126"/>
      <c r="O126"/>
      <c r="P126"/>
      <c r="Q126"/>
      <c r="R126"/>
      <c r="S126"/>
      <c r="T126"/>
      <c r="U126"/>
      <c r="V126" t="s">
        <v>1168</v>
      </c>
      <c r="W126">
        <f>W123+W124</f>
        <v>0.96929725268247502</v>
      </c>
      <c r="X126">
        <f t="shared" ref="X126:AE126" si="31">X123+X124</f>
        <v>1.0725403802421776</v>
      </c>
      <c r="Y126">
        <f t="shared" si="31"/>
        <v>1.1227525385861223</v>
      </c>
      <c r="Z126">
        <f t="shared" si="31"/>
        <v>77.251071333935386</v>
      </c>
      <c r="AA126">
        <f t="shared" si="31"/>
        <v>82.895649701311598</v>
      </c>
      <c r="AB126">
        <f t="shared" si="31"/>
        <v>71.695462906836468</v>
      </c>
      <c r="AC126" s="67">
        <f t="shared" si="31"/>
        <v>94.873289196209583</v>
      </c>
      <c r="AD126" s="67">
        <f t="shared" si="31"/>
        <v>88.687451851701738</v>
      </c>
      <c r="AE126" s="67">
        <f t="shared" si="31"/>
        <v>90.06348686263911</v>
      </c>
      <c r="AF126"/>
      <c r="AG126"/>
      <c r="AH126"/>
    </row>
    <row r="127" spans="1:34">
      <c r="A127" s="4" t="s">
        <v>2381</v>
      </c>
      <c r="B127" s="4">
        <v>404</v>
      </c>
      <c r="C127" s="4" t="s">
        <v>2375</v>
      </c>
      <c r="D127" s="4">
        <v>7</v>
      </c>
      <c r="E127" s="4">
        <v>1.4354824E-2</v>
      </c>
      <c r="F127" s="106">
        <v>9.9999999999999995E-8</v>
      </c>
      <c r="G127" s="4">
        <v>4.2682422999999997E-2</v>
      </c>
      <c r="H127" s="4">
        <v>5.0446798645208686E-2</v>
      </c>
      <c r="I127" s="4">
        <v>7</v>
      </c>
    </row>
    <row r="128" spans="1:34">
      <c r="A128" s="4" t="s">
        <v>2382</v>
      </c>
      <c r="B128" s="4">
        <v>404</v>
      </c>
      <c r="C128" s="4" t="s">
        <v>2375</v>
      </c>
      <c r="D128" s="4">
        <v>8</v>
      </c>
      <c r="E128" s="4">
        <v>1.4354824E-2</v>
      </c>
      <c r="F128" s="106">
        <v>1.0000000000000001E-5</v>
      </c>
      <c r="G128" s="4">
        <v>3.9646320999999998E-2</v>
      </c>
      <c r="H128" s="4">
        <v>5.0449487143747418E-2</v>
      </c>
      <c r="I128" s="4">
        <v>7</v>
      </c>
    </row>
    <row r="129" spans="1:9">
      <c r="A129" s="4" t="s">
        <v>2383</v>
      </c>
      <c r="B129" s="4">
        <v>404</v>
      </c>
      <c r="C129" s="4" t="s">
        <v>2375</v>
      </c>
      <c r="D129" s="4">
        <v>9</v>
      </c>
      <c r="E129" s="4">
        <v>1.4354824E-2</v>
      </c>
      <c r="F129" s="106">
        <v>5.0000000000000002E-5</v>
      </c>
      <c r="G129" s="4">
        <v>3.7846827999999999E-2</v>
      </c>
      <c r="H129" s="4">
        <v>5.0514015978682096E-2</v>
      </c>
      <c r="I129" s="4">
        <v>7</v>
      </c>
    </row>
    <row r="130" spans="1:9">
      <c r="A130" s="4" t="s">
        <v>2384</v>
      </c>
      <c r="B130" s="4">
        <v>404</v>
      </c>
      <c r="C130" s="4" t="s">
        <v>2375</v>
      </c>
      <c r="D130" s="4">
        <v>10</v>
      </c>
      <c r="E130" s="4">
        <v>1.4354824E-2</v>
      </c>
      <c r="F130" s="4">
        <v>1E-4</v>
      </c>
      <c r="G130" s="4">
        <v>3.6193029000000002E-2</v>
      </c>
      <c r="H130" s="4">
        <v>5.0715649059262638E-2</v>
      </c>
      <c r="I130" s="4">
        <v>7</v>
      </c>
    </row>
    <row r="131" spans="1:9">
      <c r="A131" s="4" t="s">
        <v>2385</v>
      </c>
      <c r="B131" s="4">
        <v>404</v>
      </c>
      <c r="C131" s="4" t="s">
        <v>2375</v>
      </c>
      <c r="D131" s="4">
        <v>11</v>
      </c>
      <c r="E131" s="4">
        <v>1.4354824E-2</v>
      </c>
      <c r="F131" s="4">
        <v>5.0000000000000001E-4</v>
      </c>
      <c r="G131" s="4">
        <v>5.8637013000000002E-2</v>
      </c>
      <c r="H131" s="4">
        <v>5.7152357991688066E-2</v>
      </c>
      <c r="I131" s="4">
        <v>7</v>
      </c>
    </row>
    <row r="132" spans="1:9">
      <c r="A132" s="4" t="s">
        <v>2386</v>
      </c>
      <c r="B132" s="4">
        <v>404</v>
      </c>
      <c r="C132" s="4" t="s">
        <v>2375</v>
      </c>
      <c r="D132" s="4">
        <v>12</v>
      </c>
      <c r="E132" s="4">
        <v>1.4354824E-2</v>
      </c>
      <c r="F132" s="4">
        <v>0.01</v>
      </c>
      <c r="G132" s="4">
        <v>1.01018173</v>
      </c>
      <c r="H132" s="4">
        <v>1.4868042028698281</v>
      </c>
      <c r="I132" s="4">
        <v>7</v>
      </c>
    </row>
    <row r="133" spans="1:9">
      <c r="A133" s="4" t="s">
        <v>2387</v>
      </c>
      <c r="B133" s="4">
        <v>404</v>
      </c>
      <c r="C133" s="4" t="s">
        <v>2375</v>
      </c>
      <c r="D133" s="4">
        <v>13</v>
      </c>
      <c r="E133" s="4">
        <v>1.4354824E-2</v>
      </c>
      <c r="F133" s="106">
        <v>9.9999999999999995E-8</v>
      </c>
      <c r="G133" s="4">
        <v>4.3917813E-2</v>
      </c>
      <c r="H133" s="4">
        <v>5.0446798645208686E-2</v>
      </c>
      <c r="I133" s="4">
        <v>7</v>
      </c>
    </row>
    <row r="134" spans="1:9">
      <c r="A134" s="4" t="s">
        <v>2388</v>
      </c>
      <c r="B134" s="4">
        <v>404</v>
      </c>
      <c r="C134" s="4" t="s">
        <v>2375</v>
      </c>
      <c r="D134" s="4">
        <v>14</v>
      </c>
      <c r="E134" s="4">
        <v>1.4354824E-2</v>
      </c>
      <c r="F134" s="106">
        <v>1.0000000000000001E-5</v>
      </c>
      <c r="G134" s="4">
        <v>3.5045293999999998E-2</v>
      </c>
      <c r="H134" s="4">
        <v>5.0449487143747418E-2</v>
      </c>
      <c r="I134" s="4">
        <v>7</v>
      </c>
    </row>
    <row r="135" spans="1:9">
      <c r="A135" s="4" t="s">
        <v>2389</v>
      </c>
      <c r="B135" s="4">
        <v>404</v>
      </c>
      <c r="C135" s="4" t="s">
        <v>2375</v>
      </c>
      <c r="D135" s="4">
        <v>15</v>
      </c>
      <c r="E135" s="4">
        <v>1.4354824E-2</v>
      </c>
      <c r="F135" s="106">
        <v>5.0000000000000002E-5</v>
      </c>
      <c r="G135" s="4">
        <v>4.0643418000000001E-2</v>
      </c>
      <c r="H135" s="4">
        <v>5.0514015978682096E-2</v>
      </c>
      <c r="I135" s="4">
        <v>7</v>
      </c>
    </row>
    <row r="136" spans="1:9">
      <c r="A136" s="4" t="s">
        <v>2390</v>
      </c>
      <c r="B136" s="4">
        <v>404</v>
      </c>
      <c r="C136" s="4" t="s">
        <v>2375</v>
      </c>
      <c r="D136" s="4">
        <v>16</v>
      </c>
      <c r="E136" s="4">
        <v>1.4354824E-2</v>
      </c>
      <c r="F136" s="4">
        <v>1E-4</v>
      </c>
      <c r="G136" s="4">
        <v>3.7732073999999997E-2</v>
      </c>
      <c r="H136" s="4">
        <v>5.0715649059262638E-2</v>
      </c>
      <c r="I136" s="4">
        <v>7</v>
      </c>
    </row>
    <row r="137" spans="1:9">
      <c r="A137" s="4" t="s">
        <v>2391</v>
      </c>
      <c r="B137" s="4">
        <v>404</v>
      </c>
      <c r="C137" s="4" t="s">
        <v>2375</v>
      </c>
      <c r="D137" s="4">
        <v>17</v>
      </c>
      <c r="E137" s="4">
        <v>1.4354824E-2</v>
      </c>
      <c r="F137" s="4">
        <v>5.0000000000000001E-4</v>
      </c>
      <c r="G137" s="4">
        <v>4.5987935000000001E-2</v>
      </c>
      <c r="H137" s="4">
        <v>5.7152357991688066E-2</v>
      </c>
      <c r="I137" s="4">
        <v>7</v>
      </c>
    </row>
    <row r="138" spans="1:9">
      <c r="A138" s="4" t="s">
        <v>2392</v>
      </c>
      <c r="B138" s="4">
        <v>404</v>
      </c>
      <c r="C138" s="4" t="s">
        <v>2375</v>
      </c>
      <c r="D138" s="4">
        <v>18</v>
      </c>
      <c r="E138" s="4">
        <v>1.4354824E-2</v>
      </c>
      <c r="F138" s="4">
        <v>0.01</v>
      </c>
      <c r="G138" s="4">
        <v>1.1348250799999999</v>
      </c>
      <c r="H138" s="4">
        <v>1.4868042028698281</v>
      </c>
      <c r="I138" s="4">
        <v>7</v>
      </c>
    </row>
    <row r="139" spans="1:9">
      <c r="A139" s="4" t="s">
        <v>2393</v>
      </c>
      <c r="B139" s="4">
        <v>404</v>
      </c>
      <c r="C139" s="4" t="s">
        <v>2375</v>
      </c>
      <c r="D139" s="4">
        <v>19</v>
      </c>
      <c r="E139" s="4">
        <v>0.48009342799999999</v>
      </c>
      <c r="F139" s="106">
        <v>9.9999999999999995E-8</v>
      </c>
      <c r="G139" s="4">
        <v>6.7459030000000003E-2</v>
      </c>
      <c r="H139" s="4">
        <v>5.2518235732907606E-2</v>
      </c>
      <c r="I139" s="4">
        <v>7</v>
      </c>
    </row>
    <row r="140" spans="1:9">
      <c r="A140" s="4" t="s">
        <v>2394</v>
      </c>
      <c r="B140" s="4">
        <v>404</v>
      </c>
      <c r="C140" s="4" t="s">
        <v>2375</v>
      </c>
      <c r="D140" s="4">
        <v>20</v>
      </c>
      <c r="E140" s="4">
        <v>0.48009342799999999</v>
      </c>
      <c r="F140" s="106">
        <v>1.0000000000000001E-5</v>
      </c>
      <c r="G140" s="4">
        <v>5.8652586999999999E-2</v>
      </c>
      <c r="H140" s="4">
        <v>5.5524352559322199E-2</v>
      </c>
      <c r="I140" s="4">
        <v>7</v>
      </c>
    </row>
    <row r="141" spans="1:9">
      <c r="A141" s="4" t="s">
        <v>2395</v>
      </c>
      <c r="B141" s="4">
        <v>404</v>
      </c>
      <c r="C141" s="4" t="s">
        <v>2375</v>
      </c>
      <c r="D141" s="4">
        <v>21</v>
      </c>
      <c r="E141" s="4">
        <v>0.48009342799999999</v>
      </c>
      <c r="F141" s="106">
        <v>5.0000000000000002E-5</v>
      </c>
      <c r="G141" s="4">
        <v>0.112911371</v>
      </c>
      <c r="H141" s="4">
        <v>0.12739861806148964</v>
      </c>
      <c r="I141" s="4">
        <v>7</v>
      </c>
    </row>
    <row r="142" spans="1:9">
      <c r="A142" s="4" t="s">
        <v>2396</v>
      </c>
      <c r="B142" s="4">
        <v>404</v>
      </c>
      <c r="C142" s="4" t="s">
        <v>2375</v>
      </c>
      <c r="D142" s="4">
        <v>22</v>
      </c>
      <c r="E142" s="4">
        <v>0.48009342799999999</v>
      </c>
      <c r="F142" s="4">
        <v>1E-4</v>
      </c>
      <c r="G142" s="4">
        <v>0.27648136299999998</v>
      </c>
      <c r="H142" s="4">
        <v>0.34858867191529008</v>
      </c>
      <c r="I142" s="4">
        <v>7</v>
      </c>
    </row>
    <row r="143" spans="1:9">
      <c r="A143" s="4" t="s">
        <v>2397</v>
      </c>
      <c r="B143" s="4">
        <v>404</v>
      </c>
      <c r="C143" s="4" t="s">
        <v>2375</v>
      </c>
      <c r="D143" s="4">
        <v>23</v>
      </c>
      <c r="E143" s="4">
        <v>0.48009342799999999</v>
      </c>
      <c r="F143" s="4">
        <v>5.0000000000000001E-4</v>
      </c>
      <c r="G143" s="4">
        <v>5.579985057</v>
      </c>
      <c r="H143" s="4">
        <v>5.3828593024685238</v>
      </c>
      <c r="I143" s="4">
        <v>7</v>
      </c>
    </row>
    <row r="144" spans="1:9">
      <c r="A144" s="4" t="s">
        <v>2398</v>
      </c>
      <c r="B144" s="4">
        <v>404</v>
      </c>
      <c r="C144" s="4" t="s">
        <v>2375</v>
      </c>
      <c r="D144" s="4">
        <v>24</v>
      </c>
      <c r="E144" s="4">
        <v>0.48009342799999999</v>
      </c>
      <c r="F144" s="4">
        <v>0.01</v>
      </c>
      <c r="G144" s="4">
        <v>10.59011973</v>
      </c>
      <c r="H144" s="4">
        <v>13.596670856013072</v>
      </c>
      <c r="I144" s="4">
        <v>7</v>
      </c>
    </row>
    <row r="145" spans="1:9">
      <c r="A145" s="4" t="s">
        <v>2399</v>
      </c>
      <c r="B145" s="4">
        <v>404</v>
      </c>
      <c r="C145" s="4" t="s">
        <v>2375</v>
      </c>
      <c r="D145" s="4">
        <v>25</v>
      </c>
      <c r="E145" s="4">
        <v>0.48009342799999999</v>
      </c>
      <c r="F145" s="106">
        <v>9.9999999999999995E-8</v>
      </c>
      <c r="G145" s="4">
        <v>6.3140970000000005E-2</v>
      </c>
      <c r="H145" s="4">
        <v>5.2518235732907606E-2</v>
      </c>
      <c r="I145" s="4">
        <v>7</v>
      </c>
    </row>
    <row r="146" spans="1:9">
      <c r="A146" s="4" t="s">
        <v>2400</v>
      </c>
      <c r="B146" s="4">
        <v>404</v>
      </c>
      <c r="C146" s="4" t="s">
        <v>2375</v>
      </c>
      <c r="D146" s="4">
        <v>26</v>
      </c>
      <c r="E146" s="4">
        <v>0.48009342799999999</v>
      </c>
      <c r="F146" s="106">
        <v>1.0000000000000001E-5</v>
      </c>
      <c r="G146" s="4">
        <v>5.7491742999999998E-2</v>
      </c>
      <c r="H146" s="4">
        <v>5.5524352559322199E-2</v>
      </c>
      <c r="I146" s="4">
        <v>7</v>
      </c>
    </row>
    <row r="147" spans="1:9">
      <c r="A147" s="4" t="s">
        <v>2401</v>
      </c>
      <c r="B147" s="4">
        <v>404</v>
      </c>
      <c r="C147" s="4" t="s">
        <v>2375</v>
      </c>
      <c r="D147" s="4">
        <v>27</v>
      </c>
      <c r="E147" s="4">
        <v>0.48009342799999999</v>
      </c>
      <c r="F147" s="106">
        <v>5.0000000000000002E-5</v>
      </c>
      <c r="G147" s="4">
        <v>0.11047691499999999</v>
      </c>
      <c r="H147" s="4">
        <v>0.12739861806148964</v>
      </c>
      <c r="I147" s="4">
        <v>7</v>
      </c>
    </row>
    <row r="148" spans="1:9">
      <c r="A148" s="4" t="s">
        <v>2402</v>
      </c>
      <c r="B148" s="4">
        <v>404</v>
      </c>
      <c r="C148" s="4" t="s">
        <v>2375</v>
      </c>
      <c r="D148" s="4">
        <v>28</v>
      </c>
      <c r="E148" s="4">
        <v>0.48009342799999999</v>
      </c>
      <c r="F148" s="4">
        <v>1E-4</v>
      </c>
      <c r="G148" s="4">
        <v>0.29917967499999998</v>
      </c>
      <c r="H148" s="4">
        <v>0.34858867191529008</v>
      </c>
      <c r="I148" s="4">
        <v>7</v>
      </c>
    </row>
    <row r="149" spans="1:9">
      <c r="A149" s="4" t="s">
        <v>2403</v>
      </c>
      <c r="B149" s="4">
        <v>404</v>
      </c>
      <c r="C149" s="4" t="s">
        <v>2375</v>
      </c>
      <c r="D149" s="4">
        <v>29</v>
      </c>
      <c r="E149" s="4">
        <v>0.48009342799999999</v>
      </c>
      <c r="F149" s="4">
        <v>5.0000000000000001E-4</v>
      </c>
      <c r="G149" s="4">
        <v>5.7091577879999997</v>
      </c>
      <c r="H149" s="4">
        <v>5.3828593024685238</v>
      </c>
      <c r="I149" s="4">
        <v>7</v>
      </c>
    </row>
    <row r="150" spans="1:9">
      <c r="A150" s="4" t="s">
        <v>2404</v>
      </c>
      <c r="B150" s="4">
        <v>404</v>
      </c>
      <c r="C150" s="4" t="s">
        <v>2375</v>
      </c>
      <c r="D150" s="4">
        <v>30</v>
      </c>
      <c r="E150" s="4">
        <v>0.48009342799999999</v>
      </c>
      <c r="F150" s="4">
        <v>0.01</v>
      </c>
      <c r="G150" s="4">
        <v>10.127560000000001</v>
      </c>
      <c r="H150" s="4">
        <v>13.596670856013072</v>
      </c>
      <c r="I150" s="4">
        <v>7</v>
      </c>
    </row>
    <row r="151" spans="1:9">
      <c r="A151" s="4" t="s">
        <v>2405</v>
      </c>
      <c r="B151" s="4">
        <v>404</v>
      </c>
      <c r="C151" s="4" t="s">
        <v>2375</v>
      </c>
      <c r="D151" s="4">
        <v>31</v>
      </c>
      <c r="E151" s="4">
        <v>0.48009342799999999</v>
      </c>
      <c r="F151" s="106">
        <v>9.9999999999999995E-8</v>
      </c>
      <c r="G151" s="4">
        <v>5.9061886000000001E-2</v>
      </c>
      <c r="H151" s="4">
        <v>5.2518235732907606E-2</v>
      </c>
      <c r="I151" s="4">
        <v>7</v>
      </c>
    </row>
    <row r="152" spans="1:9">
      <c r="A152" s="4" t="s">
        <v>2406</v>
      </c>
      <c r="B152" s="4">
        <v>404</v>
      </c>
      <c r="C152" s="4" t="s">
        <v>2375</v>
      </c>
      <c r="D152" s="4">
        <v>32</v>
      </c>
      <c r="E152" s="4">
        <v>0.48009342799999999</v>
      </c>
      <c r="F152" s="106">
        <v>1.0000000000000001E-5</v>
      </c>
      <c r="G152" s="4">
        <v>5.9199421000000002E-2</v>
      </c>
      <c r="H152" s="4">
        <v>5.5524352559322199E-2</v>
      </c>
      <c r="I152" s="4">
        <v>7</v>
      </c>
    </row>
    <row r="153" spans="1:9">
      <c r="A153" s="4" t="s">
        <v>2407</v>
      </c>
      <c r="B153" s="4">
        <v>404</v>
      </c>
      <c r="C153" s="4" t="s">
        <v>2375</v>
      </c>
      <c r="D153" s="4">
        <v>33</v>
      </c>
      <c r="E153" s="4">
        <v>0.48009342799999999</v>
      </c>
      <c r="F153" s="106">
        <v>5.0000000000000002E-5</v>
      </c>
      <c r="G153" s="4">
        <v>0.114317289</v>
      </c>
      <c r="H153" s="4">
        <v>0.12739861806148964</v>
      </c>
      <c r="I153" s="4">
        <v>7</v>
      </c>
    </row>
    <row r="154" spans="1:9">
      <c r="A154" s="4" t="s">
        <v>2408</v>
      </c>
      <c r="B154" s="4">
        <v>404</v>
      </c>
      <c r="C154" s="4" t="s">
        <v>2375</v>
      </c>
      <c r="D154" s="4">
        <v>34</v>
      </c>
      <c r="E154" s="4">
        <v>0.48009342799999999</v>
      </c>
      <c r="F154" s="4">
        <v>1E-4</v>
      </c>
      <c r="G154" s="4">
        <v>0.26180377700000002</v>
      </c>
      <c r="H154" s="4">
        <v>0.34858867191529008</v>
      </c>
      <c r="I154" s="4">
        <v>7</v>
      </c>
    </row>
    <row r="155" spans="1:9">
      <c r="A155" s="4" t="s">
        <v>2409</v>
      </c>
      <c r="B155" s="4">
        <v>404</v>
      </c>
      <c r="C155" s="4" t="s">
        <v>2375</v>
      </c>
      <c r="D155" s="4">
        <v>35</v>
      </c>
      <c r="E155" s="4">
        <v>0.48009342799999999</v>
      </c>
      <c r="F155" s="4">
        <v>5.0000000000000001E-4</v>
      </c>
      <c r="G155" s="4">
        <v>5.5525805669999997</v>
      </c>
      <c r="H155" s="4">
        <v>5.3828593024685238</v>
      </c>
      <c r="I155" s="4">
        <v>7</v>
      </c>
    </row>
    <row r="156" spans="1:9">
      <c r="A156" s="4" t="s">
        <v>2410</v>
      </c>
      <c r="B156" s="4">
        <v>404</v>
      </c>
      <c r="C156" s="4" t="s">
        <v>2375</v>
      </c>
      <c r="D156" s="4">
        <v>36</v>
      </c>
      <c r="E156" s="4">
        <v>0.48009342799999999</v>
      </c>
      <c r="F156" s="4">
        <v>0.01</v>
      </c>
      <c r="G156" s="4">
        <v>10.40091893</v>
      </c>
      <c r="H156" s="4">
        <v>13.596670856013072</v>
      </c>
      <c r="I156" s="4">
        <v>7</v>
      </c>
    </row>
    <row r="157" spans="1:9">
      <c r="A157" s="4" t="s">
        <v>2411</v>
      </c>
      <c r="B157" s="4">
        <v>404</v>
      </c>
      <c r="C157" s="4" t="s">
        <v>2375</v>
      </c>
      <c r="D157" s="4">
        <v>37</v>
      </c>
      <c r="E157" s="4">
        <v>3.315980707</v>
      </c>
      <c r="F157" s="106">
        <v>9.9999999999999995E-8</v>
      </c>
      <c r="G157" s="4">
        <v>0.136195923</v>
      </c>
      <c r="H157" s="4">
        <v>0.14893929766704642</v>
      </c>
      <c r="I157" s="4">
        <v>7</v>
      </c>
    </row>
    <row r="158" spans="1:9">
      <c r="A158" s="4" t="s">
        <v>2412</v>
      </c>
      <c r="B158" s="4">
        <v>404</v>
      </c>
      <c r="C158" s="4" t="s">
        <v>2375</v>
      </c>
      <c r="D158" s="4">
        <v>38</v>
      </c>
      <c r="E158" s="4">
        <v>3.315980707</v>
      </c>
      <c r="F158" s="106">
        <v>1.0000000000000001E-5</v>
      </c>
      <c r="G158" s="4">
        <v>0.19565217400000001</v>
      </c>
      <c r="H158" s="4">
        <v>0.29028969226194751</v>
      </c>
      <c r="I158" s="4">
        <v>7</v>
      </c>
    </row>
    <row r="159" spans="1:9">
      <c r="A159" s="4" t="s">
        <v>2413</v>
      </c>
      <c r="B159" s="4">
        <v>404</v>
      </c>
      <c r="C159" s="4" t="s">
        <v>2375</v>
      </c>
      <c r="D159" s="4">
        <v>39</v>
      </c>
      <c r="E159" s="4">
        <v>3.315980707</v>
      </c>
      <c r="F159" s="106">
        <v>5.0000000000000002E-5</v>
      </c>
      <c r="G159" s="4">
        <v>1.6481016070000001</v>
      </c>
      <c r="H159" s="4">
        <v>3.2106602939757023</v>
      </c>
      <c r="I159" s="4">
        <v>7</v>
      </c>
    </row>
    <row r="160" spans="1:9">
      <c r="A160" s="4" t="s">
        <v>2414</v>
      </c>
      <c r="B160" s="4">
        <v>404</v>
      </c>
      <c r="C160" s="4" t="s">
        <v>2375</v>
      </c>
      <c r="D160" s="4">
        <v>40</v>
      </c>
      <c r="E160" s="4">
        <v>3.315980707</v>
      </c>
      <c r="F160" s="4">
        <v>1E-4</v>
      </c>
      <c r="G160" s="4">
        <v>3.8774868659999999</v>
      </c>
      <c r="H160" s="4">
        <v>8.4882928139402978</v>
      </c>
      <c r="I160" s="4">
        <v>7</v>
      </c>
    </row>
    <row r="161" spans="1:9">
      <c r="A161" s="4" t="s">
        <v>2415</v>
      </c>
      <c r="B161" s="4">
        <v>404</v>
      </c>
      <c r="C161" s="4" t="s">
        <v>2375</v>
      </c>
      <c r="D161" s="4">
        <v>41</v>
      </c>
      <c r="E161" s="4">
        <v>3.315980707</v>
      </c>
      <c r="F161" s="4">
        <v>5.0000000000000001E-4</v>
      </c>
      <c r="G161" s="4">
        <v>7.0414935749999996</v>
      </c>
      <c r="H161" s="4">
        <v>13.608258685835443</v>
      </c>
      <c r="I161" s="4">
        <v>7</v>
      </c>
    </row>
    <row r="162" spans="1:9">
      <c r="A162" s="4" t="s">
        <v>2416</v>
      </c>
      <c r="B162" s="4">
        <v>404</v>
      </c>
      <c r="C162" s="4" t="s">
        <v>2375</v>
      </c>
      <c r="D162" s="4">
        <v>42</v>
      </c>
      <c r="E162" s="4">
        <v>3.315980707</v>
      </c>
      <c r="F162" s="4">
        <v>0.01</v>
      </c>
      <c r="G162" s="4">
        <v>10.480469230000001</v>
      </c>
      <c r="H162" s="4">
        <v>13.609999909665106</v>
      </c>
      <c r="I162" s="4">
        <v>7</v>
      </c>
    </row>
    <row r="163" spans="1:9">
      <c r="A163" s="4" t="s">
        <v>2417</v>
      </c>
      <c r="B163" s="4">
        <v>404</v>
      </c>
      <c r="C163" s="4" t="s">
        <v>2375</v>
      </c>
      <c r="D163" s="4">
        <v>43</v>
      </c>
      <c r="E163" s="4">
        <v>3.315980707</v>
      </c>
      <c r="F163" s="106">
        <v>9.9999999999999995E-8</v>
      </c>
      <c r="G163" s="4">
        <v>0.12804057099999999</v>
      </c>
      <c r="H163" s="4">
        <v>0.14893929766704642</v>
      </c>
      <c r="I163" s="4">
        <v>7</v>
      </c>
    </row>
    <row r="164" spans="1:9">
      <c r="A164" s="4" t="s">
        <v>2418</v>
      </c>
      <c r="B164" s="4">
        <v>404</v>
      </c>
      <c r="C164" s="4" t="s">
        <v>2375</v>
      </c>
      <c r="D164" s="4">
        <v>44</v>
      </c>
      <c r="E164" s="4">
        <v>3.315980707</v>
      </c>
      <c r="F164" s="106">
        <v>1.0000000000000001E-5</v>
      </c>
      <c r="G164" s="4">
        <v>0.17189613200000001</v>
      </c>
      <c r="H164" s="4">
        <v>0.29028969226194751</v>
      </c>
      <c r="I164" s="4">
        <v>7</v>
      </c>
    </row>
    <row r="165" spans="1:9">
      <c r="A165" s="4" t="s">
        <v>2419</v>
      </c>
      <c r="B165" s="4">
        <v>404</v>
      </c>
      <c r="C165" s="4" t="s">
        <v>2375</v>
      </c>
      <c r="D165" s="4">
        <v>45</v>
      </c>
      <c r="E165" s="4">
        <v>3.315980707</v>
      </c>
      <c r="F165" s="106">
        <v>5.0000000000000002E-5</v>
      </c>
      <c r="G165" s="4">
        <v>1.5390625</v>
      </c>
      <c r="H165" s="4">
        <v>3.2106602939757023</v>
      </c>
      <c r="I165" s="4">
        <v>7</v>
      </c>
    </row>
    <row r="166" spans="1:9">
      <c r="A166" s="4" t="s">
        <v>2420</v>
      </c>
      <c r="B166" s="4">
        <v>404</v>
      </c>
      <c r="C166" s="4" t="s">
        <v>2375</v>
      </c>
      <c r="D166" s="4">
        <v>46</v>
      </c>
      <c r="E166" s="4">
        <v>3.315980707</v>
      </c>
      <c r="F166" s="4">
        <v>1E-4</v>
      </c>
      <c r="G166" s="4">
        <v>3.8927904209999999</v>
      </c>
      <c r="H166" s="4">
        <v>8.4882928139402978</v>
      </c>
      <c r="I166" s="4">
        <v>7</v>
      </c>
    </row>
    <row r="167" spans="1:9">
      <c r="A167" s="4" t="s">
        <v>2421</v>
      </c>
      <c r="B167" s="4">
        <v>404</v>
      </c>
      <c r="C167" s="4" t="s">
        <v>2375</v>
      </c>
      <c r="D167" s="4">
        <v>47</v>
      </c>
      <c r="E167" s="4">
        <v>3.315980707</v>
      </c>
      <c r="F167" s="4">
        <v>5.0000000000000001E-4</v>
      </c>
      <c r="G167" s="4">
        <v>7.1062089899999998</v>
      </c>
      <c r="H167" s="4">
        <v>13.608258685835443</v>
      </c>
      <c r="I167" s="4">
        <v>7</v>
      </c>
    </row>
    <row r="168" spans="1:9">
      <c r="A168" s="4" t="s">
        <v>2422</v>
      </c>
      <c r="B168" s="4">
        <v>404</v>
      </c>
      <c r="C168" s="4" t="s">
        <v>2375</v>
      </c>
      <c r="D168" s="4">
        <v>48</v>
      </c>
      <c r="E168" s="4">
        <v>3.315980707</v>
      </c>
      <c r="F168" s="4">
        <v>0.01</v>
      </c>
      <c r="G168" s="4">
        <v>11.32413837</v>
      </c>
      <c r="H168" s="4">
        <v>13.609999909665106</v>
      </c>
      <c r="I168" s="4">
        <v>7</v>
      </c>
    </row>
    <row r="169" spans="1:9">
      <c r="A169" s="4" t="s">
        <v>2423</v>
      </c>
      <c r="B169" s="4">
        <v>404</v>
      </c>
      <c r="C169" s="4" t="s">
        <v>2375</v>
      </c>
      <c r="D169" s="4">
        <v>49</v>
      </c>
      <c r="E169" s="4">
        <v>3.315980707</v>
      </c>
      <c r="F169" s="106">
        <v>9.9999999999999995E-8</v>
      </c>
      <c r="G169" s="4">
        <v>0.13567004799999999</v>
      </c>
      <c r="H169" s="4">
        <v>0.14893929766704642</v>
      </c>
      <c r="I169" s="4">
        <v>7</v>
      </c>
    </row>
    <row r="170" spans="1:9">
      <c r="A170" s="4" t="s">
        <v>2424</v>
      </c>
      <c r="B170" s="4">
        <v>404</v>
      </c>
      <c r="C170" s="4" t="s">
        <v>2375</v>
      </c>
      <c r="D170" s="4">
        <v>50</v>
      </c>
      <c r="E170" s="4">
        <v>3.315980707</v>
      </c>
      <c r="F170" s="106">
        <v>1.0000000000000001E-5</v>
      </c>
      <c r="G170" s="4">
        <v>0.191342865</v>
      </c>
      <c r="H170" s="4">
        <v>0.29028969226194751</v>
      </c>
      <c r="I170" s="4">
        <v>7</v>
      </c>
    </row>
    <row r="171" spans="1:9">
      <c r="A171" s="4" t="s">
        <v>2425</v>
      </c>
      <c r="B171" s="4">
        <v>404</v>
      </c>
      <c r="C171" s="4" t="s">
        <v>2375</v>
      </c>
      <c r="D171" s="4">
        <v>51</v>
      </c>
      <c r="E171" s="4">
        <v>3.315980707</v>
      </c>
      <c r="F171" s="106">
        <v>5.0000000000000002E-5</v>
      </c>
      <c r="G171" s="4">
        <v>1.587876461</v>
      </c>
      <c r="H171" s="4">
        <v>3.2106602939757023</v>
      </c>
      <c r="I171" s="4">
        <v>7</v>
      </c>
    </row>
    <row r="172" spans="1:9">
      <c r="A172" s="4" t="s">
        <v>2426</v>
      </c>
      <c r="B172" s="4">
        <v>404</v>
      </c>
      <c r="C172" s="4" t="s">
        <v>2375</v>
      </c>
      <c r="D172" s="4">
        <v>52</v>
      </c>
      <c r="E172" s="4">
        <v>3.315980707</v>
      </c>
      <c r="F172" s="4">
        <v>1E-4</v>
      </c>
      <c r="G172" s="4">
        <v>3.9128715449999998</v>
      </c>
      <c r="H172" s="4">
        <v>8.4882928139402978</v>
      </c>
      <c r="I172" s="4">
        <v>7</v>
      </c>
    </row>
    <row r="173" spans="1:9">
      <c r="A173" s="4" t="s">
        <v>2427</v>
      </c>
      <c r="B173" s="4">
        <v>404</v>
      </c>
      <c r="C173" s="4" t="s">
        <v>2375</v>
      </c>
      <c r="D173" s="4">
        <v>53</v>
      </c>
      <c r="E173" s="4">
        <v>3.315980707</v>
      </c>
      <c r="F173" s="4">
        <v>5.0000000000000001E-4</v>
      </c>
      <c r="G173" s="4">
        <v>6.9442168449999997</v>
      </c>
      <c r="H173" s="4">
        <v>13.608258685835443</v>
      </c>
      <c r="I173" s="4">
        <v>7</v>
      </c>
    </row>
    <row r="174" spans="1:9">
      <c r="A174" s="4" t="s">
        <v>2428</v>
      </c>
      <c r="B174" s="4">
        <v>404</v>
      </c>
      <c r="C174" s="4" t="s">
        <v>2375</v>
      </c>
      <c r="D174" s="4">
        <v>54</v>
      </c>
      <c r="E174" s="4">
        <v>3.315980707</v>
      </c>
      <c r="F174" s="4">
        <v>0.01</v>
      </c>
      <c r="G174" s="4">
        <v>9.6101923530000004</v>
      </c>
      <c r="H174" s="4">
        <v>13.609999909665106</v>
      </c>
      <c r="I174" s="4">
        <v>7</v>
      </c>
    </row>
    <row r="175" spans="1:9">
      <c r="A175" s="4" t="s">
        <v>2429</v>
      </c>
      <c r="B175" s="4">
        <v>405</v>
      </c>
      <c r="C175" s="4" t="s">
        <v>2430</v>
      </c>
      <c r="D175" s="4">
        <v>1</v>
      </c>
      <c r="E175" s="4">
        <v>1.4354824E-2</v>
      </c>
      <c r="F175" s="106">
        <v>1.0000000000000001E-5</v>
      </c>
      <c r="G175" s="4">
        <v>5.7933981000000002E-2</v>
      </c>
      <c r="H175" s="4">
        <v>6.0706678364600808E-2</v>
      </c>
      <c r="I175" s="4">
        <v>7</v>
      </c>
    </row>
    <row r="176" spans="1:9">
      <c r="A176" s="4" t="s">
        <v>2431</v>
      </c>
      <c r="B176" s="4">
        <v>405</v>
      </c>
      <c r="C176" s="4" t="s">
        <v>2430</v>
      </c>
      <c r="D176" s="4">
        <v>2</v>
      </c>
      <c r="E176" s="4">
        <v>1.4354824E-2</v>
      </c>
      <c r="F176" s="4">
        <v>1E-4</v>
      </c>
      <c r="G176" s="4">
        <v>5.1336428000000003E-2</v>
      </c>
      <c r="H176" s="4">
        <v>6.071089891038723E-2</v>
      </c>
      <c r="I176" s="4">
        <v>7</v>
      </c>
    </row>
    <row r="177" spans="1:9">
      <c r="A177" s="4" t="s">
        <v>2432</v>
      </c>
      <c r="B177" s="4">
        <v>405</v>
      </c>
      <c r="C177" s="4" t="s">
        <v>2430</v>
      </c>
      <c r="D177" s="4">
        <v>3</v>
      </c>
      <c r="E177" s="4">
        <v>1.4354824E-2</v>
      </c>
      <c r="F177" s="4">
        <v>5.0000000000000001E-4</v>
      </c>
      <c r="G177" s="4">
        <v>5.6386143E-2</v>
      </c>
      <c r="H177" s="4">
        <v>6.081299458186859E-2</v>
      </c>
      <c r="I177" s="4">
        <v>7</v>
      </c>
    </row>
    <row r="178" spans="1:9">
      <c r="A178" s="4" t="s">
        <v>2433</v>
      </c>
      <c r="B178" s="4">
        <v>405</v>
      </c>
      <c r="C178" s="4" t="s">
        <v>2430</v>
      </c>
      <c r="D178" s="4">
        <v>4</v>
      </c>
      <c r="E178" s="4">
        <v>1.4354824E-2</v>
      </c>
      <c r="F178" s="4">
        <v>5.0000000000000001E-3</v>
      </c>
      <c r="G178" s="4">
        <v>6.2012699999999997E-2</v>
      </c>
      <c r="H178" s="4">
        <v>6.9541205859472002E-2</v>
      </c>
      <c r="I178" s="4">
        <v>7</v>
      </c>
    </row>
    <row r="179" spans="1:9">
      <c r="A179" s="4" t="s">
        <v>2434</v>
      </c>
      <c r="B179" s="4">
        <v>405</v>
      </c>
      <c r="C179" s="4" t="s">
        <v>2430</v>
      </c>
      <c r="D179" s="4">
        <v>5</v>
      </c>
      <c r="E179" s="4">
        <v>1.4354824E-2</v>
      </c>
      <c r="F179" s="4">
        <v>0.05</v>
      </c>
      <c r="G179" s="4">
        <v>7.8145006000000003E-2</v>
      </c>
      <c r="H179" s="4">
        <v>0.13346049586663628</v>
      </c>
      <c r="I179" s="4">
        <v>7</v>
      </c>
    </row>
    <row r="180" spans="1:9">
      <c r="A180" s="4" t="s">
        <v>2435</v>
      </c>
      <c r="B180" s="4">
        <v>405</v>
      </c>
      <c r="C180" s="4" t="s">
        <v>2430</v>
      </c>
      <c r="D180" s="4">
        <v>6</v>
      </c>
      <c r="E180" s="4">
        <v>1.4354824E-2</v>
      </c>
      <c r="F180" s="4">
        <v>0.5</v>
      </c>
      <c r="G180" s="4">
        <v>0.100617863</v>
      </c>
      <c r="H180" s="4">
        <v>0.15619691246759571</v>
      </c>
      <c r="I180" s="4">
        <v>7</v>
      </c>
    </row>
    <row r="181" spans="1:9">
      <c r="A181" s="4" t="s">
        <v>2436</v>
      </c>
      <c r="B181" s="4">
        <v>405</v>
      </c>
      <c r="C181" s="4" t="s">
        <v>2430</v>
      </c>
      <c r="D181" s="4">
        <v>7</v>
      </c>
      <c r="E181" s="4">
        <v>1.4354824E-2</v>
      </c>
      <c r="F181" s="106">
        <v>1.0000000000000001E-5</v>
      </c>
      <c r="G181" s="4">
        <v>5.6022519999999999E-2</v>
      </c>
      <c r="H181" s="4">
        <v>6.0706678364600808E-2</v>
      </c>
      <c r="I181" s="4">
        <v>7</v>
      </c>
    </row>
    <row r="182" spans="1:9">
      <c r="A182" s="4" t="s">
        <v>2437</v>
      </c>
      <c r="B182" s="4">
        <v>405</v>
      </c>
      <c r="C182" s="4" t="s">
        <v>2430</v>
      </c>
      <c r="D182" s="4">
        <v>8</v>
      </c>
      <c r="E182" s="4">
        <v>1.4354824E-2</v>
      </c>
      <c r="F182" s="4">
        <v>1E-4</v>
      </c>
      <c r="G182" s="4">
        <v>4.9100032000000002E-2</v>
      </c>
      <c r="H182" s="4">
        <v>6.071089891038723E-2</v>
      </c>
      <c r="I182" s="4">
        <v>7</v>
      </c>
    </row>
    <row r="183" spans="1:9">
      <c r="A183" s="4" t="s">
        <v>2438</v>
      </c>
      <c r="B183" s="4">
        <v>405</v>
      </c>
      <c r="C183" s="4" t="s">
        <v>2430</v>
      </c>
      <c r="D183" s="4">
        <v>9</v>
      </c>
      <c r="E183" s="4">
        <v>1.4354824E-2</v>
      </c>
      <c r="F183" s="4">
        <v>5.0000000000000001E-4</v>
      </c>
      <c r="G183" s="4">
        <v>5.6418998999999997E-2</v>
      </c>
      <c r="H183" s="4">
        <v>6.081299458186859E-2</v>
      </c>
      <c r="I183" s="4">
        <v>7</v>
      </c>
    </row>
    <row r="184" spans="1:9">
      <c r="A184" s="4" t="s">
        <v>2439</v>
      </c>
      <c r="B184" s="4">
        <v>405</v>
      </c>
      <c r="C184" s="4" t="s">
        <v>2430</v>
      </c>
      <c r="D184" s="4">
        <v>10</v>
      </c>
      <c r="E184" s="4">
        <v>1.4354824E-2</v>
      </c>
      <c r="F184" s="4">
        <v>5.0000000000000001E-3</v>
      </c>
      <c r="G184" s="4">
        <v>5.0162621999999997E-2</v>
      </c>
      <c r="H184" s="4">
        <v>6.9541205859472002E-2</v>
      </c>
      <c r="I184" s="4">
        <v>7</v>
      </c>
    </row>
    <row r="185" spans="1:9">
      <c r="A185" s="4" t="s">
        <v>2440</v>
      </c>
      <c r="B185" s="4">
        <v>405</v>
      </c>
      <c r="C185" s="4" t="s">
        <v>2430</v>
      </c>
      <c r="D185" s="4">
        <v>11</v>
      </c>
      <c r="E185" s="4">
        <v>1.4354824E-2</v>
      </c>
      <c r="F185" s="4">
        <v>0.05</v>
      </c>
      <c r="G185" s="4">
        <v>9.6665584999999998E-2</v>
      </c>
      <c r="H185" s="4">
        <v>0.13346049586663628</v>
      </c>
      <c r="I185" s="4">
        <v>7</v>
      </c>
    </row>
    <row r="186" spans="1:9">
      <c r="A186" s="4" t="s">
        <v>2441</v>
      </c>
      <c r="B186" s="4">
        <v>405</v>
      </c>
      <c r="C186" s="4" t="s">
        <v>2430</v>
      </c>
      <c r="D186" s="4">
        <v>12</v>
      </c>
      <c r="E186" s="4">
        <v>1.4354824E-2</v>
      </c>
      <c r="F186" s="4">
        <v>0.5</v>
      </c>
      <c r="G186" s="4">
        <v>0.104553457</v>
      </c>
      <c r="H186" s="4">
        <v>0.15619691246759571</v>
      </c>
      <c r="I186" s="4">
        <v>7</v>
      </c>
    </row>
    <row r="187" spans="1:9">
      <c r="A187" s="4" t="s">
        <v>2442</v>
      </c>
      <c r="B187" s="4">
        <v>405</v>
      </c>
      <c r="C187" s="4" t="s">
        <v>2430</v>
      </c>
      <c r="D187" s="4">
        <v>13</v>
      </c>
      <c r="E187" s="4">
        <v>1.4354824E-2</v>
      </c>
      <c r="F187" s="106">
        <v>1.0000000000000001E-5</v>
      </c>
      <c r="G187" s="4">
        <v>6.3123626000000002E-2</v>
      </c>
      <c r="H187" s="4">
        <v>6.0706678364600808E-2</v>
      </c>
      <c r="I187" s="4">
        <v>7</v>
      </c>
    </row>
    <row r="188" spans="1:9">
      <c r="A188" s="4" t="s">
        <v>2443</v>
      </c>
      <c r="B188" s="4">
        <v>405</v>
      </c>
      <c r="C188" s="4" t="s">
        <v>2430</v>
      </c>
      <c r="D188" s="4">
        <v>14</v>
      </c>
      <c r="E188" s="4">
        <v>1.4354824E-2</v>
      </c>
      <c r="F188" s="4">
        <v>1E-4</v>
      </c>
      <c r="G188" s="4">
        <v>5.9976777000000002E-2</v>
      </c>
      <c r="H188" s="4">
        <v>6.071089891038723E-2</v>
      </c>
      <c r="I188" s="4">
        <v>7</v>
      </c>
    </row>
    <row r="189" spans="1:9">
      <c r="A189" s="4" t="s">
        <v>2444</v>
      </c>
      <c r="B189" s="4">
        <v>405</v>
      </c>
      <c r="C189" s="4" t="s">
        <v>2430</v>
      </c>
      <c r="D189" s="4">
        <v>15</v>
      </c>
      <c r="E189" s="4">
        <v>1.4354824E-2</v>
      </c>
      <c r="F189" s="4">
        <v>5.0000000000000001E-4</v>
      </c>
      <c r="G189" s="4">
        <v>5.7860783999999998E-2</v>
      </c>
      <c r="H189" s="4">
        <v>6.081299458186859E-2</v>
      </c>
      <c r="I189" s="4">
        <v>7</v>
      </c>
    </row>
    <row r="190" spans="1:9">
      <c r="A190" s="4" t="s">
        <v>2445</v>
      </c>
      <c r="B190" s="4">
        <v>405</v>
      </c>
      <c r="C190" s="4" t="s">
        <v>2430</v>
      </c>
      <c r="D190" s="4">
        <v>16</v>
      </c>
      <c r="E190" s="4">
        <v>1.4354824E-2</v>
      </c>
      <c r="F190" s="4">
        <v>5.0000000000000001E-3</v>
      </c>
      <c r="G190" s="4">
        <v>5.6672688999999998E-2</v>
      </c>
      <c r="H190" s="4">
        <v>6.9541205859472002E-2</v>
      </c>
      <c r="I190" s="4">
        <v>7</v>
      </c>
    </row>
    <row r="191" spans="1:9">
      <c r="A191" s="4" t="s">
        <v>2446</v>
      </c>
      <c r="B191" s="4">
        <v>405</v>
      </c>
      <c r="C191" s="4" t="s">
        <v>2430</v>
      </c>
      <c r="D191" s="4">
        <v>17</v>
      </c>
      <c r="E191" s="4">
        <v>1.4354824E-2</v>
      </c>
      <c r="F191" s="4">
        <v>0.05</v>
      </c>
      <c r="G191" s="4">
        <v>8.2593668999999995E-2</v>
      </c>
      <c r="H191" s="4">
        <v>0.13346049586663628</v>
      </c>
      <c r="I191" s="4">
        <v>7</v>
      </c>
    </row>
    <row r="192" spans="1:9">
      <c r="A192" s="4" t="s">
        <v>2447</v>
      </c>
      <c r="B192" s="4">
        <v>405</v>
      </c>
      <c r="C192" s="4" t="s">
        <v>2430</v>
      </c>
      <c r="D192" s="4">
        <v>18</v>
      </c>
      <c r="E192" s="4">
        <v>1.4354824E-2</v>
      </c>
      <c r="F192" s="4">
        <v>0.5</v>
      </c>
      <c r="G192" s="4">
        <v>0.114304708</v>
      </c>
      <c r="H192" s="4">
        <v>0.15619691246759571</v>
      </c>
      <c r="I192" s="4">
        <v>7</v>
      </c>
    </row>
    <row r="193" spans="1:9">
      <c r="A193" s="4" t="s">
        <v>2448</v>
      </c>
      <c r="B193" s="4">
        <v>405</v>
      </c>
      <c r="C193" s="4" t="s">
        <v>2430</v>
      </c>
      <c r="D193" s="4">
        <v>19</v>
      </c>
      <c r="E193" s="4">
        <v>0.48009342799999999</v>
      </c>
      <c r="F193" s="106">
        <v>1.0000000000000001E-5</v>
      </c>
      <c r="G193" s="4">
        <v>5.9453647999999998E-2</v>
      </c>
      <c r="H193" s="4">
        <v>6.0787166869443944E-2</v>
      </c>
      <c r="I193" s="4">
        <v>7</v>
      </c>
    </row>
    <row r="194" spans="1:9">
      <c r="A194" s="4" t="s">
        <v>2449</v>
      </c>
      <c r="B194" s="4">
        <v>405</v>
      </c>
      <c r="C194" s="4" t="s">
        <v>2430</v>
      </c>
      <c r="D194" s="4">
        <v>20</v>
      </c>
      <c r="E194" s="4">
        <v>0.48009342799999999</v>
      </c>
      <c r="F194" s="4">
        <v>1E-4</v>
      </c>
      <c r="G194" s="4">
        <v>5.8797874999999999E-2</v>
      </c>
      <c r="H194" s="4">
        <v>6.5493618232132345E-2</v>
      </c>
      <c r="I194" s="4">
        <v>7</v>
      </c>
    </row>
    <row r="195" spans="1:9">
      <c r="A195" s="4" t="s">
        <v>2450</v>
      </c>
      <c r="B195" s="4">
        <v>405</v>
      </c>
      <c r="C195" s="4" t="s">
        <v>2430</v>
      </c>
      <c r="D195" s="4">
        <v>21</v>
      </c>
      <c r="E195" s="4">
        <v>0.48009342799999999</v>
      </c>
      <c r="F195" s="4">
        <v>5.0000000000000001E-4</v>
      </c>
      <c r="G195" s="4">
        <v>0.16360607499999999</v>
      </c>
      <c r="H195" s="4">
        <v>0.17154400596462976</v>
      </c>
      <c r="I195" s="4">
        <v>7</v>
      </c>
    </row>
    <row r="196" spans="1:9">
      <c r="A196" s="4" t="s">
        <v>2451</v>
      </c>
      <c r="B196" s="4">
        <v>405</v>
      </c>
      <c r="C196" s="4" t="s">
        <v>2430</v>
      </c>
      <c r="D196" s="4">
        <v>22</v>
      </c>
      <c r="E196" s="4">
        <v>0.48009342799999999</v>
      </c>
      <c r="F196" s="4">
        <v>5.0000000000000001E-3</v>
      </c>
      <c r="G196" s="4">
        <v>3.8850901109999998</v>
      </c>
      <c r="H196" s="4">
        <v>1.8716799521199641</v>
      </c>
      <c r="I196" s="4">
        <v>7</v>
      </c>
    </row>
    <row r="197" spans="1:9">
      <c r="A197" s="4" t="s">
        <v>2452</v>
      </c>
      <c r="B197" s="4">
        <v>405</v>
      </c>
      <c r="C197" s="4" t="s">
        <v>2430</v>
      </c>
      <c r="D197" s="4">
        <v>23</v>
      </c>
      <c r="E197" s="4">
        <v>0.48009342799999999</v>
      </c>
      <c r="F197" s="4">
        <v>0.05</v>
      </c>
      <c r="G197" s="4">
        <v>6.0661512030000004</v>
      </c>
      <c r="H197" s="4">
        <v>2.8201081380137754</v>
      </c>
      <c r="I197" s="4">
        <v>7</v>
      </c>
    </row>
    <row r="198" spans="1:9">
      <c r="A198" s="4" t="s">
        <v>2453</v>
      </c>
      <c r="B198" s="4">
        <v>405</v>
      </c>
      <c r="C198" s="4" t="s">
        <v>2430</v>
      </c>
      <c r="D198" s="4">
        <v>24</v>
      </c>
      <c r="E198" s="4">
        <v>0.48009342799999999</v>
      </c>
      <c r="F198" s="4">
        <v>0.5</v>
      </c>
      <c r="G198" s="4">
        <v>6.0362130089999999</v>
      </c>
      <c r="H198" s="4">
        <v>2.9366978072060155</v>
      </c>
      <c r="I198" s="4">
        <v>7</v>
      </c>
    </row>
    <row r="199" spans="1:9">
      <c r="A199" s="4" t="s">
        <v>2454</v>
      </c>
      <c r="B199" s="4">
        <v>405</v>
      </c>
      <c r="C199" s="4" t="s">
        <v>2430</v>
      </c>
      <c r="D199" s="4">
        <v>25</v>
      </c>
      <c r="E199" s="4">
        <v>0.48009342799999999</v>
      </c>
      <c r="F199" s="106">
        <v>1.0000000000000001E-5</v>
      </c>
      <c r="G199" s="4">
        <v>7.4458975999999996E-2</v>
      </c>
      <c r="H199" s="4">
        <v>6.0787166869443944E-2</v>
      </c>
      <c r="I199" s="4">
        <v>7</v>
      </c>
    </row>
    <row r="200" spans="1:9">
      <c r="A200" s="4" t="s">
        <v>2455</v>
      </c>
      <c r="B200" s="4">
        <v>405</v>
      </c>
      <c r="C200" s="4" t="s">
        <v>2430</v>
      </c>
      <c r="D200" s="4">
        <v>26</v>
      </c>
      <c r="E200" s="4">
        <v>0.48009342799999999</v>
      </c>
      <c r="F200" s="4">
        <v>1E-4</v>
      </c>
      <c r="G200" s="4">
        <v>5.3530752000000001E-2</v>
      </c>
      <c r="H200" s="4">
        <v>6.5493618232132345E-2</v>
      </c>
      <c r="I200" s="4">
        <v>7</v>
      </c>
    </row>
    <row r="201" spans="1:9">
      <c r="A201" s="4" t="s">
        <v>2456</v>
      </c>
      <c r="B201" s="4">
        <v>405</v>
      </c>
      <c r="C201" s="4" t="s">
        <v>2430</v>
      </c>
      <c r="D201" s="4">
        <v>27</v>
      </c>
      <c r="E201" s="4">
        <v>0.48009342799999999</v>
      </c>
      <c r="F201" s="4">
        <v>5.0000000000000001E-4</v>
      </c>
      <c r="G201" s="4">
        <v>0.143182169</v>
      </c>
      <c r="H201" s="4">
        <v>0.17154400596462976</v>
      </c>
      <c r="I201" s="4">
        <v>7</v>
      </c>
    </row>
    <row r="202" spans="1:9">
      <c r="A202" s="4" t="s">
        <v>2457</v>
      </c>
      <c r="B202" s="4">
        <v>405</v>
      </c>
      <c r="C202" s="4" t="s">
        <v>2430</v>
      </c>
      <c r="D202" s="4">
        <v>28</v>
      </c>
      <c r="E202" s="4">
        <v>0.48009342799999999</v>
      </c>
      <c r="F202" s="4">
        <v>5.0000000000000001E-3</v>
      </c>
      <c r="G202" s="4">
        <v>4.100444746</v>
      </c>
      <c r="H202" s="4">
        <v>1.8716799521199641</v>
      </c>
      <c r="I202" s="4">
        <v>7</v>
      </c>
    </row>
    <row r="203" spans="1:9">
      <c r="A203" s="4" t="s">
        <v>2458</v>
      </c>
      <c r="B203" s="4">
        <v>405</v>
      </c>
      <c r="C203" s="4" t="s">
        <v>2430</v>
      </c>
      <c r="D203" s="4">
        <v>29</v>
      </c>
      <c r="E203" s="4">
        <v>0.48009342799999999</v>
      </c>
      <c r="F203" s="4">
        <v>0.05</v>
      </c>
      <c r="G203" s="4">
        <v>6.2604307370000001</v>
      </c>
      <c r="H203" s="4">
        <v>2.8201081380137754</v>
      </c>
      <c r="I203" s="4">
        <v>7</v>
      </c>
    </row>
    <row r="204" spans="1:9">
      <c r="A204" s="4" t="s">
        <v>2459</v>
      </c>
      <c r="B204" s="4">
        <v>405</v>
      </c>
      <c r="C204" s="4" t="s">
        <v>2430</v>
      </c>
      <c r="D204" s="4">
        <v>30</v>
      </c>
      <c r="E204" s="4">
        <v>0.48009342799999999</v>
      </c>
      <c r="F204" s="4">
        <v>0.5</v>
      </c>
      <c r="G204" s="4">
        <v>6.256049258</v>
      </c>
      <c r="H204" s="4">
        <v>2.9366978072060155</v>
      </c>
      <c r="I204" s="4">
        <v>7</v>
      </c>
    </row>
    <row r="205" spans="1:9">
      <c r="A205" s="4" t="s">
        <v>2460</v>
      </c>
      <c r="B205" s="4">
        <v>405</v>
      </c>
      <c r="C205" s="4" t="s">
        <v>2430</v>
      </c>
      <c r="D205" s="4">
        <v>31</v>
      </c>
      <c r="E205" s="4">
        <v>0.48009342799999999</v>
      </c>
      <c r="F205" s="106">
        <v>1.0000000000000001E-5</v>
      </c>
      <c r="G205" s="4">
        <v>7.1146713E-2</v>
      </c>
      <c r="H205" s="4">
        <v>6.0787166869443944E-2</v>
      </c>
      <c r="I205" s="4">
        <v>7</v>
      </c>
    </row>
    <row r="206" spans="1:9">
      <c r="A206" s="4" t="s">
        <v>2461</v>
      </c>
      <c r="B206" s="4">
        <v>405</v>
      </c>
      <c r="C206" s="4" t="s">
        <v>2430</v>
      </c>
      <c r="D206" s="4">
        <v>32</v>
      </c>
      <c r="E206" s="4">
        <v>0.48009342799999999</v>
      </c>
      <c r="F206" s="4">
        <v>1E-4</v>
      </c>
      <c r="G206" s="4">
        <v>6.0446831999999999E-2</v>
      </c>
      <c r="H206" s="4">
        <v>6.5493618232132345E-2</v>
      </c>
      <c r="I206" s="4">
        <v>7</v>
      </c>
    </row>
    <row r="207" spans="1:9">
      <c r="A207" s="4" t="s">
        <v>2462</v>
      </c>
      <c r="B207" s="4">
        <v>405</v>
      </c>
      <c r="C207" s="4" t="s">
        <v>2430</v>
      </c>
      <c r="D207" s="4">
        <v>33</v>
      </c>
      <c r="E207" s="4">
        <v>0.48009342799999999</v>
      </c>
      <c r="F207" s="4">
        <v>5.0000000000000001E-4</v>
      </c>
      <c r="G207" s="4">
        <v>0.15485821999999999</v>
      </c>
      <c r="H207" s="4">
        <v>0.17154400596462976</v>
      </c>
      <c r="I207" s="4">
        <v>7</v>
      </c>
    </row>
    <row r="208" spans="1:9">
      <c r="A208" s="4" t="s">
        <v>2463</v>
      </c>
      <c r="B208" s="4">
        <v>405</v>
      </c>
      <c r="C208" s="4" t="s">
        <v>2430</v>
      </c>
      <c r="D208" s="4">
        <v>34</v>
      </c>
      <c r="E208" s="4">
        <v>0.48009342799999999</v>
      </c>
      <c r="F208" s="4">
        <v>5.0000000000000001E-3</v>
      </c>
      <c r="G208" s="4">
        <v>3.9734121670000002</v>
      </c>
      <c r="H208" s="4">
        <v>1.8716799521199641</v>
      </c>
      <c r="I208" s="4">
        <v>7</v>
      </c>
    </row>
    <row r="209" spans="1:9">
      <c r="A209" s="4" t="s">
        <v>2464</v>
      </c>
      <c r="B209" s="4">
        <v>405</v>
      </c>
      <c r="C209" s="4" t="s">
        <v>2430</v>
      </c>
      <c r="D209" s="4">
        <v>35</v>
      </c>
      <c r="E209" s="4">
        <v>0.48009342799999999</v>
      </c>
      <c r="F209" s="4">
        <v>0.05</v>
      </c>
      <c r="G209" s="4">
        <v>6.2565583900000004</v>
      </c>
      <c r="H209" s="4">
        <v>2.8201081380137754</v>
      </c>
      <c r="I209" s="4">
        <v>7</v>
      </c>
    </row>
    <row r="210" spans="1:9">
      <c r="A210" s="4" t="s">
        <v>2465</v>
      </c>
      <c r="B210" s="4">
        <v>405</v>
      </c>
      <c r="C210" s="4" t="s">
        <v>2430</v>
      </c>
      <c r="D210" s="4">
        <v>36</v>
      </c>
      <c r="E210" s="4">
        <v>0.48009342799999999</v>
      </c>
      <c r="F210" s="4">
        <v>0.5</v>
      </c>
      <c r="G210" s="4">
        <v>6.283169665</v>
      </c>
      <c r="H210" s="4">
        <v>2.9366978072060155</v>
      </c>
      <c r="I210" s="4">
        <v>7</v>
      </c>
    </row>
    <row r="211" spans="1:9">
      <c r="A211" s="4" t="s">
        <v>2466</v>
      </c>
      <c r="B211" s="4">
        <v>405</v>
      </c>
      <c r="C211" s="4" t="s">
        <v>2430</v>
      </c>
      <c r="D211" s="4">
        <v>37</v>
      </c>
      <c r="E211" s="4">
        <v>3.315980707</v>
      </c>
      <c r="F211" s="106">
        <v>1.0000000000000001E-5</v>
      </c>
      <c r="G211" s="4">
        <v>5.7833988000000003E-2</v>
      </c>
      <c r="H211" s="4">
        <v>6.45481068078263E-2</v>
      </c>
      <c r="I211" s="4">
        <v>7</v>
      </c>
    </row>
    <row r="212" spans="1:9">
      <c r="A212" s="4" t="s">
        <v>2467</v>
      </c>
      <c r="B212" s="4">
        <v>405</v>
      </c>
      <c r="C212" s="4" t="s">
        <v>2430</v>
      </c>
      <c r="D212" s="4">
        <v>38</v>
      </c>
      <c r="E212" s="4">
        <v>3.315980707</v>
      </c>
      <c r="F212" s="4">
        <v>1E-4</v>
      </c>
      <c r="G212" s="4">
        <v>6.1374330999999997E-2</v>
      </c>
      <c r="H212" s="4">
        <v>0.28318797447488803</v>
      </c>
      <c r="I212" s="4">
        <v>7</v>
      </c>
    </row>
    <row r="213" spans="1:9">
      <c r="A213" s="4" t="s">
        <v>2468</v>
      </c>
      <c r="B213" s="4">
        <v>405</v>
      </c>
      <c r="C213" s="4" t="s">
        <v>2430</v>
      </c>
      <c r="D213" s="4">
        <v>39</v>
      </c>
      <c r="E213" s="4">
        <v>3.315980707</v>
      </c>
      <c r="F213" s="4">
        <v>5.0000000000000001E-4</v>
      </c>
      <c r="G213" s="4">
        <v>2.1264372370000002</v>
      </c>
      <c r="H213" s="4">
        <v>3.3969441058381373</v>
      </c>
      <c r="I213" s="4">
        <v>7</v>
      </c>
    </row>
    <row r="214" spans="1:9">
      <c r="A214" s="4" t="s">
        <v>2469</v>
      </c>
      <c r="B214" s="4">
        <v>405</v>
      </c>
      <c r="C214" s="4" t="s">
        <v>2430</v>
      </c>
      <c r="D214" s="4">
        <v>40</v>
      </c>
      <c r="E214" s="4">
        <v>3.315980707</v>
      </c>
      <c r="F214" s="4">
        <v>5.0000000000000001E-3</v>
      </c>
      <c r="G214" s="4">
        <v>6.0913040299999999</v>
      </c>
      <c r="H214" s="4">
        <v>9.7639663338834648</v>
      </c>
      <c r="I214" s="4">
        <v>7</v>
      </c>
    </row>
    <row r="215" spans="1:9">
      <c r="A215" s="4" t="s">
        <v>2470</v>
      </c>
      <c r="B215" s="4">
        <v>405</v>
      </c>
      <c r="C215" s="4" t="s">
        <v>2430</v>
      </c>
      <c r="D215" s="4">
        <v>41</v>
      </c>
      <c r="E215" s="4">
        <v>3.315980707</v>
      </c>
      <c r="F215" s="4">
        <v>0.05</v>
      </c>
      <c r="G215" s="4">
        <v>5.8766118929999998</v>
      </c>
      <c r="H215" s="4">
        <v>10.534798161750041</v>
      </c>
      <c r="I215" s="4">
        <v>7</v>
      </c>
    </row>
    <row r="216" spans="1:9">
      <c r="A216" s="4" t="s">
        <v>2471</v>
      </c>
      <c r="B216" s="4">
        <v>405</v>
      </c>
      <c r="C216" s="4" t="s">
        <v>2430</v>
      </c>
      <c r="D216" s="4">
        <v>42</v>
      </c>
      <c r="E216" s="4">
        <v>3.315980707</v>
      </c>
      <c r="F216" s="4">
        <v>0.5</v>
      </c>
      <c r="G216" s="4">
        <v>5.6418855370000003</v>
      </c>
      <c r="H216" s="4">
        <v>10.608549035494825</v>
      </c>
      <c r="I216" s="4">
        <v>7</v>
      </c>
    </row>
    <row r="217" spans="1:9">
      <c r="A217" s="4" t="s">
        <v>2472</v>
      </c>
      <c r="B217" s="4">
        <v>405</v>
      </c>
      <c r="C217" s="4" t="s">
        <v>2430</v>
      </c>
      <c r="D217" s="4">
        <v>43</v>
      </c>
      <c r="E217" s="4">
        <v>3.315980707</v>
      </c>
      <c r="F217" s="106">
        <v>1.0000000000000001E-5</v>
      </c>
      <c r="G217" s="4">
        <v>5.8797163999999999E-2</v>
      </c>
      <c r="H217" s="4">
        <v>6.45481068078263E-2</v>
      </c>
      <c r="I217" s="4">
        <v>7</v>
      </c>
    </row>
    <row r="218" spans="1:9">
      <c r="A218" s="4" t="s">
        <v>2473</v>
      </c>
      <c r="B218" s="4">
        <v>405</v>
      </c>
      <c r="C218" s="4" t="s">
        <v>2430</v>
      </c>
      <c r="D218" s="4">
        <v>44</v>
      </c>
      <c r="E218" s="4">
        <v>3.315980707</v>
      </c>
      <c r="F218" s="4">
        <v>1E-4</v>
      </c>
      <c r="G218" s="4">
        <v>7.3433311000000001E-2</v>
      </c>
      <c r="H218" s="4">
        <v>0.28318797447488803</v>
      </c>
      <c r="I218" s="4">
        <v>7</v>
      </c>
    </row>
    <row r="219" spans="1:9">
      <c r="A219" s="4" t="s">
        <v>2474</v>
      </c>
      <c r="B219" s="4">
        <v>405</v>
      </c>
      <c r="C219" s="4" t="s">
        <v>2430</v>
      </c>
      <c r="D219" s="4">
        <v>45</v>
      </c>
      <c r="E219" s="4">
        <v>3.315980707</v>
      </c>
      <c r="F219" s="4">
        <v>5.0000000000000001E-4</v>
      </c>
      <c r="G219" s="4">
        <v>2.3173814720000001</v>
      </c>
      <c r="H219" s="4">
        <v>3.3969441058381373</v>
      </c>
      <c r="I219" s="4">
        <v>7</v>
      </c>
    </row>
    <row r="220" spans="1:9">
      <c r="A220" s="4" t="s">
        <v>2475</v>
      </c>
      <c r="B220" s="4">
        <v>405</v>
      </c>
      <c r="C220" s="4" t="s">
        <v>2430</v>
      </c>
      <c r="D220" s="4">
        <v>46</v>
      </c>
      <c r="E220" s="4">
        <v>3.315980707</v>
      </c>
      <c r="F220" s="4">
        <v>5.0000000000000001E-3</v>
      </c>
      <c r="G220" s="4">
        <v>6.2885988399999997</v>
      </c>
      <c r="H220" s="4">
        <v>9.7639663338834648</v>
      </c>
      <c r="I220" s="4">
        <v>7</v>
      </c>
    </row>
    <row r="221" spans="1:9">
      <c r="A221" s="4" t="s">
        <v>2476</v>
      </c>
      <c r="B221" s="4">
        <v>405</v>
      </c>
      <c r="C221" s="4" t="s">
        <v>2430</v>
      </c>
      <c r="D221" s="4">
        <v>47</v>
      </c>
      <c r="E221" s="4">
        <v>3.315980707</v>
      </c>
      <c r="F221" s="4">
        <v>0.05</v>
      </c>
      <c r="G221" s="4">
        <v>5.7993714980000002</v>
      </c>
      <c r="H221" s="4">
        <v>10.534798161750041</v>
      </c>
      <c r="I221" s="4">
        <v>7</v>
      </c>
    </row>
    <row r="222" spans="1:9">
      <c r="A222" s="4" t="s">
        <v>2477</v>
      </c>
      <c r="B222" s="4">
        <v>405</v>
      </c>
      <c r="C222" s="4" t="s">
        <v>2430</v>
      </c>
      <c r="D222" s="4">
        <v>48</v>
      </c>
      <c r="E222" s="4">
        <v>3.315980707</v>
      </c>
      <c r="F222" s="4">
        <v>0.5</v>
      </c>
      <c r="G222" s="4">
        <v>5.544971726</v>
      </c>
      <c r="H222" s="4">
        <v>10.608549035494825</v>
      </c>
      <c r="I222" s="4">
        <v>7</v>
      </c>
    </row>
    <row r="223" spans="1:9">
      <c r="A223" s="4" t="s">
        <v>2478</v>
      </c>
      <c r="B223" s="4">
        <v>405</v>
      </c>
      <c r="C223" s="4" t="s">
        <v>2430</v>
      </c>
      <c r="D223" s="4">
        <v>49</v>
      </c>
      <c r="E223" s="4">
        <v>3.315980707</v>
      </c>
      <c r="F223" s="106">
        <v>1.0000000000000001E-5</v>
      </c>
      <c r="G223" s="4">
        <v>5.6788039999999998E-2</v>
      </c>
      <c r="H223" s="4">
        <v>6.45481068078263E-2</v>
      </c>
      <c r="I223" s="4">
        <v>7</v>
      </c>
    </row>
    <row r="224" spans="1:9">
      <c r="A224" s="4" t="s">
        <v>2479</v>
      </c>
      <c r="B224" s="4">
        <v>405</v>
      </c>
      <c r="C224" s="4" t="s">
        <v>2430</v>
      </c>
      <c r="D224" s="4">
        <v>50</v>
      </c>
      <c r="E224" s="4">
        <v>3.315980707</v>
      </c>
      <c r="F224" s="4">
        <v>1E-4</v>
      </c>
      <c r="G224" s="4">
        <v>6.9487262999999994E-2</v>
      </c>
      <c r="H224" s="4">
        <v>0.28318797447488803</v>
      </c>
      <c r="I224" s="4">
        <v>7</v>
      </c>
    </row>
    <row r="225" spans="1:9">
      <c r="A225" s="4" t="s">
        <v>2480</v>
      </c>
      <c r="B225" s="4">
        <v>405</v>
      </c>
      <c r="C225" s="4" t="s">
        <v>2430</v>
      </c>
      <c r="D225" s="4">
        <v>51</v>
      </c>
      <c r="E225" s="4">
        <v>3.315980707</v>
      </c>
      <c r="F225" s="4">
        <v>5.0000000000000001E-4</v>
      </c>
      <c r="G225" s="4">
        <v>2.2136124420000001</v>
      </c>
      <c r="H225" s="4">
        <v>3.3969441058381373</v>
      </c>
      <c r="I225" s="4">
        <v>7</v>
      </c>
    </row>
    <row r="226" spans="1:9">
      <c r="A226" s="4" t="s">
        <v>2481</v>
      </c>
      <c r="B226" s="4">
        <v>405</v>
      </c>
      <c r="C226" s="4" t="s">
        <v>2430</v>
      </c>
      <c r="D226" s="4">
        <v>52</v>
      </c>
      <c r="E226" s="4">
        <v>3.315980707</v>
      </c>
      <c r="F226" s="4">
        <v>5.0000000000000001E-3</v>
      </c>
      <c r="G226" s="4">
        <v>6.2607095050000003</v>
      </c>
      <c r="H226" s="4">
        <v>9.7639663338834648</v>
      </c>
      <c r="I226" s="4">
        <v>7</v>
      </c>
    </row>
    <row r="227" spans="1:9">
      <c r="A227" s="4" t="s">
        <v>2482</v>
      </c>
      <c r="B227" s="4">
        <v>405</v>
      </c>
      <c r="C227" s="4" t="s">
        <v>2430</v>
      </c>
      <c r="D227" s="4">
        <v>53</v>
      </c>
      <c r="E227" s="4">
        <v>3.315980707</v>
      </c>
      <c r="F227" s="4">
        <v>0.05</v>
      </c>
      <c r="G227" s="4">
        <v>6.121262829</v>
      </c>
      <c r="H227" s="4">
        <v>10.534798161750041</v>
      </c>
      <c r="I227" s="4">
        <v>7</v>
      </c>
    </row>
    <row r="228" spans="1:9">
      <c r="A228" s="4" t="s">
        <v>2483</v>
      </c>
      <c r="B228" s="4">
        <v>405</v>
      </c>
      <c r="C228" s="4" t="s">
        <v>2430</v>
      </c>
      <c r="D228" s="4">
        <v>54</v>
      </c>
      <c r="E228" s="4">
        <v>3.315980707</v>
      </c>
      <c r="F228" s="4">
        <v>0.5</v>
      </c>
      <c r="G228" s="4">
        <v>5.9320265929999998</v>
      </c>
      <c r="H228" s="4">
        <v>10.608549035494825</v>
      </c>
      <c r="I228" s="4">
        <v>7</v>
      </c>
    </row>
    <row r="229" spans="1:9">
      <c r="A229" s="4" t="s">
        <v>2484</v>
      </c>
      <c r="B229" s="4">
        <v>406</v>
      </c>
      <c r="C229" s="4" t="s">
        <v>2485</v>
      </c>
      <c r="D229" s="4">
        <v>1</v>
      </c>
      <c r="E229" s="4">
        <v>1.4354824E-2</v>
      </c>
      <c r="F229" s="4">
        <v>0.01</v>
      </c>
      <c r="G229" s="4">
        <v>0.45687320799999998</v>
      </c>
      <c r="H229" s="4">
        <v>0.14636122989201064</v>
      </c>
      <c r="I229" s="4">
        <v>7</v>
      </c>
    </row>
    <row r="230" spans="1:9">
      <c r="A230" s="4" t="s">
        <v>2486</v>
      </c>
      <c r="B230" s="4">
        <v>406</v>
      </c>
      <c r="C230" s="4" t="s">
        <v>2485</v>
      </c>
      <c r="D230" s="4">
        <v>2</v>
      </c>
      <c r="E230" s="4">
        <v>1.4354824E-2</v>
      </c>
      <c r="F230" s="4">
        <v>0.1</v>
      </c>
      <c r="G230" s="4">
        <v>0.395114829</v>
      </c>
      <c r="H230" s="4">
        <v>0.14637766683941209</v>
      </c>
      <c r="I230" s="4">
        <v>7</v>
      </c>
    </row>
    <row r="231" spans="1:9">
      <c r="A231" s="4" t="s">
        <v>2487</v>
      </c>
      <c r="B231" s="4">
        <v>406</v>
      </c>
      <c r="C231" s="4" t="s">
        <v>2485</v>
      </c>
      <c r="D231" s="4">
        <v>3</v>
      </c>
      <c r="E231" s="4">
        <v>1.4354824E-2</v>
      </c>
      <c r="F231" s="4">
        <v>5</v>
      </c>
      <c r="G231" s="4">
        <v>0.49350907900000002</v>
      </c>
      <c r="H231" s="4">
        <v>0.176143559395503</v>
      </c>
      <c r="I231" s="4">
        <v>7</v>
      </c>
    </row>
    <row r="232" spans="1:9">
      <c r="A232" s="4" t="s">
        <v>2488</v>
      </c>
      <c r="B232" s="4">
        <v>406</v>
      </c>
      <c r="C232" s="4" t="s">
        <v>2485</v>
      </c>
      <c r="D232" s="4">
        <v>4</v>
      </c>
      <c r="E232" s="4">
        <v>1.4354824E-2</v>
      </c>
      <c r="F232" s="4">
        <v>50</v>
      </c>
      <c r="G232" s="4">
        <v>0.73562440299999998</v>
      </c>
      <c r="H232" s="4">
        <v>0.64698366207846258</v>
      </c>
      <c r="I232" s="4">
        <v>7</v>
      </c>
    </row>
    <row r="233" spans="1:9">
      <c r="A233" s="4" t="s">
        <v>2489</v>
      </c>
      <c r="B233" s="4">
        <v>406</v>
      </c>
      <c r="C233" s="4" t="s">
        <v>2485</v>
      </c>
      <c r="D233" s="4">
        <v>5</v>
      </c>
      <c r="E233" s="4">
        <v>1.4354824E-2</v>
      </c>
      <c r="F233" s="4">
        <v>200</v>
      </c>
      <c r="G233" s="4">
        <v>0.86964888900000004</v>
      </c>
      <c r="H233" s="4">
        <v>1.0473958015419771</v>
      </c>
      <c r="I233" s="4">
        <v>7</v>
      </c>
    </row>
    <row r="234" spans="1:9">
      <c r="A234" s="4" t="s">
        <v>2490</v>
      </c>
      <c r="B234" s="4">
        <v>406</v>
      </c>
      <c r="C234" s="4" t="s">
        <v>2485</v>
      </c>
      <c r="D234" s="4">
        <v>6</v>
      </c>
      <c r="E234" s="4">
        <v>1.4354824E-2</v>
      </c>
      <c r="F234" s="4">
        <v>0.01</v>
      </c>
      <c r="G234" s="4">
        <v>0.42900411900000002</v>
      </c>
      <c r="H234" s="4">
        <v>0.14636122989201064</v>
      </c>
      <c r="I234" s="4">
        <v>7</v>
      </c>
    </row>
    <row r="235" spans="1:9">
      <c r="A235" s="4" t="s">
        <v>2491</v>
      </c>
      <c r="B235" s="4">
        <v>406</v>
      </c>
      <c r="C235" s="4" t="s">
        <v>2485</v>
      </c>
      <c r="D235" s="4">
        <v>7</v>
      </c>
      <c r="E235" s="4">
        <v>1.4354824E-2</v>
      </c>
      <c r="F235" s="4">
        <v>0.1</v>
      </c>
      <c r="G235" s="4">
        <v>0.35089160000000003</v>
      </c>
      <c r="H235" s="4">
        <v>0.14637766683941209</v>
      </c>
      <c r="I235" s="4">
        <v>7</v>
      </c>
    </row>
    <row r="236" spans="1:9">
      <c r="A236" s="4" t="s">
        <v>2492</v>
      </c>
      <c r="B236" s="4">
        <v>406</v>
      </c>
      <c r="C236" s="4" t="s">
        <v>2485</v>
      </c>
      <c r="D236" s="4">
        <v>8</v>
      </c>
      <c r="E236" s="4">
        <v>1.4354824E-2</v>
      </c>
      <c r="F236" s="4">
        <v>5</v>
      </c>
      <c r="G236" s="4">
        <v>0.491238646</v>
      </c>
      <c r="H236" s="4">
        <v>0.176143559395503</v>
      </c>
      <c r="I236" s="4">
        <v>7</v>
      </c>
    </row>
    <row r="237" spans="1:9">
      <c r="A237" s="4" t="s">
        <v>2493</v>
      </c>
      <c r="B237" s="4">
        <v>406</v>
      </c>
      <c r="C237" s="4" t="s">
        <v>2485</v>
      </c>
      <c r="D237" s="4">
        <v>9</v>
      </c>
      <c r="E237" s="4">
        <v>1.4354824E-2</v>
      </c>
      <c r="F237" s="4">
        <v>50</v>
      </c>
      <c r="G237" s="4">
        <v>0.74907268599999999</v>
      </c>
      <c r="H237" s="4">
        <v>0.64698366207846258</v>
      </c>
      <c r="I237" s="4">
        <v>7</v>
      </c>
    </row>
    <row r="238" spans="1:9">
      <c r="A238" s="4" t="s">
        <v>2494</v>
      </c>
      <c r="B238" s="4">
        <v>406</v>
      </c>
      <c r="C238" s="4" t="s">
        <v>2485</v>
      </c>
      <c r="D238" s="4">
        <v>10</v>
      </c>
      <c r="E238" s="4">
        <v>1.4354824E-2</v>
      </c>
      <c r="F238" s="4">
        <v>200</v>
      </c>
      <c r="G238" s="4">
        <v>0.83469483899999997</v>
      </c>
      <c r="H238" s="4">
        <v>1.0473958015419771</v>
      </c>
      <c r="I238" s="4">
        <v>7</v>
      </c>
    </row>
    <row r="239" spans="1:9">
      <c r="A239" s="4" t="s">
        <v>2495</v>
      </c>
      <c r="B239" s="4">
        <v>406</v>
      </c>
      <c r="C239" s="4" t="s">
        <v>2485</v>
      </c>
      <c r="D239" s="4">
        <v>11</v>
      </c>
      <c r="E239" s="4">
        <v>1.4354824E-2</v>
      </c>
      <c r="F239" s="4">
        <v>0.01</v>
      </c>
      <c r="G239" s="4">
        <v>0.46523574400000001</v>
      </c>
      <c r="H239" s="4">
        <v>0.14636122989201064</v>
      </c>
      <c r="I239" s="4">
        <v>7</v>
      </c>
    </row>
    <row r="240" spans="1:9">
      <c r="A240" s="4" t="s">
        <v>2496</v>
      </c>
      <c r="B240" s="4">
        <v>406</v>
      </c>
      <c r="C240" s="4" t="s">
        <v>2485</v>
      </c>
      <c r="D240" s="4">
        <v>12</v>
      </c>
      <c r="E240" s="4">
        <v>1.4354824E-2</v>
      </c>
      <c r="F240" s="4">
        <v>0.1</v>
      </c>
      <c r="G240" s="4">
        <v>0.39664476799999998</v>
      </c>
      <c r="H240" s="4">
        <v>0.14637766683941209</v>
      </c>
      <c r="I240" s="4">
        <v>7</v>
      </c>
    </row>
    <row r="241" spans="1:9">
      <c r="A241" s="4" t="s">
        <v>2497</v>
      </c>
      <c r="B241" s="4">
        <v>406</v>
      </c>
      <c r="C241" s="4" t="s">
        <v>2485</v>
      </c>
      <c r="D241" s="4">
        <v>13</v>
      </c>
      <c r="E241" s="4">
        <v>1.4354824E-2</v>
      </c>
      <c r="F241" s="4">
        <v>5</v>
      </c>
      <c r="G241" s="4">
        <v>0.55781164100000002</v>
      </c>
      <c r="H241" s="4">
        <v>0.176143559395503</v>
      </c>
      <c r="I241" s="4">
        <v>7</v>
      </c>
    </row>
    <row r="242" spans="1:9">
      <c r="A242" s="4" t="s">
        <v>2498</v>
      </c>
      <c r="B242" s="4">
        <v>406</v>
      </c>
      <c r="C242" s="4" t="s">
        <v>2485</v>
      </c>
      <c r="D242" s="4">
        <v>14</v>
      </c>
      <c r="E242" s="4">
        <v>1.4354824E-2</v>
      </c>
      <c r="F242" s="4">
        <v>50</v>
      </c>
      <c r="G242" s="4">
        <v>0.865908024</v>
      </c>
      <c r="H242" s="4">
        <v>0.64698366207846258</v>
      </c>
      <c r="I242" s="4">
        <v>7</v>
      </c>
    </row>
    <row r="243" spans="1:9">
      <c r="A243" s="4" t="s">
        <v>2499</v>
      </c>
      <c r="B243" s="4">
        <v>406</v>
      </c>
      <c r="C243" s="4" t="s">
        <v>2485</v>
      </c>
      <c r="D243" s="4">
        <v>15</v>
      </c>
      <c r="E243" s="4">
        <v>1.4354824E-2</v>
      </c>
      <c r="F243" s="4">
        <v>200</v>
      </c>
      <c r="G243" s="4">
        <v>0.77269601099999996</v>
      </c>
      <c r="H243" s="4">
        <v>1.0473958015419771</v>
      </c>
      <c r="I243" s="4">
        <v>7</v>
      </c>
    </row>
    <row r="244" spans="1:9">
      <c r="A244" s="4" t="s">
        <v>2500</v>
      </c>
      <c r="B244" s="4">
        <v>406</v>
      </c>
      <c r="C244" s="4" t="s">
        <v>2485</v>
      </c>
      <c r="D244" s="4">
        <v>16</v>
      </c>
      <c r="E244" s="4">
        <v>0.48009342799999999</v>
      </c>
      <c r="F244" s="4">
        <v>0.01</v>
      </c>
      <c r="G244" s="4">
        <v>0.690741037</v>
      </c>
      <c r="H244" s="4">
        <v>0.15448048413390505</v>
      </c>
      <c r="I244" s="4">
        <v>7</v>
      </c>
    </row>
    <row r="245" spans="1:9">
      <c r="A245" s="4" t="s">
        <v>2501</v>
      </c>
      <c r="B245" s="4">
        <v>406</v>
      </c>
      <c r="C245" s="4" t="s">
        <v>2485</v>
      </c>
      <c r="D245" s="4">
        <v>17</v>
      </c>
      <c r="E245" s="4">
        <v>0.48009342799999999</v>
      </c>
      <c r="F245" s="4">
        <v>0.1</v>
      </c>
      <c r="G245" s="4">
        <v>0.65674139799999998</v>
      </c>
      <c r="H245" s="4">
        <v>0.1728389137494962</v>
      </c>
      <c r="I245" s="4">
        <v>7</v>
      </c>
    </row>
    <row r="246" spans="1:9">
      <c r="A246" s="4" t="s">
        <v>2502</v>
      </c>
      <c r="B246" s="4">
        <v>406</v>
      </c>
      <c r="C246" s="4" t="s">
        <v>2485</v>
      </c>
      <c r="D246" s="4">
        <v>18</v>
      </c>
      <c r="E246" s="4">
        <v>0.48009342799999999</v>
      </c>
      <c r="F246" s="4">
        <v>5</v>
      </c>
      <c r="G246" s="4">
        <v>3.536626187</v>
      </c>
      <c r="H246" s="4">
        <v>11.973310725235061</v>
      </c>
      <c r="I246" s="4">
        <v>7</v>
      </c>
    </row>
    <row r="247" spans="1:9">
      <c r="A247" s="4" t="s">
        <v>2503</v>
      </c>
      <c r="B247" s="4">
        <v>406</v>
      </c>
      <c r="C247" s="4" t="s">
        <v>2485</v>
      </c>
      <c r="D247" s="4">
        <v>19</v>
      </c>
      <c r="E247" s="4">
        <v>0.48009342799999999</v>
      </c>
      <c r="F247" s="4">
        <v>50</v>
      </c>
      <c r="G247" s="4">
        <v>8.0227413609999996</v>
      </c>
      <c r="H247" s="4">
        <v>13.609968536321322</v>
      </c>
      <c r="I247" s="4">
        <v>7</v>
      </c>
    </row>
    <row r="248" spans="1:9">
      <c r="A248" s="4" t="s">
        <v>2504</v>
      </c>
      <c r="B248" s="4">
        <v>406</v>
      </c>
      <c r="C248" s="4" t="s">
        <v>2485</v>
      </c>
      <c r="D248" s="4">
        <v>20</v>
      </c>
      <c r="E248" s="4">
        <v>0.48009342799999999</v>
      </c>
      <c r="F248" s="4">
        <v>200</v>
      </c>
      <c r="G248" s="4">
        <v>10.141287350000001</v>
      </c>
      <c r="H248" s="4">
        <v>13.609998679516446</v>
      </c>
      <c r="I248" s="4">
        <v>7</v>
      </c>
    </row>
    <row r="249" spans="1:9">
      <c r="A249" s="4" t="s">
        <v>2505</v>
      </c>
      <c r="B249" s="4">
        <v>406</v>
      </c>
      <c r="C249" s="4" t="s">
        <v>2485</v>
      </c>
      <c r="D249" s="4">
        <v>21</v>
      </c>
      <c r="E249" s="4">
        <v>0.48009342799999999</v>
      </c>
      <c r="F249" s="4">
        <v>0.01</v>
      </c>
      <c r="G249" s="4">
        <v>0.70273348499999999</v>
      </c>
      <c r="H249" s="4">
        <v>0.15448048413390505</v>
      </c>
      <c r="I249" s="4">
        <v>7</v>
      </c>
    </row>
    <row r="250" spans="1:9">
      <c r="A250" s="4" t="s">
        <v>2506</v>
      </c>
      <c r="B250" s="4">
        <v>406</v>
      </c>
      <c r="C250" s="4" t="s">
        <v>2485</v>
      </c>
      <c r="D250" s="4">
        <v>22</v>
      </c>
      <c r="E250" s="4">
        <v>0.48009342799999999</v>
      </c>
      <c r="F250" s="4">
        <v>0.1</v>
      </c>
      <c r="G250" s="4">
        <v>0.68692261099999996</v>
      </c>
      <c r="H250" s="4">
        <v>0.1728389137494962</v>
      </c>
      <c r="I250" s="4">
        <v>7</v>
      </c>
    </row>
    <row r="251" spans="1:9">
      <c r="A251" s="4" t="s">
        <v>2507</v>
      </c>
      <c r="B251" s="4">
        <v>406</v>
      </c>
      <c r="C251" s="4" t="s">
        <v>2485</v>
      </c>
      <c r="D251" s="4">
        <v>23</v>
      </c>
      <c r="E251" s="4">
        <v>0.48009342799999999</v>
      </c>
      <c r="F251" s="4">
        <v>5</v>
      </c>
      <c r="G251" s="4">
        <v>3.6335435149999999</v>
      </c>
      <c r="H251" s="4">
        <v>11.973310725235061</v>
      </c>
      <c r="I251" s="4">
        <v>7</v>
      </c>
    </row>
    <row r="252" spans="1:9">
      <c r="A252" s="4" t="s">
        <v>2508</v>
      </c>
      <c r="B252" s="4">
        <v>406</v>
      </c>
      <c r="C252" s="4" t="s">
        <v>2485</v>
      </c>
      <c r="D252" s="4">
        <v>24</v>
      </c>
      <c r="E252" s="4">
        <v>0.48009342799999999</v>
      </c>
      <c r="F252" s="4">
        <v>50</v>
      </c>
      <c r="G252" s="4">
        <v>7.9519676380000002</v>
      </c>
      <c r="H252" s="4">
        <v>13.609968536321322</v>
      </c>
      <c r="I252" s="4">
        <v>7</v>
      </c>
    </row>
    <row r="253" spans="1:9">
      <c r="A253" s="4" t="s">
        <v>2509</v>
      </c>
      <c r="B253" s="4">
        <v>406</v>
      </c>
      <c r="C253" s="4" t="s">
        <v>2485</v>
      </c>
      <c r="D253" s="4">
        <v>25</v>
      </c>
      <c r="E253" s="4">
        <v>0.48009342799999999</v>
      </c>
      <c r="F253" s="4">
        <v>200</v>
      </c>
      <c r="G253" s="4">
        <v>9.951710941</v>
      </c>
      <c r="H253" s="4">
        <v>13.609998679516446</v>
      </c>
      <c r="I253" s="4">
        <v>7</v>
      </c>
    </row>
    <row r="254" spans="1:9">
      <c r="A254" s="4" t="s">
        <v>2510</v>
      </c>
      <c r="B254" s="4">
        <v>406</v>
      </c>
      <c r="C254" s="4" t="s">
        <v>2485</v>
      </c>
      <c r="D254" s="4">
        <v>26</v>
      </c>
      <c r="E254" s="4">
        <v>0.48009342799999999</v>
      </c>
      <c r="F254" s="4">
        <v>0.01</v>
      </c>
      <c r="G254" s="4">
        <v>0.79825590499999999</v>
      </c>
      <c r="H254" s="4">
        <v>0.15448048413390505</v>
      </c>
      <c r="I254" s="4">
        <v>7</v>
      </c>
    </row>
    <row r="255" spans="1:9">
      <c r="A255" s="4" t="s">
        <v>2511</v>
      </c>
      <c r="B255" s="4">
        <v>406</v>
      </c>
      <c r="C255" s="4" t="s">
        <v>2485</v>
      </c>
      <c r="D255" s="4">
        <v>27</v>
      </c>
      <c r="E255" s="4">
        <v>0.48009342799999999</v>
      </c>
      <c r="F255" s="4">
        <v>0.1</v>
      </c>
      <c r="G255" s="4">
        <v>0.718678029</v>
      </c>
      <c r="H255" s="4">
        <v>0.1728389137494962</v>
      </c>
      <c r="I255" s="4">
        <v>7</v>
      </c>
    </row>
    <row r="256" spans="1:9">
      <c r="A256" s="4" t="s">
        <v>2512</v>
      </c>
      <c r="B256" s="4">
        <v>406</v>
      </c>
      <c r="C256" s="4" t="s">
        <v>2485</v>
      </c>
      <c r="D256" s="4">
        <v>28</v>
      </c>
      <c r="E256" s="4">
        <v>0.48009342799999999</v>
      </c>
      <c r="F256" s="4">
        <v>5</v>
      </c>
      <c r="G256" s="4">
        <v>3.7483878399999999</v>
      </c>
      <c r="H256" s="4">
        <v>11.973310725235061</v>
      </c>
      <c r="I256" s="4">
        <v>7</v>
      </c>
    </row>
    <row r="257" spans="1:9">
      <c r="A257" s="4" t="s">
        <v>2513</v>
      </c>
      <c r="B257" s="4">
        <v>406</v>
      </c>
      <c r="C257" s="4" t="s">
        <v>2485</v>
      </c>
      <c r="D257" s="4">
        <v>29</v>
      </c>
      <c r="E257" s="4">
        <v>0.48009342799999999</v>
      </c>
      <c r="F257" s="4">
        <v>50</v>
      </c>
      <c r="G257" s="4">
        <v>8.3167906400000007</v>
      </c>
      <c r="H257" s="4">
        <v>13.609968536321322</v>
      </c>
      <c r="I257" s="4">
        <v>7</v>
      </c>
    </row>
    <row r="258" spans="1:9">
      <c r="A258" s="4" t="s">
        <v>2514</v>
      </c>
      <c r="B258" s="4">
        <v>406</v>
      </c>
      <c r="C258" s="4" t="s">
        <v>2485</v>
      </c>
      <c r="D258" s="4">
        <v>30</v>
      </c>
      <c r="E258" s="4">
        <v>0.48009342799999999</v>
      </c>
      <c r="F258" s="4">
        <v>200</v>
      </c>
      <c r="G258" s="4">
        <v>10.46547005</v>
      </c>
      <c r="H258" s="4">
        <v>13.609998679516446</v>
      </c>
      <c r="I258" s="4">
        <v>7</v>
      </c>
    </row>
    <row r="259" spans="1:9">
      <c r="A259" s="4" t="s">
        <v>2515</v>
      </c>
      <c r="B259" s="4">
        <v>406</v>
      </c>
      <c r="C259" s="4" t="s">
        <v>2485</v>
      </c>
      <c r="D259" s="4">
        <v>31</v>
      </c>
      <c r="E259" s="4">
        <v>3.315980707</v>
      </c>
      <c r="F259" s="4">
        <v>0.01</v>
      </c>
      <c r="G259" s="4">
        <v>0.69038934299999999</v>
      </c>
      <c r="H259" s="4">
        <v>0.52786135303428461</v>
      </c>
      <c r="I259" s="4">
        <v>7</v>
      </c>
    </row>
    <row r="260" spans="1:9">
      <c r="A260" s="4" t="s">
        <v>2516</v>
      </c>
      <c r="B260" s="4">
        <v>406</v>
      </c>
      <c r="C260" s="4" t="s">
        <v>2485</v>
      </c>
      <c r="D260" s="4">
        <v>32</v>
      </c>
      <c r="E260" s="4">
        <v>3.315980707</v>
      </c>
      <c r="F260" s="4">
        <v>0.1</v>
      </c>
      <c r="G260" s="4">
        <v>0.84608805600000003</v>
      </c>
      <c r="H260" s="4">
        <v>1.3459602021847401</v>
      </c>
      <c r="I260" s="4">
        <v>7</v>
      </c>
    </row>
    <row r="261" spans="1:9">
      <c r="A261" s="4" t="s">
        <v>2517</v>
      </c>
      <c r="B261" s="4">
        <v>406</v>
      </c>
      <c r="C261" s="4" t="s">
        <v>2485</v>
      </c>
      <c r="D261" s="4">
        <v>33</v>
      </c>
      <c r="E261" s="4">
        <v>3.315980707</v>
      </c>
      <c r="F261" s="4">
        <v>5</v>
      </c>
      <c r="G261" s="4">
        <v>4.4923575539999998</v>
      </c>
      <c r="H261" s="4">
        <v>13.609999967382208</v>
      </c>
      <c r="I261" s="4">
        <v>7</v>
      </c>
    </row>
    <row r="262" spans="1:9">
      <c r="A262" s="4" t="s">
        <v>2518</v>
      </c>
      <c r="B262" s="4">
        <v>406</v>
      </c>
      <c r="C262" s="4" t="s">
        <v>2485</v>
      </c>
      <c r="D262" s="4">
        <v>34</v>
      </c>
      <c r="E262" s="4">
        <v>3.315980707</v>
      </c>
      <c r="F262" s="4">
        <v>50</v>
      </c>
      <c r="G262" s="4">
        <v>9.2685265569999995</v>
      </c>
      <c r="H262" s="4">
        <v>13.609999999999994</v>
      </c>
      <c r="I262" s="4">
        <v>7</v>
      </c>
    </row>
    <row r="263" spans="1:9">
      <c r="A263" s="4" t="s">
        <v>2519</v>
      </c>
      <c r="B263" s="4">
        <v>406</v>
      </c>
      <c r="C263" s="4" t="s">
        <v>2485</v>
      </c>
      <c r="D263" s="4">
        <v>35</v>
      </c>
      <c r="E263" s="4">
        <v>3.315980707</v>
      </c>
      <c r="F263" s="4">
        <v>200</v>
      </c>
      <c r="G263" s="4">
        <v>10.41681722</v>
      </c>
      <c r="H263" s="4">
        <v>13.61</v>
      </c>
      <c r="I263" s="4">
        <v>7</v>
      </c>
    </row>
    <row r="264" spans="1:9">
      <c r="A264" s="4" t="s">
        <v>2520</v>
      </c>
      <c r="B264" s="4">
        <v>406</v>
      </c>
      <c r="C264" s="4" t="s">
        <v>2485</v>
      </c>
      <c r="D264" s="4">
        <v>36</v>
      </c>
      <c r="E264" s="4">
        <v>3.315980707</v>
      </c>
      <c r="F264" s="4">
        <v>0.01</v>
      </c>
      <c r="G264" s="4">
        <v>0.7255201</v>
      </c>
      <c r="H264" s="4">
        <v>0.52786135303428461</v>
      </c>
      <c r="I264" s="4">
        <v>7</v>
      </c>
    </row>
    <row r="265" spans="1:9">
      <c r="A265" s="4" t="s">
        <v>2521</v>
      </c>
      <c r="B265" s="4">
        <v>406</v>
      </c>
      <c r="C265" s="4" t="s">
        <v>2485</v>
      </c>
      <c r="D265" s="4">
        <v>37</v>
      </c>
      <c r="E265" s="4">
        <v>3.315980707</v>
      </c>
      <c r="F265" s="4">
        <v>0.1</v>
      </c>
      <c r="G265" s="4">
        <v>1.009293537</v>
      </c>
      <c r="H265" s="4">
        <v>1.3459602021847401</v>
      </c>
      <c r="I265" s="4">
        <v>7</v>
      </c>
    </row>
    <row r="266" spans="1:9">
      <c r="A266" s="4" t="s">
        <v>2522</v>
      </c>
      <c r="B266" s="4">
        <v>406</v>
      </c>
      <c r="C266" s="4" t="s">
        <v>2485</v>
      </c>
      <c r="D266" s="4">
        <v>38</v>
      </c>
      <c r="E266" s="4">
        <v>3.315980707</v>
      </c>
      <c r="F266" s="4">
        <v>5</v>
      </c>
      <c r="G266" s="4">
        <v>4.2377556839999997</v>
      </c>
      <c r="H266" s="4">
        <v>13.609999967382208</v>
      </c>
      <c r="I266" s="4">
        <v>7</v>
      </c>
    </row>
    <row r="267" spans="1:9">
      <c r="A267" s="4" t="s">
        <v>2523</v>
      </c>
      <c r="B267" s="4">
        <v>406</v>
      </c>
      <c r="C267" s="4" t="s">
        <v>2485</v>
      </c>
      <c r="D267" s="4">
        <v>39</v>
      </c>
      <c r="E267" s="4">
        <v>3.315980707</v>
      </c>
      <c r="F267" s="4">
        <v>50</v>
      </c>
      <c r="G267" s="4">
        <v>9.0213123730000007</v>
      </c>
      <c r="H267" s="4">
        <v>13.609999999999994</v>
      </c>
      <c r="I267" s="4">
        <v>7</v>
      </c>
    </row>
    <row r="268" spans="1:9">
      <c r="A268" s="4" t="s">
        <v>2524</v>
      </c>
      <c r="B268" s="4">
        <v>406</v>
      </c>
      <c r="C268" s="4" t="s">
        <v>2485</v>
      </c>
      <c r="D268" s="4">
        <v>40</v>
      </c>
      <c r="E268" s="4">
        <v>3.315980707</v>
      </c>
      <c r="F268" s="4">
        <v>200</v>
      </c>
      <c r="G268" s="4">
        <v>10.412367570000001</v>
      </c>
      <c r="H268" s="4">
        <v>13.61</v>
      </c>
      <c r="I268" s="4">
        <v>7</v>
      </c>
    </row>
    <row r="269" spans="1:9">
      <c r="A269" s="4" t="s">
        <v>2525</v>
      </c>
      <c r="B269" s="4">
        <v>406</v>
      </c>
      <c r="C269" s="4" t="s">
        <v>2485</v>
      </c>
      <c r="D269" s="4">
        <v>41</v>
      </c>
      <c r="E269" s="4">
        <v>3.315980707</v>
      </c>
      <c r="F269" s="4">
        <v>0.01</v>
      </c>
      <c r="G269" s="4">
        <v>0.65089152500000003</v>
      </c>
      <c r="H269" s="4">
        <v>0.52786135303428461</v>
      </c>
      <c r="I269" s="4">
        <v>7</v>
      </c>
    </row>
    <row r="270" spans="1:9">
      <c r="A270" s="4" t="s">
        <v>2526</v>
      </c>
      <c r="B270" s="4">
        <v>406</v>
      </c>
      <c r="C270" s="4" t="s">
        <v>2485</v>
      </c>
      <c r="D270" s="4">
        <v>42</v>
      </c>
      <c r="E270" s="4">
        <v>3.315980707</v>
      </c>
      <c r="F270" s="4">
        <v>0.1</v>
      </c>
      <c r="G270" s="4">
        <v>0.93448249299999997</v>
      </c>
      <c r="H270" s="4">
        <v>1.3459602021847401</v>
      </c>
      <c r="I270" s="4">
        <v>7</v>
      </c>
    </row>
    <row r="271" spans="1:9">
      <c r="A271" s="4" t="s">
        <v>2527</v>
      </c>
      <c r="B271" s="4">
        <v>406</v>
      </c>
      <c r="C271" s="4" t="s">
        <v>2485</v>
      </c>
      <c r="D271" s="4">
        <v>43</v>
      </c>
      <c r="E271" s="4">
        <v>3.315980707</v>
      </c>
      <c r="F271" s="4">
        <v>5</v>
      </c>
      <c r="G271" s="4">
        <v>4.8490603439999997</v>
      </c>
      <c r="H271" s="4">
        <v>13.609999967382208</v>
      </c>
      <c r="I271" s="4">
        <v>7</v>
      </c>
    </row>
    <row r="272" spans="1:9">
      <c r="A272" s="4" t="s">
        <v>2528</v>
      </c>
      <c r="B272" s="4">
        <v>406</v>
      </c>
      <c r="C272" s="4" t="s">
        <v>2485</v>
      </c>
      <c r="D272" s="4">
        <v>44</v>
      </c>
      <c r="E272" s="4">
        <v>3.315980707</v>
      </c>
      <c r="F272" s="4">
        <v>50</v>
      </c>
      <c r="G272" s="4">
        <v>9.4349619039999997</v>
      </c>
      <c r="H272" s="4">
        <v>13.609999999999994</v>
      </c>
      <c r="I272" s="4">
        <v>7</v>
      </c>
    </row>
    <row r="273" spans="1:9">
      <c r="A273" s="4" t="s">
        <v>2529</v>
      </c>
      <c r="B273" s="4">
        <v>406</v>
      </c>
      <c r="C273" s="4" t="s">
        <v>2485</v>
      </c>
      <c r="D273" s="4">
        <v>45</v>
      </c>
      <c r="E273" s="4">
        <v>3.315980707</v>
      </c>
      <c r="F273" s="4">
        <v>200</v>
      </c>
      <c r="G273" s="4">
        <v>11.05318027</v>
      </c>
      <c r="H273" s="4">
        <v>13.61</v>
      </c>
      <c r="I273" s="4">
        <v>7</v>
      </c>
    </row>
    <row r="274" spans="1:9">
      <c r="A274" s="4" t="s">
        <v>2530</v>
      </c>
      <c r="B274" s="4">
        <v>407</v>
      </c>
      <c r="C274" s="4" t="s">
        <v>2531</v>
      </c>
      <c r="D274" s="4">
        <v>1</v>
      </c>
      <c r="E274" s="4">
        <v>1.4354824E-2</v>
      </c>
      <c r="F274" s="4">
        <v>0</v>
      </c>
      <c r="G274" s="4">
        <v>0.12612066899999999</v>
      </c>
      <c r="H274" s="4">
        <v>7.5712965641066693E-2</v>
      </c>
      <c r="I274" s="4">
        <v>7</v>
      </c>
    </row>
    <row r="275" spans="1:9">
      <c r="A275" s="4" t="s">
        <v>2532</v>
      </c>
      <c r="B275" s="4">
        <v>407</v>
      </c>
      <c r="C275" s="4" t="s">
        <v>2531</v>
      </c>
      <c r="D275" s="4">
        <v>2</v>
      </c>
      <c r="E275" s="4">
        <v>1.4354824E-2</v>
      </c>
      <c r="F275" s="4">
        <v>0.01</v>
      </c>
      <c r="G275" s="4">
        <v>8.8930299000000004E-2</v>
      </c>
      <c r="H275" s="4">
        <v>7.5713107060555465E-2</v>
      </c>
      <c r="I275" s="4">
        <v>7</v>
      </c>
    </row>
    <row r="276" spans="1:9">
      <c r="A276" s="4" t="s">
        <v>2533</v>
      </c>
      <c r="B276" s="4">
        <v>407</v>
      </c>
      <c r="C276" s="4" t="s">
        <v>2531</v>
      </c>
      <c r="D276" s="4">
        <v>3</v>
      </c>
      <c r="E276" s="4">
        <v>1.4354824E-2</v>
      </c>
      <c r="F276" s="4">
        <v>0.1</v>
      </c>
      <c r="G276" s="4">
        <v>0.10485027099999999</v>
      </c>
      <c r="H276" s="4">
        <v>7.572742430250734E-2</v>
      </c>
      <c r="I276" s="4">
        <v>7</v>
      </c>
    </row>
    <row r="277" spans="1:9">
      <c r="A277" s="4" t="s">
        <v>2534</v>
      </c>
      <c r="B277" s="4">
        <v>407</v>
      </c>
      <c r="C277" s="4" t="s">
        <v>2531</v>
      </c>
      <c r="D277" s="4">
        <v>4</v>
      </c>
      <c r="E277" s="4">
        <v>1.4354824E-2</v>
      </c>
      <c r="F277" s="4">
        <v>1</v>
      </c>
      <c r="G277" s="4">
        <v>0.12544760999999999</v>
      </c>
      <c r="H277" s="4">
        <v>7.7070871481918352E-2</v>
      </c>
      <c r="I277" s="4">
        <v>7</v>
      </c>
    </row>
    <row r="278" spans="1:9">
      <c r="A278" s="4" t="s">
        <v>2535</v>
      </c>
      <c r="B278" s="4">
        <v>407</v>
      </c>
      <c r="C278" s="4" t="s">
        <v>2531</v>
      </c>
      <c r="D278" s="4">
        <v>5</v>
      </c>
      <c r="E278" s="4">
        <v>1.4354824E-2</v>
      </c>
      <c r="F278" s="4">
        <v>10</v>
      </c>
      <c r="G278" s="4">
        <v>0.326023746</v>
      </c>
      <c r="H278" s="4">
        <v>0.15308670042861244</v>
      </c>
      <c r="I278" s="4">
        <v>7</v>
      </c>
    </row>
    <row r="279" spans="1:9">
      <c r="A279" s="4" t="s">
        <v>2536</v>
      </c>
      <c r="B279" s="4">
        <v>407</v>
      </c>
      <c r="C279" s="4" t="s">
        <v>2531</v>
      </c>
      <c r="D279" s="4">
        <v>6</v>
      </c>
      <c r="E279" s="4">
        <v>1.4354824E-2</v>
      </c>
      <c r="F279" s="4">
        <v>200</v>
      </c>
      <c r="G279" s="4">
        <v>0.93513061500000005</v>
      </c>
      <c r="H279" s="4">
        <v>0.86465258753391272</v>
      </c>
      <c r="I279" s="4">
        <v>7</v>
      </c>
    </row>
    <row r="280" spans="1:9">
      <c r="A280" s="4" t="s">
        <v>2537</v>
      </c>
      <c r="B280" s="4">
        <v>407</v>
      </c>
      <c r="C280" s="4" t="s">
        <v>2531</v>
      </c>
      <c r="D280" s="4">
        <v>7</v>
      </c>
      <c r="E280" s="4">
        <v>1.4354824E-2</v>
      </c>
      <c r="F280" s="4">
        <v>0</v>
      </c>
      <c r="G280" s="4">
        <v>0.13985138499999999</v>
      </c>
      <c r="H280" s="4">
        <v>7.5712965641066693E-2</v>
      </c>
      <c r="I280" s="4">
        <v>7</v>
      </c>
    </row>
    <row r="281" spans="1:9">
      <c r="A281" s="4" t="s">
        <v>2538</v>
      </c>
      <c r="B281" s="4">
        <v>407</v>
      </c>
      <c r="C281" s="4" t="s">
        <v>2531</v>
      </c>
      <c r="D281" s="4">
        <v>8</v>
      </c>
      <c r="E281" s="4">
        <v>1.4354824E-2</v>
      </c>
      <c r="F281" s="4">
        <v>0.01</v>
      </c>
      <c r="G281" s="4">
        <v>8.5337686999999995E-2</v>
      </c>
      <c r="H281" s="4">
        <v>7.5713107060555465E-2</v>
      </c>
      <c r="I281" s="4">
        <v>7</v>
      </c>
    </row>
    <row r="282" spans="1:9">
      <c r="A282" s="4" t="s">
        <v>2539</v>
      </c>
      <c r="B282" s="4">
        <v>407</v>
      </c>
      <c r="C282" s="4" t="s">
        <v>2531</v>
      </c>
      <c r="D282" s="4">
        <v>9</v>
      </c>
      <c r="E282" s="4">
        <v>1.4354824E-2</v>
      </c>
      <c r="F282" s="4">
        <v>0.1</v>
      </c>
      <c r="G282" s="4">
        <v>0.119758323</v>
      </c>
      <c r="H282" s="4">
        <v>7.572742430250734E-2</v>
      </c>
      <c r="I282" s="4">
        <v>7</v>
      </c>
    </row>
    <row r="283" spans="1:9">
      <c r="A283" s="4" t="s">
        <v>2540</v>
      </c>
      <c r="B283" s="4">
        <v>407</v>
      </c>
      <c r="C283" s="4" t="s">
        <v>2531</v>
      </c>
      <c r="D283" s="4">
        <v>10</v>
      </c>
      <c r="E283" s="4">
        <v>1.4354824E-2</v>
      </c>
      <c r="F283" s="4">
        <v>1</v>
      </c>
      <c r="G283" s="4">
        <v>0.13137064900000001</v>
      </c>
      <c r="H283" s="4">
        <v>7.7070871481918352E-2</v>
      </c>
      <c r="I283" s="4">
        <v>7</v>
      </c>
    </row>
    <row r="284" spans="1:9">
      <c r="A284" s="4" t="s">
        <v>2541</v>
      </c>
      <c r="B284" s="4">
        <v>407</v>
      </c>
      <c r="C284" s="4" t="s">
        <v>2531</v>
      </c>
      <c r="D284" s="4">
        <v>11</v>
      </c>
      <c r="E284" s="4">
        <v>1.4354824E-2</v>
      </c>
      <c r="F284" s="4">
        <v>10</v>
      </c>
      <c r="G284" s="4">
        <v>0.28181017899999999</v>
      </c>
      <c r="H284" s="4">
        <v>0.15308670042861244</v>
      </c>
      <c r="I284" s="4">
        <v>7</v>
      </c>
    </row>
    <row r="285" spans="1:9">
      <c r="A285" s="4" t="s">
        <v>2542</v>
      </c>
      <c r="B285" s="4">
        <v>407</v>
      </c>
      <c r="C285" s="4" t="s">
        <v>2531</v>
      </c>
      <c r="D285" s="4">
        <v>12</v>
      </c>
      <c r="E285" s="4">
        <v>1.4354824E-2</v>
      </c>
      <c r="F285" s="4">
        <v>200</v>
      </c>
      <c r="G285" s="4">
        <v>0.89305364499999995</v>
      </c>
      <c r="H285" s="4">
        <v>0.86465258753391272</v>
      </c>
      <c r="I285" s="4">
        <v>7</v>
      </c>
    </row>
    <row r="286" spans="1:9">
      <c r="A286" s="4" t="s">
        <v>2543</v>
      </c>
      <c r="B286" s="4">
        <v>407</v>
      </c>
      <c r="C286" s="4" t="s">
        <v>2531</v>
      </c>
      <c r="D286" s="4">
        <v>13</v>
      </c>
      <c r="E286" s="4">
        <v>1.4354824E-2</v>
      </c>
      <c r="F286" s="4">
        <v>0</v>
      </c>
      <c r="G286" s="4">
        <v>0.131326427</v>
      </c>
      <c r="H286" s="4">
        <v>7.5712965641066693E-2</v>
      </c>
      <c r="I286" s="4">
        <v>7</v>
      </c>
    </row>
    <row r="287" spans="1:9">
      <c r="A287" s="4" t="s">
        <v>2544</v>
      </c>
      <c r="B287" s="4">
        <v>407</v>
      </c>
      <c r="C287" s="4" t="s">
        <v>2531</v>
      </c>
      <c r="D287" s="4">
        <v>14</v>
      </c>
      <c r="E287" s="4">
        <v>1.4354824E-2</v>
      </c>
      <c r="F287" s="4">
        <v>0.01</v>
      </c>
      <c r="G287" s="4">
        <v>9.6150767999999998E-2</v>
      </c>
      <c r="H287" s="4">
        <v>7.5713107060555465E-2</v>
      </c>
      <c r="I287" s="4">
        <v>7</v>
      </c>
    </row>
    <row r="288" spans="1:9">
      <c r="A288" s="4" t="s">
        <v>2545</v>
      </c>
      <c r="B288" s="4">
        <v>407</v>
      </c>
      <c r="C288" s="4" t="s">
        <v>2531</v>
      </c>
      <c r="D288" s="4">
        <v>15</v>
      </c>
      <c r="E288" s="4">
        <v>1.4354824E-2</v>
      </c>
      <c r="F288" s="4">
        <v>0.1</v>
      </c>
      <c r="G288" s="4">
        <v>0.104598552</v>
      </c>
      <c r="H288" s="4">
        <v>7.572742430250734E-2</v>
      </c>
      <c r="I288" s="4">
        <v>7</v>
      </c>
    </row>
    <row r="289" spans="1:9">
      <c r="A289" s="4" t="s">
        <v>2546</v>
      </c>
      <c r="B289" s="4">
        <v>407</v>
      </c>
      <c r="C289" s="4" t="s">
        <v>2531</v>
      </c>
      <c r="D289" s="4">
        <v>16</v>
      </c>
      <c r="E289" s="4">
        <v>1.4354824E-2</v>
      </c>
      <c r="F289" s="4">
        <v>1</v>
      </c>
      <c r="G289" s="4">
        <v>0.11298997600000001</v>
      </c>
      <c r="H289" s="4">
        <v>7.7070871481918352E-2</v>
      </c>
      <c r="I289" s="4">
        <v>7</v>
      </c>
    </row>
    <row r="290" spans="1:9">
      <c r="A290" s="4" t="s">
        <v>2547</v>
      </c>
      <c r="B290" s="4">
        <v>407</v>
      </c>
      <c r="C290" s="4" t="s">
        <v>2531</v>
      </c>
      <c r="D290" s="4">
        <v>17</v>
      </c>
      <c r="E290" s="4">
        <v>1.4354824E-2</v>
      </c>
      <c r="F290" s="4">
        <v>10</v>
      </c>
      <c r="G290" s="4">
        <v>0.27271625900000002</v>
      </c>
      <c r="H290" s="4">
        <v>0.15308670042861244</v>
      </c>
      <c r="I290" s="4">
        <v>7</v>
      </c>
    </row>
    <row r="291" spans="1:9">
      <c r="A291" s="4" t="s">
        <v>2548</v>
      </c>
      <c r="B291" s="4">
        <v>407</v>
      </c>
      <c r="C291" s="4" t="s">
        <v>2531</v>
      </c>
      <c r="D291" s="4">
        <v>18</v>
      </c>
      <c r="E291" s="4">
        <v>1.4354824E-2</v>
      </c>
      <c r="F291" s="4">
        <v>200</v>
      </c>
      <c r="G291" s="4">
        <v>0.89454590899999997</v>
      </c>
      <c r="H291" s="4">
        <v>0.86465258753391272</v>
      </c>
      <c r="I291" s="4">
        <v>7</v>
      </c>
    </row>
    <row r="292" spans="1:9">
      <c r="A292" s="4" t="s">
        <v>2549</v>
      </c>
      <c r="B292" s="4">
        <v>407</v>
      </c>
      <c r="C292" s="4" t="s">
        <v>2531</v>
      </c>
      <c r="D292" s="4">
        <v>19</v>
      </c>
      <c r="E292" s="4">
        <v>0.48009342799999999</v>
      </c>
      <c r="F292" s="4">
        <v>0</v>
      </c>
      <c r="G292" s="4">
        <v>0.211020344</v>
      </c>
      <c r="H292" s="4">
        <v>8.2627537791077593E-2</v>
      </c>
      <c r="I292" s="4">
        <v>7</v>
      </c>
    </row>
    <row r="293" spans="1:9">
      <c r="A293" s="4" t="s">
        <v>2550</v>
      </c>
      <c r="B293" s="4">
        <v>407</v>
      </c>
      <c r="C293" s="4" t="s">
        <v>2531</v>
      </c>
      <c r="D293" s="4">
        <v>20</v>
      </c>
      <c r="E293" s="4">
        <v>0.48009342799999999</v>
      </c>
      <c r="F293" s="4">
        <v>0.01</v>
      </c>
      <c r="G293" s="4">
        <v>0.17881548999999999</v>
      </c>
      <c r="H293" s="4">
        <v>8.2785628674586248E-2</v>
      </c>
      <c r="I293" s="4">
        <v>7</v>
      </c>
    </row>
    <row r="294" spans="1:9">
      <c r="A294" s="4" t="s">
        <v>2551</v>
      </c>
      <c r="B294" s="4">
        <v>407</v>
      </c>
      <c r="C294" s="4" t="s">
        <v>2531</v>
      </c>
      <c r="D294" s="4">
        <v>21</v>
      </c>
      <c r="E294" s="4">
        <v>0.48009342799999999</v>
      </c>
      <c r="F294" s="4">
        <v>0.1</v>
      </c>
      <c r="G294" s="4">
        <v>0.28580881200000002</v>
      </c>
      <c r="H294" s="4">
        <v>9.8779694486645517E-2</v>
      </c>
      <c r="I294" s="4">
        <v>7</v>
      </c>
    </row>
    <row r="295" spans="1:9">
      <c r="A295" s="4" t="s">
        <v>2552</v>
      </c>
      <c r="B295" s="4">
        <v>407</v>
      </c>
      <c r="C295" s="4" t="s">
        <v>2531</v>
      </c>
      <c r="D295" s="4">
        <v>22</v>
      </c>
      <c r="E295" s="4">
        <v>0.48009342799999999</v>
      </c>
      <c r="F295" s="4">
        <v>1</v>
      </c>
      <c r="G295" s="4">
        <v>1.8322547549999999</v>
      </c>
      <c r="H295" s="4">
        <v>1.5073145936253245</v>
      </c>
      <c r="I295" s="4">
        <v>7</v>
      </c>
    </row>
    <row r="296" spans="1:9">
      <c r="A296" s="4" t="s">
        <v>2553</v>
      </c>
      <c r="B296" s="4">
        <v>407</v>
      </c>
      <c r="C296" s="4" t="s">
        <v>2531</v>
      </c>
      <c r="D296" s="4">
        <v>23</v>
      </c>
      <c r="E296" s="4">
        <v>0.48009342799999999</v>
      </c>
      <c r="F296" s="4">
        <v>10</v>
      </c>
      <c r="G296" s="4">
        <v>5.0974477020000002</v>
      </c>
      <c r="H296" s="4">
        <v>13.456242440659382</v>
      </c>
      <c r="I296" s="4">
        <v>7</v>
      </c>
    </row>
    <row r="297" spans="1:9">
      <c r="A297" s="4" t="s">
        <v>2554</v>
      </c>
      <c r="B297" s="4">
        <v>407</v>
      </c>
      <c r="C297" s="4" t="s">
        <v>2531</v>
      </c>
      <c r="D297" s="4">
        <v>24</v>
      </c>
      <c r="E297" s="4">
        <v>0.48009342799999999</v>
      </c>
      <c r="F297" s="4">
        <v>200</v>
      </c>
      <c r="G297" s="4">
        <v>11.98227634</v>
      </c>
      <c r="H297" s="4">
        <v>13.609996746926434</v>
      </c>
      <c r="I297" s="4">
        <v>7</v>
      </c>
    </row>
    <row r="298" spans="1:9">
      <c r="A298" s="4" t="s">
        <v>2555</v>
      </c>
      <c r="B298" s="4">
        <v>407</v>
      </c>
      <c r="C298" s="4" t="s">
        <v>2531</v>
      </c>
      <c r="D298" s="4">
        <v>25</v>
      </c>
      <c r="E298" s="4">
        <v>0.48009342799999999</v>
      </c>
      <c r="F298" s="4">
        <v>0</v>
      </c>
      <c r="G298" s="4">
        <v>0.198603109</v>
      </c>
      <c r="H298" s="4">
        <v>8.2627537791077593E-2</v>
      </c>
      <c r="I298" s="4">
        <v>7</v>
      </c>
    </row>
    <row r="299" spans="1:9">
      <c r="A299" s="4" t="s">
        <v>2556</v>
      </c>
      <c r="B299" s="4">
        <v>407</v>
      </c>
      <c r="C299" s="4" t="s">
        <v>2531</v>
      </c>
      <c r="D299" s="4">
        <v>26</v>
      </c>
      <c r="E299" s="4">
        <v>0.48009342799999999</v>
      </c>
      <c r="F299" s="4">
        <v>0.01</v>
      </c>
      <c r="G299" s="4">
        <v>0.20989511</v>
      </c>
      <c r="H299" s="4">
        <v>8.2785628674586248E-2</v>
      </c>
      <c r="I299" s="4">
        <v>7</v>
      </c>
    </row>
    <row r="300" spans="1:9">
      <c r="A300" s="4" t="s">
        <v>2557</v>
      </c>
      <c r="B300" s="4">
        <v>407</v>
      </c>
      <c r="C300" s="4" t="s">
        <v>2531</v>
      </c>
      <c r="D300" s="4">
        <v>27</v>
      </c>
      <c r="E300" s="4">
        <v>0.48009342799999999</v>
      </c>
      <c r="F300" s="4">
        <v>0.1</v>
      </c>
      <c r="G300" s="4">
        <v>0.28580881200000002</v>
      </c>
      <c r="H300" s="4">
        <v>9.8779694486645517E-2</v>
      </c>
      <c r="I300" s="4">
        <v>7</v>
      </c>
    </row>
    <row r="301" spans="1:9">
      <c r="A301" s="4" t="s">
        <v>2558</v>
      </c>
      <c r="B301" s="4">
        <v>407</v>
      </c>
      <c r="C301" s="4" t="s">
        <v>2531</v>
      </c>
      <c r="D301" s="4">
        <v>28</v>
      </c>
      <c r="E301" s="4">
        <v>0.48009342799999999</v>
      </c>
      <c r="F301" s="4">
        <v>1</v>
      </c>
      <c r="G301" s="4">
        <v>1.63642379</v>
      </c>
      <c r="H301" s="4">
        <v>1.5073145936253245</v>
      </c>
      <c r="I301" s="4">
        <v>7</v>
      </c>
    </row>
    <row r="302" spans="1:9">
      <c r="A302" s="4" t="s">
        <v>2559</v>
      </c>
      <c r="B302" s="4">
        <v>407</v>
      </c>
      <c r="C302" s="4" t="s">
        <v>2531</v>
      </c>
      <c r="D302" s="4">
        <v>29</v>
      </c>
      <c r="E302" s="4">
        <v>0.48009342799999999</v>
      </c>
      <c r="F302" s="4">
        <v>10</v>
      </c>
      <c r="G302" s="4">
        <v>4.592058754</v>
      </c>
      <c r="H302" s="4">
        <v>13.456242440659382</v>
      </c>
      <c r="I302" s="4">
        <v>7</v>
      </c>
    </row>
    <row r="303" spans="1:9">
      <c r="A303" s="4" t="s">
        <v>2560</v>
      </c>
      <c r="B303" s="4">
        <v>407</v>
      </c>
      <c r="C303" s="4" t="s">
        <v>2531</v>
      </c>
      <c r="D303" s="4">
        <v>30</v>
      </c>
      <c r="E303" s="4">
        <v>0.48009342799999999</v>
      </c>
      <c r="F303" s="4">
        <v>200</v>
      </c>
      <c r="G303" s="4">
        <v>11.824749410000001</v>
      </c>
      <c r="H303" s="4">
        <v>13.609996746926434</v>
      </c>
      <c r="I303" s="4">
        <v>7</v>
      </c>
    </row>
    <row r="304" spans="1:9">
      <c r="A304" s="4" t="s">
        <v>2561</v>
      </c>
      <c r="B304" s="4">
        <v>407</v>
      </c>
      <c r="C304" s="4" t="s">
        <v>2531</v>
      </c>
      <c r="D304" s="4">
        <v>31</v>
      </c>
      <c r="E304" s="4">
        <v>0.48009342799999999</v>
      </c>
      <c r="F304" s="4">
        <v>0</v>
      </c>
      <c r="G304" s="4">
        <v>0.233575738</v>
      </c>
      <c r="H304" s="4">
        <v>8.2627537791077593E-2</v>
      </c>
      <c r="I304" s="4">
        <v>7</v>
      </c>
    </row>
    <row r="305" spans="1:9">
      <c r="A305" s="4" t="s">
        <v>2562</v>
      </c>
      <c r="B305" s="4">
        <v>407</v>
      </c>
      <c r="C305" s="4" t="s">
        <v>2531</v>
      </c>
      <c r="D305" s="4">
        <v>32</v>
      </c>
      <c r="E305" s="4">
        <v>0.48009342799999999</v>
      </c>
      <c r="F305" s="4">
        <v>0.01</v>
      </c>
      <c r="G305" s="4">
        <v>0.211920264</v>
      </c>
      <c r="H305" s="4">
        <v>8.2785628674586248E-2</v>
      </c>
      <c r="I305" s="4">
        <v>7</v>
      </c>
    </row>
    <row r="306" spans="1:9">
      <c r="A306" s="4" t="s">
        <v>2563</v>
      </c>
      <c r="B306" s="4">
        <v>407</v>
      </c>
      <c r="C306" s="4" t="s">
        <v>2531</v>
      </c>
      <c r="D306" s="4">
        <v>33</v>
      </c>
      <c r="E306" s="4">
        <v>0.48009342799999999</v>
      </c>
      <c r="F306" s="4">
        <v>0.1</v>
      </c>
      <c r="G306" s="4">
        <v>0.27028233000000002</v>
      </c>
      <c r="H306" s="4">
        <v>9.8779694486645517E-2</v>
      </c>
      <c r="I306" s="4">
        <v>7</v>
      </c>
    </row>
    <row r="307" spans="1:9">
      <c r="A307" s="4" t="s">
        <v>2564</v>
      </c>
      <c r="B307" s="4">
        <v>407</v>
      </c>
      <c r="C307" s="4" t="s">
        <v>2531</v>
      </c>
      <c r="D307" s="4">
        <v>34</v>
      </c>
      <c r="E307" s="4">
        <v>0.48009342799999999</v>
      </c>
      <c r="F307" s="4">
        <v>1</v>
      </c>
      <c r="G307" s="4">
        <v>1.550772539</v>
      </c>
      <c r="H307" s="4">
        <v>1.5073145936253245</v>
      </c>
      <c r="I307" s="4">
        <v>7</v>
      </c>
    </row>
    <row r="308" spans="1:9">
      <c r="A308" s="4" t="s">
        <v>2565</v>
      </c>
      <c r="B308" s="4">
        <v>407</v>
      </c>
      <c r="C308" s="4" t="s">
        <v>2531</v>
      </c>
      <c r="D308" s="4">
        <v>35</v>
      </c>
      <c r="E308" s="4">
        <v>0.48009342799999999</v>
      </c>
      <c r="F308" s="4">
        <v>10</v>
      </c>
      <c r="G308" s="4">
        <v>4.7271122209999996</v>
      </c>
      <c r="H308" s="4">
        <v>13.456242440659382</v>
      </c>
      <c r="I308" s="4">
        <v>7</v>
      </c>
    </row>
    <row r="309" spans="1:9">
      <c r="A309" s="4" t="s">
        <v>2566</v>
      </c>
      <c r="B309" s="4">
        <v>407</v>
      </c>
      <c r="C309" s="4" t="s">
        <v>2531</v>
      </c>
      <c r="D309" s="4">
        <v>36</v>
      </c>
      <c r="E309" s="4">
        <v>0.48009342799999999</v>
      </c>
      <c r="F309" s="4">
        <v>200</v>
      </c>
      <c r="G309" s="4">
        <v>11.937697160000001</v>
      </c>
      <c r="H309" s="4">
        <v>13.609996746926434</v>
      </c>
      <c r="I309" s="4">
        <v>7</v>
      </c>
    </row>
    <row r="310" spans="1:9">
      <c r="A310" s="4" t="s">
        <v>2567</v>
      </c>
      <c r="B310" s="4">
        <v>407</v>
      </c>
      <c r="C310" s="4" t="s">
        <v>2531</v>
      </c>
      <c r="D310" s="4">
        <v>37</v>
      </c>
      <c r="E310" s="4">
        <v>3.315980707</v>
      </c>
      <c r="F310" s="4">
        <v>0</v>
      </c>
      <c r="G310" s="4">
        <v>0.32910108700000001</v>
      </c>
      <c r="H310" s="4">
        <v>0.40140378646702268</v>
      </c>
      <c r="I310" s="4">
        <v>7</v>
      </c>
    </row>
    <row r="311" spans="1:9">
      <c r="A311" s="4" t="s">
        <v>2568</v>
      </c>
      <c r="B311" s="4">
        <v>407</v>
      </c>
      <c r="C311" s="4" t="s">
        <v>2531</v>
      </c>
      <c r="D311" s="4">
        <v>38</v>
      </c>
      <c r="E311" s="4">
        <v>3.315980707</v>
      </c>
      <c r="F311" s="4">
        <v>0.01</v>
      </c>
      <c r="G311" s="4">
        <v>0.31303764499999998</v>
      </c>
      <c r="H311" s="4">
        <v>0.40874044074125171</v>
      </c>
      <c r="I311" s="4">
        <v>7</v>
      </c>
    </row>
    <row r="312" spans="1:9">
      <c r="A312" s="4" t="s">
        <v>2569</v>
      </c>
      <c r="B312" s="4">
        <v>407</v>
      </c>
      <c r="C312" s="4" t="s">
        <v>2531</v>
      </c>
      <c r="D312" s="4">
        <v>39</v>
      </c>
      <c r="E312" s="4">
        <v>3.315980707</v>
      </c>
      <c r="F312" s="4">
        <v>0.1</v>
      </c>
      <c r="G312" s="4">
        <v>0.78695955399999995</v>
      </c>
      <c r="H312" s="4">
        <v>1.1279417389351865</v>
      </c>
      <c r="I312" s="4">
        <v>7</v>
      </c>
    </row>
    <row r="313" spans="1:9">
      <c r="A313" s="4" t="s">
        <v>2570</v>
      </c>
      <c r="B313" s="4">
        <v>407</v>
      </c>
      <c r="C313" s="4" t="s">
        <v>2531</v>
      </c>
      <c r="D313" s="4">
        <v>40</v>
      </c>
      <c r="E313" s="4">
        <v>3.315980707</v>
      </c>
      <c r="F313" s="4">
        <v>1</v>
      </c>
      <c r="G313" s="4">
        <v>2.5352865530000002</v>
      </c>
      <c r="H313" s="4">
        <v>13.357497354173526</v>
      </c>
      <c r="I313" s="4">
        <v>7</v>
      </c>
    </row>
    <row r="314" spans="1:9">
      <c r="A314" s="4" t="s">
        <v>2571</v>
      </c>
      <c r="B314" s="4">
        <v>407</v>
      </c>
      <c r="C314" s="4" t="s">
        <v>2531</v>
      </c>
      <c r="D314" s="4">
        <v>41</v>
      </c>
      <c r="E314" s="4">
        <v>3.315980707</v>
      </c>
      <c r="F314" s="4">
        <v>10</v>
      </c>
      <c r="G314" s="4">
        <v>5.6814694350000003</v>
      </c>
      <c r="H314" s="4">
        <v>13.609999999896246</v>
      </c>
      <c r="I314" s="4">
        <v>7</v>
      </c>
    </row>
    <row r="315" spans="1:9">
      <c r="A315" s="4" t="s">
        <v>2572</v>
      </c>
      <c r="B315" s="4">
        <v>407</v>
      </c>
      <c r="C315" s="4" t="s">
        <v>2531</v>
      </c>
      <c r="D315" s="4">
        <v>42</v>
      </c>
      <c r="E315" s="4">
        <v>3.315980707</v>
      </c>
      <c r="F315" s="4">
        <v>200</v>
      </c>
      <c r="G315" s="4">
        <v>10.97938665</v>
      </c>
      <c r="H315" s="4">
        <v>13.609999999999998</v>
      </c>
      <c r="I315" s="4">
        <v>7</v>
      </c>
    </row>
    <row r="316" spans="1:9">
      <c r="A316" s="4" t="s">
        <v>2573</v>
      </c>
      <c r="B316" s="4">
        <v>407</v>
      </c>
      <c r="C316" s="4" t="s">
        <v>2531</v>
      </c>
      <c r="D316" s="4">
        <v>43</v>
      </c>
      <c r="E316" s="4">
        <v>3.315980707</v>
      </c>
      <c r="F316" s="4">
        <v>0</v>
      </c>
      <c r="G316" s="4">
        <v>0.33355800499999999</v>
      </c>
      <c r="H316" s="4">
        <v>0.40140378646702268</v>
      </c>
      <c r="I316" s="4">
        <v>7</v>
      </c>
    </row>
    <row r="317" spans="1:9">
      <c r="A317" s="4" t="s">
        <v>2574</v>
      </c>
      <c r="B317" s="4">
        <v>407</v>
      </c>
      <c r="C317" s="4" t="s">
        <v>2531</v>
      </c>
      <c r="D317" s="4">
        <v>44</v>
      </c>
      <c r="E317" s="4">
        <v>3.315980707</v>
      </c>
      <c r="F317" s="4">
        <v>0.01</v>
      </c>
      <c r="G317" s="4">
        <v>0.28969233300000002</v>
      </c>
      <c r="H317" s="4">
        <v>0.40874044074125171</v>
      </c>
      <c r="I317" s="4">
        <v>7</v>
      </c>
    </row>
    <row r="318" spans="1:9">
      <c r="A318" s="4" t="s">
        <v>2575</v>
      </c>
      <c r="B318" s="4">
        <v>407</v>
      </c>
      <c r="C318" s="4" t="s">
        <v>2531</v>
      </c>
      <c r="D318" s="4">
        <v>45</v>
      </c>
      <c r="E318" s="4">
        <v>3.315980707</v>
      </c>
      <c r="F318" s="4">
        <v>0.1</v>
      </c>
      <c r="G318" s="4">
        <v>0.74554237700000003</v>
      </c>
      <c r="H318" s="4">
        <v>1.1279417389351865</v>
      </c>
      <c r="I318" s="4">
        <v>7</v>
      </c>
    </row>
    <row r="319" spans="1:9">
      <c r="A319" s="4" t="s">
        <v>2576</v>
      </c>
      <c r="B319" s="4">
        <v>407</v>
      </c>
      <c r="C319" s="4" t="s">
        <v>2531</v>
      </c>
      <c r="D319" s="4">
        <v>46</v>
      </c>
      <c r="E319" s="4">
        <v>3.315980707</v>
      </c>
      <c r="F319" s="4">
        <v>1</v>
      </c>
      <c r="G319" s="4">
        <v>2.4919939950000001</v>
      </c>
      <c r="H319" s="4">
        <v>13.357497354173526</v>
      </c>
      <c r="I319" s="4">
        <v>7</v>
      </c>
    </row>
    <row r="320" spans="1:9">
      <c r="A320" s="4" t="s">
        <v>2577</v>
      </c>
      <c r="B320" s="4">
        <v>407</v>
      </c>
      <c r="C320" s="4" t="s">
        <v>2531</v>
      </c>
      <c r="D320" s="4">
        <v>47</v>
      </c>
      <c r="E320" s="4">
        <v>3.315980707</v>
      </c>
      <c r="F320" s="4">
        <v>10</v>
      </c>
      <c r="G320" s="4">
        <v>5.2874916220000001</v>
      </c>
      <c r="H320" s="4">
        <v>13.609999999896246</v>
      </c>
      <c r="I320" s="4">
        <v>7</v>
      </c>
    </row>
    <row r="321" spans="1:9">
      <c r="A321" s="4" t="s">
        <v>2578</v>
      </c>
      <c r="B321" s="4">
        <v>407</v>
      </c>
      <c r="C321" s="4" t="s">
        <v>2531</v>
      </c>
      <c r="D321" s="4">
        <v>48</v>
      </c>
      <c r="E321" s="4">
        <v>3.315980707</v>
      </c>
      <c r="F321" s="4">
        <v>200</v>
      </c>
      <c r="G321" s="4">
        <v>11.338564379999999</v>
      </c>
      <c r="H321" s="4">
        <v>13.609999999999998</v>
      </c>
      <c r="I321" s="4">
        <v>7</v>
      </c>
    </row>
    <row r="322" spans="1:9">
      <c r="A322" s="4" t="s">
        <v>2579</v>
      </c>
      <c r="B322" s="4">
        <v>407</v>
      </c>
      <c r="C322" s="4" t="s">
        <v>2531</v>
      </c>
      <c r="D322" s="4">
        <v>49</v>
      </c>
      <c r="E322" s="4">
        <v>3.315980707</v>
      </c>
      <c r="F322" s="4">
        <v>0</v>
      </c>
      <c r="G322" s="4">
        <v>0.33852574200000002</v>
      </c>
      <c r="H322" s="4">
        <v>0.40140378646702268</v>
      </c>
      <c r="I322" s="4">
        <v>7</v>
      </c>
    </row>
    <row r="323" spans="1:9">
      <c r="A323" s="4" t="s">
        <v>2580</v>
      </c>
      <c r="B323" s="4">
        <v>407</v>
      </c>
      <c r="C323" s="4" t="s">
        <v>2531</v>
      </c>
      <c r="D323" s="4">
        <v>50</v>
      </c>
      <c r="E323" s="4">
        <v>3.315980707</v>
      </c>
      <c r="F323" s="4">
        <v>0.01</v>
      </c>
      <c r="G323" s="4">
        <v>0.320202655</v>
      </c>
      <c r="H323" s="4">
        <v>0.40874044074125171</v>
      </c>
      <c r="I323" s="4">
        <v>7</v>
      </c>
    </row>
    <row r="324" spans="1:9">
      <c r="A324" s="4" t="s">
        <v>2581</v>
      </c>
      <c r="B324" s="4">
        <v>407</v>
      </c>
      <c r="C324" s="4" t="s">
        <v>2531</v>
      </c>
      <c r="D324" s="4">
        <v>51</v>
      </c>
      <c r="E324" s="4">
        <v>3.315980707</v>
      </c>
      <c r="F324" s="4">
        <v>0.1</v>
      </c>
      <c r="G324" s="4">
        <v>0.74279137399999995</v>
      </c>
      <c r="H324" s="4">
        <v>1.1279417389351865</v>
      </c>
      <c r="I324" s="4">
        <v>7</v>
      </c>
    </row>
    <row r="325" spans="1:9">
      <c r="A325" s="4" t="s">
        <v>2582</v>
      </c>
      <c r="B325" s="4">
        <v>407</v>
      </c>
      <c r="C325" s="4" t="s">
        <v>2531</v>
      </c>
      <c r="D325" s="4">
        <v>52</v>
      </c>
      <c r="E325" s="4">
        <v>3.315980707</v>
      </c>
      <c r="F325" s="4">
        <v>1</v>
      </c>
      <c r="G325" s="4">
        <v>2.4011809789999998</v>
      </c>
      <c r="H325" s="4">
        <v>13.357497354173526</v>
      </c>
      <c r="I325" s="4">
        <v>7</v>
      </c>
    </row>
    <row r="326" spans="1:9">
      <c r="A326" s="4" t="s">
        <v>2583</v>
      </c>
      <c r="B326" s="4">
        <v>407</v>
      </c>
      <c r="C326" s="4" t="s">
        <v>2531</v>
      </c>
      <c r="D326" s="4">
        <v>53</v>
      </c>
      <c r="E326" s="4">
        <v>3.315980707</v>
      </c>
      <c r="F326" s="4">
        <v>10</v>
      </c>
      <c r="G326" s="4">
        <v>5.2639929299999997</v>
      </c>
      <c r="H326" s="4">
        <v>13.609999999896246</v>
      </c>
      <c r="I326" s="4">
        <v>7</v>
      </c>
    </row>
    <row r="327" spans="1:9">
      <c r="A327" s="4" t="s">
        <v>2584</v>
      </c>
      <c r="B327" s="4">
        <v>407</v>
      </c>
      <c r="C327" s="4" t="s">
        <v>2531</v>
      </c>
      <c r="D327" s="4">
        <v>54</v>
      </c>
      <c r="E327" s="4">
        <v>3.315980707</v>
      </c>
      <c r="F327" s="4">
        <v>200</v>
      </c>
      <c r="G327" s="4">
        <v>11.448797219999999</v>
      </c>
      <c r="H327" s="4">
        <v>13.609999999999998</v>
      </c>
      <c r="I327" s="4">
        <v>7</v>
      </c>
    </row>
    <row r="328" spans="1:9">
      <c r="A328" s="4" t="s">
        <v>2585</v>
      </c>
      <c r="B328" s="4">
        <v>408</v>
      </c>
      <c r="C328" s="4" t="s">
        <v>2586</v>
      </c>
      <c r="D328" s="4">
        <v>1</v>
      </c>
      <c r="E328" s="4">
        <v>1.4354824E-2</v>
      </c>
      <c r="F328" s="4">
        <v>1E-3</v>
      </c>
      <c r="G328" s="4">
        <v>0.100572804</v>
      </c>
      <c r="H328" s="4">
        <v>0.14635396790832669</v>
      </c>
      <c r="I328" s="4">
        <v>7</v>
      </c>
    </row>
    <row r="329" spans="1:9">
      <c r="A329" s="4" t="s">
        <v>2587</v>
      </c>
      <c r="B329" s="4">
        <v>408</v>
      </c>
      <c r="C329" s="4" t="s">
        <v>2586</v>
      </c>
      <c r="D329" s="4">
        <v>2</v>
      </c>
      <c r="E329" s="4">
        <v>1.4354824E-2</v>
      </c>
      <c r="F329" s="4">
        <v>0.01</v>
      </c>
      <c r="G329" s="4">
        <v>8.8147006E-2</v>
      </c>
      <c r="H329" s="4">
        <v>0.14635453590029818</v>
      </c>
      <c r="I329" s="4">
        <v>7</v>
      </c>
    </row>
    <row r="330" spans="1:9">
      <c r="A330" s="4" t="s">
        <v>2588</v>
      </c>
      <c r="B330" s="4">
        <v>408</v>
      </c>
      <c r="C330" s="4" t="s">
        <v>2586</v>
      </c>
      <c r="D330" s="4">
        <v>3</v>
      </c>
      <c r="E330" s="4">
        <v>1.4354824E-2</v>
      </c>
      <c r="F330" s="4">
        <v>0.05</v>
      </c>
      <c r="G330" s="4">
        <v>9.4261624000000002E-2</v>
      </c>
      <c r="H330" s="4">
        <v>0.14636811241873232</v>
      </c>
      <c r="I330" s="4">
        <v>7</v>
      </c>
    </row>
    <row r="331" spans="1:9">
      <c r="A331" s="4" t="s">
        <v>2589</v>
      </c>
      <c r="B331" s="4">
        <v>408</v>
      </c>
      <c r="C331" s="4" t="s">
        <v>2586</v>
      </c>
      <c r="D331" s="4">
        <v>4</v>
      </c>
      <c r="E331" s="4">
        <v>1.4354824E-2</v>
      </c>
      <c r="F331" s="4">
        <v>0.1</v>
      </c>
      <c r="G331" s="4">
        <v>9.4670923000000004E-2</v>
      </c>
      <c r="H331" s="4">
        <v>0.14640961789582579</v>
      </c>
      <c r="I331" s="4">
        <v>7</v>
      </c>
    </row>
    <row r="332" spans="1:9">
      <c r="A332" s="4" t="s">
        <v>2590</v>
      </c>
      <c r="B332" s="4">
        <v>408</v>
      </c>
      <c r="C332" s="4" t="s">
        <v>2586</v>
      </c>
      <c r="D332" s="4">
        <v>5</v>
      </c>
      <c r="E332" s="4">
        <v>1.4354824E-2</v>
      </c>
      <c r="F332" s="4">
        <v>1</v>
      </c>
      <c r="G332" s="4">
        <v>9.9289315000000003E-2</v>
      </c>
      <c r="H332" s="4">
        <v>0.15055467830308203</v>
      </c>
      <c r="I332" s="4">
        <v>7</v>
      </c>
    </row>
    <row r="333" spans="1:9">
      <c r="A333" s="4" t="s">
        <v>2591</v>
      </c>
      <c r="B333" s="4">
        <v>408</v>
      </c>
      <c r="C333" s="4" t="s">
        <v>2586</v>
      </c>
      <c r="D333" s="4">
        <v>6</v>
      </c>
      <c r="E333" s="4">
        <v>1.4354824E-2</v>
      </c>
      <c r="F333" s="4">
        <v>100</v>
      </c>
      <c r="G333" s="4">
        <v>0.40980408400000001</v>
      </c>
      <c r="H333" s="4">
        <v>0.32138285628170615</v>
      </c>
      <c r="I333" s="4">
        <v>7</v>
      </c>
    </row>
    <row r="334" spans="1:9">
      <c r="A334" s="4" t="s">
        <v>2592</v>
      </c>
      <c r="B334" s="4">
        <v>408</v>
      </c>
      <c r="C334" s="4" t="s">
        <v>2586</v>
      </c>
      <c r="D334" s="4">
        <v>7</v>
      </c>
      <c r="E334" s="4">
        <v>1.4354824E-2</v>
      </c>
      <c r="F334" s="4">
        <v>1E-3</v>
      </c>
      <c r="G334" s="4">
        <v>0.112981225</v>
      </c>
      <c r="H334" s="4">
        <v>0.14635396790832669</v>
      </c>
      <c r="I334" s="4">
        <v>7</v>
      </c>
    </row>
    <row r="335" spans="1:9">
      <c r="A335" s="4" t="s">
        <v>2593</v>
      </c>
      <c r="B335" s="4">
        <v>408</v>
      </c>
      <c r="C335" s="4" t="s">
        <v>2586</v>
      </c>
      <c r="D335" s="4">
        <v>8</v>
      </c>
      <c r="E335" s="4">
        <v>1.4354824E-2</v>
      </c>
      <c r="F335" s="4">
        <v>0.01</v>
      </c>
      <c r="G335" s="4">
        <v>9.6085258000000007E-2</v>
      </c>
      <c r="H335" s="4">
        <v>0.14635453590029818</v>
      </c>
      <c r="I335" s="4">
        <v>7</v>
      </c>
    </row>
    <row r="336" spans="1:9">
      <c r="A336" s="4" t="s">
        <v>2594</v>
      </c>
      <c r="B336" s="4">
        <v>408</v>
      </c>
      <c r="C336" s="4" t="s">
        <v>2586</v>
      </c>
      <c r="D336" s="4">
        <v>9</v>
      </c>
      <c r="E336" s="4">
        <v>1.4354824E-2</v>
      </c>
      <c r="F336" s="4">
        <v>0.05</v>
      </c>
      <c r="G336" s="4">
        <v>8.5470448000000004E-2</v>
      </c>
      <c r="H336" s="4">
        <v>0.14636811241873232</v>
      </c>
      <c r="I336" s="4">
        <v>7</v>
      </c>
    </row>
    <row r="337" spans="1:9">
      <c r="A337" s="4" t="s">
        <v>2595</v>
      </c>
      <c r="B337" s="4">
        <v>408</v>
      </c>
      <c r="C337" s="4" t="s">
        <v>2586</v>
      </c>
      <c r="D337" s="4">
        <v>10</v>
      </c>
      <c r="E337" s="4">
        <v>1.4354824E-2</v>
      </c>
      <c r="F337" s="4">
        <v>0.1</v>
      </c>
      <c r="G337" s="4">
        <v>9.354055E-2</v>
      </c>
      <c r="H337" s="4">
        <v>0.14640961789582579</v>
      </c>
      <c r="I337" s="4">
        <v>7</v>
      </c>
    </row>
    <row r="338" spans="1:9">
      <c r="A338" s="4" t="s">
        <v>2596</v>
      </c>
      <c r="B338" s="4">
        <v>408</v>
      </c>
      <c r="C338" s="4" t="s">
        <v>2586</v>
      </c>
      <c r="D338" s="4">
        <v>11</v>
      </c>
      <c r="E338" s="4">
        <v>1.4354824E-2</v>
      </c>
      <c r="F338" s="4">
        <v>1</v>
      </c>
      <c r="G338" s="4">
        <v>9.9543639000000003E-2</v>
      </c>
      <c r="H338" s="4">
        <v>0.15055467830308203</v>
      </c>
      <c r="I338" s="4">
        <v>7</v>
      </c>
    </row>
    <row r="339" spans="1:9">
      <c r="A339" s="4" t="s">
        <v>2597</v>
      </c>
      <c r="B339" s="4">
        <v>408</v>
      </c>
      <c r="C339" s="4" t="s">
        <v>2586</v>
      </c>
      <c r="D339" s="4">
        <v>12</v>
      </c>
      <c r="E339" s="4">
        <v>1.4354824E-2</v>
      </c>
      <c r="F339" s="4">
        <v>100</v>
      </c>
      <c r="G339" s="4">
        <v>0.33522023000000001</v>
      </c>
      <c r="H339" s="4">
        <v>0.32138285628170615</v>
      </c>
      <c r="I339" s="4">
        <v>7</v>
      </c>
    </row>
    <row r="340" spans="1:9">
      <c r="A340" s="4" t="s">
        <v>2598</v>
      </c>
      <c r="B340" s="4">
        <v>408</v>
      </c>
      <c r="C340" s="4" t="s">
        <v>2586</v>
      </c>
      <c r="D340" s="4">
        <v>13</v>
      </c>
      <c r="E340" s="4">
        <v>1.4354824E-2</v>
      </c>
      <c r="F340" s="4">
        <v>1E-3</v>
      </c>
      <c r="G340" s="4">
        <v>0.10347833300000001</v>
      </c>
      <c r="H340" s="4">
        <v>0.14635396790832669</v>
      </c>
      <c r="I340" s="4">
        <v>7</v>
      </c>
    </row>
    <row r="341" spans="1:9">
      <c r="A341" s="4" t="s">
        <v>2599</v>
      </c>
      <c r="B341" s="4">
        <v>408</v>
      </c>
      <c r="C341" s="4" t="s">
        <v>2586</v>
      </c>
      <c r="D341" s="4">
        <v>14</v>
      </c>
      <c r="E341" s="4">
        <v>1.4354824E-2</v>
      </c>
      <c r="F341" s="4">
        <v>0.01</v>
      </c>
      <c r="G341" s="4">
        <v>8.9764485000000005E-2</v>
      </c>
      <c r="H341" s="4">
        <v>0.14635453590029818</v>
      </c>
      <c r="I341" s="4">
        <v>7</v>
      </c>
    </row>
    <row r="342" spans="1:9">
      <c r="A342" s="4" t="s">
        <v>2600</v>
      </c>
      <c r="B342" s="4">
        <v>408</v>
      </c>
      <c r="C342" s="4" t="s">
        <v>2586</v>
      </c>
      <c r="D342" s="4">
        <v>15</v>
      </c>
      <c r="E342" s="4">
        <v>1.4354824E-2</v>
      </c>
      <c r="F342" s="4">
        <v>0.05</v>
      </c>
      <c r="G342" s="4">
        <v>8.8081810999999996E-2</v>
      </c>
      <c r="H342" s="4">
        <v>0.14636811241873232</v>
      </c>
      <c r="I342" s="4">
        <v>7</v>
      </c>
    </row>
    <row r="343" spans="1:9">
      <c r="A343" s="4" t="s">
        <v>2601</v>
      </c>
      <c r="B343" s="4">
        <v>408</v>
      </c>
      <c r="C343" s="4" t="s">
        <v>2586</v>
      </c>
      <c r="D343" s="4">
        <v>16</v>
      </c>
      <c r="E343" s="4">
        <v>1.4354824E-2</v>
      </c>
      <c r="F343" s="4">
        <v>0.1</v>
      </c>
      <c r="G343" s="4">
        <v>9.1451039999999997E-2</v>
      </c>
      <c r="H343" s="4">
        <v>0.14640961789582579</v>
      </c>
      <c r="I343" s="4">
        <v>7</v>
      </c>
    </row>
    <row r="344" spans="1:9">
      <c r="A344" s="4" t="s">
        <v>2602</v>
      </c>
      <c r="B344" s="4">
        <v>408</v>
      </c>
      <c r="C344" s="4" t="s">
        <v>2586</v>
      </c>
      <c r="D344" s="4">
        <v>17</v>
      </c>
      <c r="E344" s="4">
        <v>1.4354824E-2</v>
      </c>
      <c r="F344" s="4">
        <v>1</v>
      </c>
      <c r="G344" s="4">
        <v>9.7194800999999997E-2</v>
      </c>
      <c r="H344" s="4">
        <v>0.15055467830308203</v>
      </c>
      <c r="I344" s="4">
        <v>7</v>
      </c>
    </row>
    <row r="345" spans="1:9">
      <c r="A345" s="4" t="s">
        <v>2603</v>
      </c>
      <c r="B345" s="4">
        <v>408</v>
      </c>
      <c r="C345" s="4" t="s">
        <v>2586</v>
      </c>
      <c r="D345" s="4">
        <v>18</v>
      </c>
      <c r="E345" s="4">
        <v>1.4354824E-2</v>
      </c>
      <c r="F345" s="4">
        <v>100</v>
      </c>
      <c r="G345" s="4">
        <v>0.39882462400000002</v>
      </c>
      <c r="H345" s="4">
        <v>0.32138285628170615</v>
      </c>
      <c r="I345" s="4">
        <v>7</v>
      </c>
    </row>
    <row r="346" spans="1:9">
      <c r="A346" s="4" t="s">
        <v>2604</v>
      </c>
      <c r="B346" s="4">
        <v>408</v>
      </c>
      <c r="C346" s="4" t="s">
        <v>2586</v>
      </c>
      <c r="D346" s="4">
        <v>19</v>
      </c>
      <c r="E346" s="4">
        <v>0.48009342799999999</v>
      </c>
      <c r="F346" s="4">
        <v>1E-3</v>
      </c>
      <c r="G346" s="4">
        <v>0.118547244</v>
      </c>
      <c r="H346" s="4">
        <v>0.14636040230475469</v>
      </c>
      <c r="I346" s="4">
        <v>7</v>
      </c>
    </row>
    <row r="347" spans="1:9">
      <c r="A347" s="4" t="s">
        <v>2605</v>
      </c>
      <c r="B347" s="4">
        <v>408</v>
      </c>
      <c r="C347" s="4" t="s">
        <v>2586</v>
      </c>
      <c r="D347" s="4">
        <v>20</v>
      </c>
      <c r="E347" s="4">
        <v>0.48009342799999999</v>
      </c>
      <c r="F347" s="4">
        <v>0.01</v>
      </c>
      <c r="G347" s="4">
        <v>0.119219991</v>
      </c>
      <c r="H347" s="4">
        <v>0.1469957127321013</v>
      </c>
      <c r="I347" s="4">
        <v>7</v>
      </c>
    </row>
    <row r="348" spans="1:9">
      <c r="A348" s="4" t="s">
        <v>2606</v>
      </c>
      <c r="B348" s="4">
        <v>408</v>
      </c>
      <c r="C348" s="4" t="s">
        <v>2586</v>
      </c>
      <c r="D348" s="4">
        <v>21</v>
      </c>
      <c r="E348" s="4">
        <v>0.48009342799999999</v>
      </c>
      <c r="F348" s="4">
        <v>0.05</v>
      </c>
      <c r="G348" s="4">
        <v>0.124216953</v>
      </c>
      <c r="H348" s="4">
        <v>0.16217108186823123</v>
      </c>
      <c r="I348" s="4">
        <v>7</v>
      </c>
    </row>
    <row r="349" spans="1:9">
      <c r="A349" s="4" t="s">
        <v>2607</v>
      </c>
      <c r="B349" s="4">
        <v>408</v>
      </c>
      <c r="C349" s="4" t="s">
        <v>2586</v>
      </c>
      <c r="D349" s="4">
        <v>22</v>
      </c>
      <c r="E349" s="4">
        <v>0.48009342799999999</v>
      </c>
      <c r="F349" s="4">
        <v>0.1</v>
      </c>
      <c r="G349" s="4">
        <v>0.22277148099999999</v>
      </c>
      <c r="H349" s="4">
        <v>0.20844283335919211</v>
      </c>
      <c r="I349" s="4">
        <v>7</v>
      </c>
    </row>
    <row r="350" spans="1:9">
      <c r="A350" s="4" t="s">
        <v>2608</v>
      </c>
      <c r="B350" s="4">
        <v>408</v>
      </c>
      <c r="C350" s="4" t="s">
        <v>2586</v>
      </c>
      <c r="D350" s="4">
        <v>23</v>
      </c>
      <c r="E350" s="4">
        <v>0.48009342799999999</v>
      </c>
      <c r="F350" s="4">
        <v>1</v>
      </c>
      <c r="G350" s="4">
        <v>6.2439536029999996</v>
      </c>
      <c r="H350" s="4">
        <v>4.02952797004101</v>
      </c>
      <c r="I350" s="4">
        <v>7</v>
      </c>
    </row>
    <row r="351" spans="1:9">
      <c r="A351" s="4" t="s">
        <v>2609</v>
      </c>
      <c r="B351" s="4">
        <v>408</v>
      </c>
      <c r="C351" s="4" t="s">
        <v>2586</v>
      </c>
      <c r="D351" s="4">
        <v>24</v>
      </c>
      <c r="E351" s="4">
        <v>0.48009342799999999</v>
      </c>
      <c r="F351" s="4">
        <v>100</v>
      </c>
      <c r="G351" s="4">
        <v>8.4634319439999999</v>
      </c>
      <c r="H351" s="4">
        <v>13.60386784474789</v>
      </c>
      <c r="I351" s="4">
        <v>7</v>
      </c>
    </row>
    <row r="352" spans="1:9">
      <c r="A352" s="4" t="s">
        <v>2610</v>
      </c>
      <c r="B352" s="4">
        <v>408</v>
      </c>
      <c r="C352" s="4" t="s">
        <v>2586</v>
      </c>
      <c r="D352" s="4">
        <v>25</v>
      </c>
      <c r="E352" s="4">
        <v>0.48009342799999999</v>
      </c>
      <c r="F352" s="4">
        <v>1E-3</v>
      </c>
      <c r="G352" s="4">
        <v>0.12696600699999999</v>
      </c>
      <c r="H352" s="4">
        <v>0.14636040230475469</v>
      </c>
      <c r="I352" s="4">
        <v>7</v>
      </c>
    </row>
    <row r="353" spans="1:9">
      <c r="A353" s="4" t="s">
        <v>2611</v>
      </c>
      <c r="B353" s="4">
        <v>408</v>
      </c>
      <c r="C353" s="4" t="s">
        <v>2586</v>
      </c>
      <c r="D353" s="4">
        <v>26</v>
      </c>
      <c r="E353" s="4">
        <v>0.48009342799999999</v>
      </c>
      <c r="F353" s="4">
        <v>0.01</v>
      </c>
      <c r="G353" s="4">
        <v>0.107553095</v>
      </c>
      <c r="H353" s="4">
        <v>0.1469957127321013</v>
      </c>
      <c r="I353" s="4">
        <v>7</v>
      </c>
    </row>
    <row r="354" spans="1:9">
      <c r="A354" s="4" t="s">
        <v>2612</v>
      </c>
      <c r="B354" s="4">
        <v>408</v>
      </c>
      <c r="C354" s="4" t="s">
        <v>2586</v>
      </c>
      <c r="D354" s="4">
        <v>27</v>
      </c>
      <c r="E354" s="4">
        <v>0.48009342799999999</v>
      </c>
      <c r="F354" s="4">
        <v>0.05</v>
      </c>
      <c r="G354" s="4">
        <v>0.14573689100000001</v>
      </c>
      <c r="H354" s="4">
        <v>0.16217108186823123</v>
      </c>
      <c r="I354" s="4">
        <v>7</v>
      </c>
    </row>
    <row r="355" spans="1:9">
      <c r="A355" s="4" t="s">
        <v>2613</v>
      </c>
      <c r="B355" s="4">
        <v>408</v>
      </c>
      <c r="C355" s="4" t="s">
        <v>2586</v>
      </c>
      <c r="D355" s="4">
        <v>28</v>
      </c>
      <c r="E355" s="4">
        <v>0.48009342799999999</v>
      </c>
      <c r="F355" s="4">
        <v>0.1</v>
      </c>
      <c r="G355" s="4">
        <v>0.23563218399999999</v>
      </c>
      <c r="H355" s="4">
        <v>0.20844283335919211</v>
      </c>
      <c r="I355" s="4">
        <v>7</v>
      </c>
    </row>
    <row r="356" spans="1:9">
      <c r="A356" s="4" t="s">
        <v>2614</v>
      </c>
      <c r="B356" s="4">
        <v>408</v>
      </c>
      <c r="C356" s="4" t="s">
        <v>2586</v>
      </c>
      <c r="D356" s="4">
        <v>29</v>
      </c>
      <c r="E356" s="4">
        <v>0.48009342799999999</v>
      </c>
      <c r="F356" s="4">
        <v>1</v>
      </c>
      <c r="G356" s="4">
        <v>6.2121078750000001</v>
      </c>
      <c r="H356" s="4">
        <v>4.02952797004101</v>
      </c>
      <c r="I356" s="4">
        <v>7</v>
      </c>
    </row>
    <row r="357" spans="1:9">
      <c r="A357" s="4" t="s">
        <v>2615</v>
      </c>
      <c r="B357" s="4">
        <v>408</v>
      </c>
      <c r="C357" s="4" t="s">
        <v>2586</v>
      </c>
      <c r="D357" s="4">
        <v>30</v>
      </c>
      <c r="E357" s="4">
        <v>0.48009342799999999</v>
      </c>
      <c r="F357" s="4">
        <v>100</v>
      </c>
      <c r="G357" s="4">
        <v>8.5030949109999998</v>
      </c>
      <c r="H357" s="4">
        <v>13.60386784474789</v>
      </c>
      <c r="I357" s="4">
        <v>7</v>
      </c>
    </row>
    <row r="358" spans="1:9">
      <c r="A358" s="4" t="s">
        <v>2616</v>
      </c>
      <c r="B358" s="4">
        <v>408</v>
      </c>
      <c r="C358" s="4" t="s">
        <v>2586</v>
      </c>
      <c r="D358" s="4">
        <v>31</v>
      </c>
      <c r="E358" s="4">
        <v>0.48009342799999999</v>
      </c>
      <c r="F358" s="4">
        <v>1E-3</v>
      </c>
      <c r="G358" s="4">
        <v>0.123432371</v>
      </c>
      <c r="H358" s="4">
        <v>0.14636040230475469</v>
      </c>
      <c r="I358" s="4">
        <v>7</v>
      </c>
    </row>
    <row r="359" spans="1:9">
      <c r="A359" s="4" t="s">
        <v>2617</v>
      </c>
      <c r="B359" s="4">
        <v>408</v>
      </c>
      <c r="C359" s="4" t="s">
        <v>2586</v>
      </c>
      <c r="D359" s="4">
        <v>32</v>
      </c>
      <c r="E359" s="4">
        <v>0.48009342799999999</v>
      </c>
      <c r="F359" s="4">
        <v>0.01</v>
      </c>
      <c r="G359" s="4">
        <v>0.110357025</v>
      </c>
      <c r="H359" s="4">
        <v>0.1469957127321013</v>
      </c>
      <c r="I359" s="4">
        <v>7</v>
      </c>
    </row>
    <row r="360" spans="1:9">
      <c r="A360" s="4" t="s">
        <v>2618</v>
      </c>
      <c r="B360" s="4">
        <v>408</v>
      </c>
      <c r="C360" s="4" t="s">
        <v>2586</v>
      </c>
      <c r="D360" s="4">
        <v>33</v>
      </c>
      <c r="E360" s="4">
        <v>0.48009342799999999</v>
      </c>
      <c r="F360" s="4">
        <v>0.05</v>
      </c>
      <c r="G360" s="4">
        <v>0.12598716700000001</v>
      </c>
      <c r="H360" s="4">
        <v>0.16217108186823123</v>
      </c>
      <c r="I360" s="4">
        <v>7</v>
      </c>
    </row>
    <row r="361" spans="1:9">
      <c r="A361" s="4" t="s">
        <v>2619</v>
      </c>
      <c r="B361" s="4">
        <v>408</v>
      </c>
      <c r="C361" s="4" t="s">
        <v>2586</v>
      </c>
      <c r="D361" s="4">
        <v>34</v>
      </c>
      <c r="E361" s="4">
        <v>0.48009342799999999</v>
      </c>
      <c r="F361" s="4">
        <v>0.1</v>
      </c>
      <c r="G361" s="4">
        <v>0.224898769</v>
      </c>
      <c r="H361" s="4">
        <v>0.20844283335919211</v>
      </c>
      <c r="I361" s="4">
        <v>7</v>
      </c>
    </row>
    <row r="362" spans="1:9">
      <c r="A362" s="4" t="s">
        <v>2620</v>
      </c>
      <c r="B362" s="4">
        <v>408</v>
      </c>
      <c r="C362" s="4" t="s">
        <v>2586</v>
      </c>
      <c r="D362" s="4">
        <v>35</v>
      </c>
      <c r="E362" s="4">
        <v>0.48009342799999999</v>
      </c>
      <c r="F362" s="4">
        <v>1</v>
      </c>
      <c r="G362" s="4">
        <v>6.2697955539999999</v>
      </c>
      <c r="H362" s="4">
        <v>4.02952797004101</v>
      </c>
      <c r="I362" s="4">
        <v>7</v>
      </c>
    </row>
    <row r="363" spans="1:9">
      <c r="A363" s="4" t="s">
        <v>2621</v>
      </c>
      <c r="B363" s="4">
        <v>408</v>
      </c>
      <c r="C363" s="4" t="s">
        <v>2586</v>
      </c>
      <c r="D363" s="4">
        <v>36</v>
      </c>
      <c r="E363" s="4">
        <v>0.48009342799999999</v>
      </c>
      <c r="F363" s="4">
        <v>100</v>
      </c>
      <c r="G363" s="4">
        <v>8.8207023309999997</v>
      </c>
      <c r="H363" s="4">
        <v>13.60386784474789</v>
      </c>
      <c r="I363" s="4">
        <v>7</v>
      </c>
    </row>
    <row r="364" spans="1:9">
      <c r="A364" s="4" t="s">
        <v>2622</v>
      </c>
      <c r="B364" s="4">
        <v>408</v>
      </c>
      <c r="C364" s="4" t="s">
        <v>2586</v>
      </c>
      <c r="D364" s="4">
        <v>37</v>
      </c>
      <c r="E364" s="4">
        <v>3.315980707</v>
      </c>
      <c r="F364" s="4">
        <v>1E-3</v>
      </c>
      <c r="G364" s="4">
        <v>9.6810180999999995E-2</v>
      </c>
      <c r="H364" s="4">
        <v>0.14666119181587961</v>
      </c>
      <c r="I364" s="4">
        <v>7</v>
      </c>
    </row>
    <row r="365" spans="1:9">
      <c r="A365" s="4" t="s">
        <v>2623</v>
      </c>
      <c r="B365" s="4">
        <v>408</v>
      </c>
      <c r="C365" s="4" t="s">
        <v>2586</v>
      </c>
      <c r="D365" s="4">
        <v>38</v>
      </c>
      <c r="E365" s="4">
        <v>3.315980707</v>
      </c>
      <c r="F365" s="4">
        <v>0.01</v>
      </c>
      <c r="G365" s="4">
        <v>9.6422048999999996E-2</v>
      </c>
      <c r="H365" s="4">
        <v>0.1769303391316861</v>
      </c>
      <c r="I365" s="4">
        <v>7</v>
      </c>
    </row>
    <row r="366" spans="1:9">
      <c r="A366" s="4" t="s">
        <v>2624</v>
      </c>
      <c r="B366" s="4">
        <v>408</v>
      </c>
      <c r="C366" s="4" t="s">
        <v>2586</v>
      </c>
      <c r="D366" s="4">
        <v>39</v>
      </c>
      <c r="E366" s="4">
        <v>3.315980707</v>
      </c>
      <c r="F366" s="4">
        <v>0.05</v>
      </c>
      <c r="G366" s="4">
        <v>0.36726424400000002</v>
      </c>
      <c r="H366" s="4">
        <v>0.87778756817473558</v>
      </c>
      <c r="I366" s="4">
        <v>7</v>
      </c>
    </row>
    <row r="367" spans="1:9">
      <c r="A367" s="4" t="s">
        <v>2625</v>
      </c>
      <c r="B367" s="4">
        <v>408</v>
      </c>
      <c r="C367" s="4" t="s">
        <v>2586</v>
      </c>
      <c r="D367" s="4">
        <v>40</v>
      </c>
      <c r="E367" s="4">
        <v>3.315980707</v>
      </c>
      <c r="F367" s="4">
        <v>0.1</v>
      </c>
      <c r="G367" s="4">
        <v>3.411475925</v>
      </c>
      <c r="H367" s="4">
        <v>2.7744310018822049</v>
      </c>
      <c r="I367" s="4">
        <v>7</v>
      </c>
    </row>
    <row r="368" spans="1:9">
      <c r="A368" s="4" t="s">
        <v>2626</v>
      </c>
      <c r="B368" s="4">
        <v>408</v>
      </c>
      <c r="C368" s="4" t="s">
        <v>2586</v>
      </c>
      <c r="D368" s="4">
        <v>41</v>
      </c>
      <c r="E368" s="4">
        <v>3.315980707</v>
      </c>
      <c r="F368" s="4">
        <v>1</v>
      </c>
      <c r="G368" s="4">
        <v>9.2483105099999996</v>
      </c>
      <c r="H368" s="4">
        <v>13.607218182437055</v>
      </c>
      <c r="I368" s="4">
        <v>7</v>
      </c>
    </row>
    <row r="369" spans="1:9">
      <c r="A369" s="4" t="s">
        <v>2627</v>
      </c>
      <c r="B369" s="4">
        <v>408</v>
      </c>
      <c r="C369" s="4" t="s">
        <v>2586</v>
      </c>
      <c r="D369" s="4">
        <v>42</v>
      </c>
      <c r="E369" s="4">
        <v>3.315980707</v>
      </c>
      <c r="F369" s="4">
        <v>100</v>
      </c>
      <c r="G369" s="4">
        <v>7.2631001059999996</v>
      </c>
      <c r="H369" s="4">
        <v>13.609999999999193</v>
      </c>
      <c r="I369" s="4">
        <v>7</v>
      </c>
    </row>
    <row r="370" spans="1:9">
      <c r="A370" s="4" t="s">
        <v>2628</v>
      </c>
      <c r="B370" s="4">
        <v>408</v>
      </c>
      <c r="C370" s="4" t="s">
        <v>2586</v>
      </c>
      <c r="D370" s="4">
        <v>43</v>
      </c>
      <c r="E370" s="4">
        <v>3.315980707</v>
      </c>
      <c r="F370" s="4">
        <v>1E-3</v>
      </c>
      <c r="G370" s="4">
        <v>0.11786537</v>
      </c>
      <c r="H370" s="4">
        <v>0.14666119181587961</v>
      </c>
      <c r="I370" s="4">
        <v>7</v>
      </c>
    </row>
    <row r="371" spans="1:9">
      <c r="A371" s="4" t="s">
        <v>2629</v>
      </c>
      <c r="B371" s="4">
        <v>408</v>
      </c>
      <c r="C371" s="4" t="s">
        <v>2586</v>
      </c>
      <c r="D371" s="4">
        <v>44</v>
      </c>
      <c r="E371" s="4">
        <v>3.315980707</v>
      </c>
      <c r="F371" s="4">
        <v>0.01</v>
      </c>
      <c r="G371" s="4">
        <v>0.114992285</v>
      </c>
      <c r="H371" s="4">
        <v>0.1769303391316861</v>
      </c>
      <c r="I371" s="4">
        <v>7</v>
      </c>
    </row>
    <row r="372" spans="1:9">
      <c r="A372" s="4" t="s">
        <v>2630</v>
      </c>
      <c r="B372" s="4">
        <v>408</v>
      </c>
      <c r="C372" s="4" t="s">
        <v>2586</v>
      </c>
      <c r="D372" s="4">
        <v>45</v>
      </c>
      <c r="E372" s="4">
        <v>3.315980707</v>
      </c>
      <c r="F372" s="4">
        <v>0.05</v>
      </c>
      <c r="G372" s="4">
        <v>0.480366927</v>
      </c>
      <c r="H372" s="4">
        <v>0.87778756817473558</v>
      </c>
      <c r="I372" s="4">
        <v>7</v>
      </c>
    </row>
    <row r="373" spans="1:9">
      <c r="A373" s="4" t="s">
        <v>2631</v>
      </c>
      <c r="B373" s="4">
        <v>408</v>
      </c>
      <c r="C373" s="4" t="s">
        <v>2586</v>
      </c>
      <c r="D373" s="4">
        <v>46</v>
      </c>
      <c r="E373" s="4">
        <v>3.315980707</v>
      </c>
      <c r="F373" s="4">
        <v>0.1</v>
      </c>
      <c r="G373" s="4">
        <v>3.772535982</v>
      </c>
      <c r="H373" s="4">
        <v>2.7744310018822049</v>
      </c>
      <c r="I373" s="4">
        <v>7</v>
      </c>
    </row>
    <row r="374" spans="1:9">
      <c r="A374" s="4" t="s">
        <v>2632</v>
      </c>
      <c r="B374" s="4">
        <v>408</v>
      </c>
      <c r="C374" s="4" t="s">
        <v>2586</v>
      </c>
      <c r="D374" s="4">
        <v>47</v>
      </c>
      <c r="E374" s="4">
        <v>3.315980707</v>
      </c>
      <c r="F374" s="4">
        <v>1</v>
      </c>
      <c r="G374" s="4">
        <v>8.3514060830000005</v>
      </c>
      <c r="H374" s="4">
        <v>13.607218182437055</v>
      </c>
      <c r="I374" s="4">
        <v>7</v>
      </c>
    </row>
    <row r="375" spans="1:9">
      <c r="A375" s="4" t="s">
        <v>2633</v>
      </c>
      <c r="B375" s="4">
        <v>408</v>
      </c>
      <c r="C375" s="4" t="s">
        <v>2586</v>
      </c>
      <c r="D375" s="4">
        <v>48</v>
      </c>
      <c r="E375" s="4">
        <v>3.315980707</v>
      </c>
      <c r="F375" s="4">
        <v>100</v>
      </c>
      <c r="G375" s="4">
        <v>7.6048502710000001</v>
      </c>
      <c r="H375" s="4">
        <v>13.609999999999193</v>
      </c>
      <c r="I375" s="4">
        <v>7</v>
      </c>
    </row>
    <row r="376" spans="1:9">
      <c r="A376" s="4" t="s">
        <v>2634</v>
      </c>
      <c r="B376" s="4">
        <v>408</v>
      </c>
      <c r="C376" s="4" t="s">
        <v>2586</v>
      </c>
      <c r="D376" s="4">
        <v>49</v>
      </c>
      <c r="E376" s="4">
        <v>3.315980707</v>
      </c>
      <c r="F376" s="4">
        <v>1E-3</v>
      </c>
      <c r="G376" s="4">
        <v>0.111041615</v>
      </c>
      <c r="H376" s="4">
        <v>0.14666119181587961</v>
      </c>
      <c r="I376" s="4">
        <v>7</v>
      </c>
    </row>
    <row r="377" spans="1:9">
      <c r="A377" s="4" t="s">
        <v>2635</v>
      </c>
      <c r="B377" s="4">
        <v>408</v>
      </c>
      <c r="C377" s="4" t="s">
        <v>2586</v>
      </c>
      <c r="D377" s="4">
        <v>50</v>
      </c>
      <c r="E377" s="4">
        <v>3.315980707</v>
      </c>
      <c r="F377" s="4">
        <v>0.01</v>
      </c>
      <c r="G377" s="4">
        <v>9.6422048999999996E-2</v>
      </c>
      <c r="H377" s="4">
        <v>0.1769303391316861</v>
      </c>
      <c r="I377" s="4">
        <v>7</v>
      </c>
    </row>
    <row r="378" spans="1:9">
      <c r="A378" s="4" t="s">
        <v>2636</v>
      </c>
      <c r="B378" s="4">
        <v>408</v>
      </c>
      <c r="C378" s="4" t="s">
        <v>2586</v>
      </c>
      <c r="D378" s="4">
        <v>51</v>
      </c>
      <c r="E378" s="4">
        <v>3.315980707</v>
      </c>
      <c r="F378" s="4">
        <v>0.05</v>
      </c>
      <c r="G378" s="4">
        <v>0.46130431199999999</v>
      </c>
      <c r="H378" s="4">
        <v>0.87778756817473558</v>
      </c>
      <c r="I378" s="4">
        <v>7</v>
      </c>
    </row>
    <row r="379" spans="1:9">
      <c r="A379" s="4" t="s">
        <v>2637</v>
      </c>
      <c r="B379" s="4">
        <v>408</v>
      </c>
      <c r="C379" s="4" t="s">
        <v>2586</v>
      </c>
      <c r="D379" s="4">
        <v>52</v>
      </c>
      <c r="E379" s="4">
        <v>3.315980707</v>
      </c>
      <c r="F379" s="4">
        <v>0.1</v>
      </c>
      <c r="G379" s="4">
        <v>3.944677526</v>
      </c>
      <c r="H379" s="4">
        <v>2.7744310018822049</v>
      </c>
      <c r="I379" s="4">
        <v>7</v>
      </c>
    </row>
    <row r="380" spans="1:9">
      <c r="A380" s="4" t="s">
        <v>2638</v>
      </c>
      <c r="B380" s="4">
        <v>408</v>
      </c>
      <c r="C380" s="4" t="s">
        <v>2586</v>
      </c>
      <c r="D380" s="4">
        <v>53</v>
      </c>
      <c r="E380" s="4">
        <v>3.315980707</v>
      </c>
      <c r="F380" s="4">
        <v>1</v>
      </c>
      <c r="G380" s="4">
        <v>8.3498804720000006</v>
      </c>
      <c r="H380" s="4">
        <v>13.607218182437055</v>
      </c>
      <c r="I380" s="4">
        <v>7</v>
      </c>
    </row>
    <row r="381" spans="1:9">
      <c r="A381" s="4" t="s">
        <v>2639</v>
      </c>
      <c r="B381" s="4">
        <v>408</v>
      </c>
      <c r="C381" s="4" t="s">
        <v>2586</v>
      </c>
      <c r="D381" s="4">
        <v>54</v>
      </c>
      <c r="E381" s="4">
        <v>3.315980707</v>
      </c>
      <c r="F381" s="4">
        <v>100</v>
      </c>
      <c r="G381" s="4">
        <v>7.3592998300000003</v>
      </c>
      <c r="H381" s="4">
        <v>13.609999999999193</v>
      </c>
      <c r="I381" s="4">
        <v>7</v>
      </c>
    </row>
    <row r="382" spans="1:9">
      <c r="A382" s="4" t="s">
        <v>2640</v>
      </c>
      <c r="B382" s="4">
        <v>409</v>
      </c>
      <c r="C382" s="4" t="s">
        <v>2641</v>
      </c>
      <c r="D382" s="4">
        <v>1</v>
      </c>
      <c r="E382" s="4">
        <v>1.4354824E-2</v>
      </c>
      <c r="F382" s="4">
        <v>1E-3</v>
      </c>
      <c r="G382" s="4">
        <v>1.8044535E-2</v>
      </c>
      <c r="H382" s="4">
        <v>2.0652204674772332E-2</v>
      </c>
      <c r="I382" s="4">
        <v>7</v>
      </c>
    </row>
    <row r="383" spans="1:9">
      <c r="A383" s="4" t="s">
        <v>2642</v>
      </c>
      <c r="B383" s="4">
        <v>409</v>
      </c>
      <c r="C383" s="4" t="s">
        <v>2641</v>
      </c>
      <c r="D383" s="4">
        <v>2</v>
      </c>
      <c r="E383" s="4">
        <v>1.4354824E-2</v>
      </c>
      <c r="F383" s="4">
        <v>0.01</v>
      </c>
      <c r="G383" s="4">
        <v>1.8009167999999999E-2</v>
      </c>
      <c r="H383" s="4">
        <v>2.0652234884091718E-2</v>
      </c>
      <c r="I383" s="4">
        <v>7</v>
      </c>
    </row>
    <row r="384" spans="1:9">
      <c r="A384" s="4" t="s">
        <v>2643</v>
      </c>
      <c r="B384" s="4">
        <v>409</v>
      </c>
      <c r="C384" s="4" t="s">
        <v>2641</v>
      </c>
      <c r="D384" s="4">
        <v>3</v>
      </c>
      <c r="E384" s="4">
        <v>1.4354824E-2</v>
      </c>
      <c r="F384" s="4">
        <v>0.05</v>
      </c>
      <c r="G384" s="4">
        <v>1.8766755999999999E-2</v>
      </c>
      <c r="H384" s="4">
        <v>2.0652956967554585E-2</v>
      </c>
      <c r="I384" s="4">
        <v>7</v>
      </c>
    </row>
    <row r="385" spans="1:9">
      <c r="A385" s="4" t="s">
        <v>2644</v>
      </c>
      <c r="B385" s="4">
        <v>409</v>
      </c>
      <c r="C385" s="4" t="s">
        <v>2641</v>
      </c>
      <c r="D385" s="4">
        <v>4</v>
      </c>
      <c r="E385" s="4">
        <v>1.4354824E-2</v>
      </c>
      <c r="F385" s="4">
        <v>0.1</v>
      </c>
      <c r="G385" s="4">
        <v>1.9733621E-2</v>
      </c>
      <c r="H385" s="4">
        <v>2.0655164491168467E-2</v>
      </c>
      <c r="I385" s="4">
        <v>7</v>
      </c>
    </row>
    <row r="386" spans="1:9">
      <c r="A386" s="4" t="s">
        <v>2645</v>
      </c>
      <c r="B386" s="4">
        <v>409</v>
      </c>
      <c r="C386" s="4" t="s">
        <v>2641</v>
      </c>
      <c r="D386" s="4">
        <v>5</v>
      </c>
      <c r="E386" s="4">
        <v>1.4354824E-2</v>
      </c>
      <c r="F386" s="4">
        <v>1</v>
      </c>
      <c r="G386" s="4">
        <v>2.0015429000000001E-2</v>
      </c>
      <c r="H386" s="4">
        <v>2.0875662120493289E-2</v>
      </c>
      <c r="I386" s="4">
        <v>7</v>
      </c>
    </row>
    <row r="387" spans="1:9">
      <c r="A387" s="4" t="s">
        <v>2646</v>
      </c>
      <c r="B387" s="4">
        <v>409</v>
      </c>
      <c r="C387" s="4" t="s">
        <v>2641</v>
      </c>
      <c r="D387" s="4">
        <v>6</v>
      </c>
      <c r="E387" s="4">
        <v>1.4354824E-2</v>
      </c>
      <c r="F387" s="4">
        <v>100</v>
      </c>
      <c r="G387" s="4">
        <v>2.4613980000000001E-2</v>
      </c>
      <c r="H387" s="4">
        <v>3.0027426181220309E-2</v>
      </c>
      <c r="I387" s="4">
        <v>7</v>
      </c>
    </row>
    <row r="388" spans="1:9">
      <c r="A388" s="4" t="s">
        <v>2647</v>
      </c>
      <c r="B388" s="4">
        <v>409</v>
      </c>
      <c r="C388" s="4" t="s">
        <v>2641</v>
      </c>
      <c r="D388" s="4">
        <v>7</v>
      </c>
      <c r="E388" s="4">
        <v>1.4354824E-2</v>
      </c>
      <c r="F388" s="4">
        <v>1E-3</v>
      </c>
      <c r="G388" s="4">
        <v>2.0442359E-2</v>
      </c>
      <c r="H388" s="4">
        <v>2.0652204674772332E-2</v>
      </c>
      <c r="I388" s="4">
        <v>7</v>
      </c>
    </row>
    <row r="389" spans="1:9">
      <c r="A389" s="4" t="s">
        <v>2648</v>
      </c>
      <c r="B389" s="4">
        <v>409</v>
      </c>
      <c r="C389" s="4" t="s">
        <v>2641</v>
      </c>
      <c r="D389" s="4">
        <v>8</v>
      </c>
      <c r="E389" s="4">
        <v>1.4354824E-2</v>
      </c>
      <c r="F389" s="4">
        <v>0.01</v>
      </c>
      <c r="G389" s="4">
        <v>1.9101877E-2</v>
      </c>
      <c r="H389" s="4">
        <v>2.0652234884091718E-2</v>
      </c>
      <c r="I389" s="4">
        <v>7</v>
      </c>
    </row>
    <row r="390" spans="1:9">
      <c r="A390" s="4" t="s">
        <v>2649</v>
      </c>
      <c r="B390" s="4">
        <v>409</v>
      </c>
      <c r="C390" s="4" t="s">
        <v>2641</v>
      </c>
      <c r="D390" s="4">
        <v>9</v>
      </c>
      <c r="E390" s="4">
        <v>1.4354824E-2</v>
      </c>
      <c r="F390" s="4">
        <v>0.05</v>
      </c>
      <c r="G390" s="4">
        <v>1.8769464E-2</v>
      </c>
      <c r="H390" s="4">
        <v>2.0652956967554585E-2</v>
      </c>
      <c r="I390" s="4">
        <v>7</v>
      </c>
    </row>
    <row r="391" spans="1:9">
      <c r="A391" s="4" t="s">
        <v>2650</v>
      </c>
      <c r="B391" s="4">
        <v>409</v>
      </c>
      <c r="C391" s="4" t="s">
        <v>2641</v>
      </c>
      <c r="D391" s="4">
        <v>10</v>
      </c>
      <c r="E391" s="4">
        <v>1.4354824E-2</v>
      </c>
      <c r="F391" s="4">
        <v>0.1</v>
      </c>
      <c r="G391" s="4">
        <v>1.9259505E-2</v>
      </c>
      <c r="H391" s="4">
        <v>2.0655164491168467E-2</v>
      </c>
      <c r="I391" s="4">
        <v>7</v>
      </c>
    </row>
    <row r="392" spans="1:9">
      <c r="A392" s="4" t="s">
        <v>2651</v>
      </c>
      <c r="B392" s="4">
        <v>409</v>
      </c>
      <c r="C392" s="4" t="s">
        <v>2641</v>
      </c>
      <c r="D392" s="4">
        <v>11</v>
      </c>
      <c r="E392" s="4">
        <v>1.4354824E-2</v>
      </c>
      <c r="F392" s="4">
        <v>1</v>
      </c>
      <c r="G392" s="4">
        <v>2.4459122999999999E-2</v>
      </c>
      <c r="H392" s="4">
        <v>2.0875662120493289E-2</v>
      </c>
      <c r="I392" s="4">
        <v>7</v>
      </c>
    </row>
    <row r="393" spans="1:9">
      <c r="A393" s="4" t="s">
        <v>2652</v>
      </c>
      <c r="B393" s="4">
        <v>409</v>
      </c>
      <c r="C393" s="4" t="s">
        <v>2641</v>
      </c>
      <c r="D393" s="4">
        <v>12</v>
      </c>
      <c r="E393" s="4">
        <v>1.4354824E-2</v>
      </c>
      <c r="F393" s="4">
        <v>100</v>
      </c>
      <c r="G393" s="4">
        <v>2.4807939000000001E-2</v>
      </c>
      <c r="H393" s="4">
        <v>3.0027426181220309E-2</v>
      </c>
      <c r="I393" s="4">
        <v>7</v>
      </c>
    </row>
    <row r="394" spans="1:9">
      <c r="A394" s="4" t="s">
        <v>2653</v>
      </c>
      <c r="B394" s="4">
        <v>409</v>
      </c>
      <c r="C394" s="4" t="s">
        <v>2641</v>
      </c>
      <c r="D394" s="4">
        <v>13</v>
      </c>
      <c r="E394" s="4">
        <v>1.4354824E-2</v>
      </c>
      <c r="F394" s="4">
        <v>1E-3</v>
      </c>
      <c r="G394" s="4">
        <v>1.9115377999999999E-2</v>
      </c>
      <c r="H394" s="4">
        <v>2.0652204674772332E-2</v>
      </c>
      <c r="I394" s="4">
        <v>7</v>
      </c>
    </row>
    <row r="395" spans="1:9">
      <c r="A395" s="4" t="s">
        <v>2654</v>
      </c>
      <c r="B395" s="4">
        <v>409</v>
      </c>
      <c r="C395" s="4" t="s">
        <v>2641</v>
      </c>
      <c r="D395" s="4">
        <v>14</v>
      </c>
      <c r="E395" s="4">
        <v>1.4354824E-2</v>
      </c>
      <c r="F395" s="4">
        <v>0.01</v>
      </c>
      <c r="G395" s="4">
        <v>1.7038728E-2</v>
      </c>
      <c r="H395" s="4">
        <v>2.0652234884091718E-2</v>
      </c>
      <c r="I395" s="4">
        <v>7</v>
      </c>
    </row>
    <row r="396" spans="1:9">
      <c r="A396" s="4" t="s">
        <v>2655</v>
      </c>
      <c r="B396" s="4">
        <v>409</v>
      </c>
      <c r="C396" s="4" t="s">
        <v>2641</v>
      </c>
      <c r="D396" s="4">
        <v>15</v>
      </c>
      <c r="E396" s="4">
        <v>1.4354824E-2</v>
      </c>
      <c r="F396" s="4">
        <v>0.05</v>
      </c>
      <c r="G396" s="4">
        <v>1.7831243E-2</v>
      </c>
      <c r="H396" s="4">
        <v>2.0652956967554585E-2</v>
      </c>
      <c r="I396" s="4">
        <v>7</v>
      </c>
    </row>
    <row r="397" spans="1:9">
      <c r="A397" s="4" t="s">
        <v>2656</v>
      </c>
      <c r="B397" s="4">
        <v>409</v>
      </c>
      <c r="C397" s="4" t="s">
        <v>2641</v>
      </c>
      <c r="D397" s="4">
        <v>16</v>
      </c>
      <c r="E397" s="4">
        <v>1.4354824E-2</v>
      </c>
      <c r="F397" s="4">
        <v>0.1</v>
      </c>
      <c r="G397" s="4">
        <v>1.7684489000000001E-2</v>
      </c>
      <c r="H397" s="4">
        <v>2.0655164491168467E-2</v>
      </c>
      <c r="I397" s="4">
        <v>7</v>
      </c>
    </row>
    <row r="398" spans="1:9">
      <c r="A398" s="4" t="s">
        <v>2657</v>
      </c>
      <c r="B398" s="4">
        <v>409</v>
      </c>
      <c r="C398" s="4" t="s">
        <v>2641</v>
      </c>
      <c r="D398" s="4">
        <v>17</v>
      </c>
      <c r="E398" s="4">
        <v>1.4354824E-2</v>
      </c>
      <c r="F398" s="4">
        <v>1</v>
      </c>
      <c r="G398" s="4">
        <v>1.7719504000000001E-2</v>
      </c>
      <c r="H398" s="4">
        <v>2.0875662120493289E-2</v>
      </c>
      <c r="I398" s="4">
        <v>7</v>
      </c>
    </row>
    <row r="399" spans="1:9">
      <c r="A399" s="4" t="s">
        <v>2658</v>
      </c>
      <c r="B399" s="4">
        <v>409</v>
      </c>
      <c r="C399" s="4" t="s">
        <v>2641</v>
      </c>
      <c r="D399" s="4">
        <v>18</v>
      </c>
      <c r="E399" s="4">
        <v>1.4354824E-2</v>
      </c>
      <c r="F399" s="4">
        <v>100</v>
      </c>
      <c r="G399" s="4">
        <v>2.5977817E-2</v>
      </c>
      <c r="H399" s="4">
        <v>3.0027426181220309E-2</v>
      </c>
      <c r="I399" s="4">
        <v>7</v>
      </c>
    </row>
    <row r="400" spans="1:9">
      <c r="A400" s="4" t="s">
        <v>2659</v>
      </c>
      <c r="B400" s="4">
        <v>409</v>
      </c>
      <c r="C400" s="4" t="s">
        <v>2641</v>
      </c>
      <c r="D400" s="4">
        <v>19</v>
      </c>
      <c r="E400" s="4">
        <v>0.48009342799999999</v>
      </c>
      <c r="F400" s="4">
        <v>1E-3</v>
      </c>
      <c r="G400" s="4">
        <v>2.2075438999999999E-2</v>
      </c>
      <c r="H400" s="4">
        <v>2.0652546895772249E-2</v>
      </c>
      <c r="I400" s="4">
        <v>7</v>
      </c>
    </row>
    <row r="401" spans="1:9">
      <c r="A401" s="4" t="s">
        <v>2660</v>
      </c>
      <c r="B401" s="4">
        <v>409</v>
      </c>
      <c r="C401" s="4" t="s">
        <v>2641</v>
      </c>
      <c r="D401" s="4">
        <v>20</v>
      </c>
      <c r="E401" s="4">
        <v>0.48009342799999999</v>
      </c>
      <c r="F401" s="4">
        <v>0.01</v>
      </c>
      <c r="G401" s="4">
        <v>2.1766325E-2</v>
      </c>
      <c r="H401" s="4">
        <v>2.068633750573157E-2</v>
      </c>
      <c r="I401" s="4">
        <v>7</v>
      </c>
    </row>
    <row r="402" spans="1:9">
      <c r="A402" s="4" t="s">
        <v>2661</v>
      </c>
      <c r="B402" s="4">
        <v>409</v>
      </c>
      <c r="C402" s="4" t="s">
        <v>2641</v>
      </c>
      <c r="D402" s="4">
        <v>21</v>
      </c>
      <c r="E402" s="4">
        <v>0.48009342799999999</v>
      </c>
      <c r="F402" s="4">
        <v>0.05</v>
      </c>
      <c r="G402" s="4">
        <v>2.2808031999999999E-2</v>
      </c>
      <c r="H402" s="4">
        <v>2.1493991832023447E-2</v>
      </c>
      <c r="I402" s="4">
        <v>7</v>
      </c>
    </row>
    <row r="403" spans="1:9">
      <c r="A403" s="4" t="s">
        <v>2662</v>
      </c>
      <c r="B403" s="4">
        <v>409</v>
      </c>
      <c r="C403" s="4" t="s">
        <v>2641</v>
      </c>
      <c r="D403" s="4">
        <v>22</v>
      </c>
      <c r="E403" s="4">
        <v>0.48009342799999999</v>
      </c>
      <c r="F403" s="4">
        <v>0.1</v>
      </c>
      <c r="G403" s="4">
        <v>2.6245335000000002E-2</v>
      </c>
      <c r="H403" s="4">
        <v>2.3962743686380135E-2</v>
      </c>
      <c r="I403" s="4">
        <v>7</v>
      </c>
    </row>
    <row r="404" spans="1:9">
      <c r="A404" s="4" t="s">
        <v>2663</v>
      </c>
      <c r="B404" s="4">
        <v>409</v>
      </c>
      <c r="C404" s="4" t="s">
        <v>2641</v>
      </c>
      <c r="D404" s="4">
        <v>23</v>
      </c>
      <c r="E404" s="4">
        <v>0.48009342799999999</v>
      </c>
      <c r="F404" s="4">
        <v>1</v>
      </c>
      <c r="G404" s="4">
        <v>0.53593839099999996</v>
      </c>
      <c r="H404" s="4">
        <v>0.2677283828624934</v>
      </c>
      <c r="I404" s="4">
        <v>7</v>
      </c>
    </row>
    <row r="405" spans="1:9">
      <c r="A405" s="4" t="s">
        <v>2664</v>
      </c>
      <c r="B405" s="4">
        <v>409</v>
      </c>
      <c r="C405" s="4" t="s">
        <v>2641</v>
      </c>
      <c r="D405" s="4">
        <v>24</v>
      </c>
      <c r="E405" s="4">
        <v>0.48009342799999999</v>
      </c>
      <c r="F405" s="4">
        <v>100</v>
      </c>
      <c r="G405" s="4">
        <v>5.1631862980000003</v>
      </c>
      <c r="H405" s="4">
        <v>6.874791906398535</v>
      </c>
      <c r="I405" s="4">
        <v>7</v>
      </c>
    </row>
    <row r="406" spans="1:9">
      <c r="A406" s="4" t="s">
        <v>2665</v>
      </c>
      <c r="B406" s="4">
        <v>409</v>
      </c>
      <c r="C406" s="4" t="s">
        <v>2641</v>
      </c>
      <c r="D406" s="4">
        <v>25</v>
      </c>
      <c r="E406" s="4">
        <v>0.48009342799999999</v>
      </c>
      <c r="F406" s="4">
        <v>1E-3</v>
      </c>
      <c r="G406" s="4">
        <v>2.0878766E-2</v>
      </c>
      <c r="H406" s="4">
        <v>2.0652546895772249E-2</v>
      </c>
      <c r="I406" s="4">
        <v>7</v>
      </c>
    </row>
    <row r="407" spans="1:9">
      <c r="A407" s="4" t="s">
        <v>2666</v>
      </c>
      <c r="B407" s="4">
        <v>409</v>
      </c>
      <c r="C407" s="4" t="s">
        <v>2641</v>
      </c>
      <c r="D407" s="4">
        <v>26</v>
      </c>
      <c r="E407" s="4">
        <v>0.48009342799999999</v>
      </c>
      <c r="F407" s="4">
        <v>0.01</v>
      </c>
      <c r="G407" s="4">
        <v>2.0699209999999999E-2</v>
      </c>
      <c r="H407" s="4">
        <v>2.068633750573157E-2</v>
      </c>
      <c r="I407" s="4">
        <v>7</v>
      </c>
    </row>
    <row r="408" spans="1:9">
      <c r="A408" s="4" t="s">
        <v>2667</v>
      </c>
      <c r="B408" s="4">
        <v>409</v>
      </c>
      <c r="C408" s="4" t="s">
        <v>2641</v>
      </c>
      <c r="D408" s="4">
        <v>27</v>
      </c>
      <c r="E408" s="4">
        <v>0.48009342799999999</v>
      </c>
      <c r="F408" s="4">
        <v>0.05</v>
      </c>
      <c r="G408" s="4">
        <v>2.3084728999999998E-2</v>
      </c>
      <c r="H408" s="4">
        <v>2.1493991832023447E-2</v>
      </c>
      <c r="I408" s="4">
        <v>7</v>
      </c>
    </row>
    <row r="409" spans="1:9">
      <c r="A409" s="4" t="s">
        <v>2668</v>
      </c>
      <c r="B409" s="4">
        <v>409</v>
      </c>
      <c r="C409" s="4" t="s">
        <v>2641</v>
      </c>
      <c r="D409" s="4">
        <v>28</v>
      </c>
      <c r="E409" s="4">
        <v>0.48009342799999999</v>
      </c>
      <c r="F409" s="4">
        <v>0.1</v>
      </c>
      <c r="G409" s="4">
        <v>2.6890963E-2</v>
      </c>
      <c r="H409" s="4">
        <v>2.3962743686380135E-2</v>
      </c>
      <c r="I409" s="4">
        <v>7</v>
      </c>
    </row>
    <row r="410" spans="1:9">
      <c r="A410" s="4" t="s">
        <v>2669</v>
      </c>
      <c r="B410" s="4">
        <v>409</v>
      </c>
      <c r="C410" s="4" t="s">
        <v>2641</v>
      </c>
      <c r="D410" s="4">
        <v>29</v>
      </c>
      <c r="E410" s="4">
        <v>0.48009342799999999</v>
      </c>
      <c r="F410" s="4">
        <v>1</v>
      </c>
      <c r="G410" s="4">
        <v>0.54328249200000001</v>
      </c>
      <c r="H410" s="4">
        <v>0.2677283828624934</v>
      </c>
      <c r="I410" s="4">
        <v>7</v>
      </c>
    </row>
    <row r="411" spans="1:9">
      <c r="A411" s="4" t="s">
        <v>2670</v>
      </c>
      <c r="B411" s="4">
        <v>409</v>
      </c>
      <c r="C411" s="4" t="s">
        <v>2641</v>
      </c>
      <c r="D411" s="4">
        <v>30</v>
      </c>
      <c r="E411" s="4">
        <v>0.48009342799999999</v>
      </c>
      <c r="F411" s="4">
        <v>100</v>
      </c>
      <c r="G411" s="4">
        <v>5.1612815740000002</v>
      </c>
      <c r="H411" s="4">
        <v>6.874791906398535</v>
      </c>
      <c r="I411" s="4">
        <v>7</v>
      </c>
    </row>
    <row r="412" spans="1:9">
      <c r="A412" s="4" t="s">
        <v>2671</v>
      </c>
      <c r="B412" s="4">
        <v>409</v>
      </c>
      <c r="C412" s="4" t="s">
        <v>2641</v>
      </c>
      <c r="D412" s="4">
        <v>31</v>
      </c>
      <c r="E412" s="4">
        <v>0.48009342799999999</v>
      </c>
      <c r="F412" s="4">
        <v>1E-3</v>
      </c>
      <c r="G412" s="4">
        <v>2.1211592000000001E-2</v>
      </c>
      <c r="H412" s="4">
        <v>2.0652546895772249E-2</v>
      </c>
      <c r="I412" s="4">
        <v>7</v>
      </c>
    </row>
    <row r="413" spans="1:9">
      <c r="A413" s="4" t="s">
        <v>2672</v>
      </c>
      <c r="B413" s="4">
        <v>409</v>
      </c>
      <c r="C413" s="4" t="s">
        <v>2641</v>
      </c>
      <c r="D413" s="4">
        <v>32</v>
      </c>
      <c r="E413" s="4">
        <v>0.48009342799999999</v>
      </c>
      <c r="F413" s="4">
        <v>0.01</v>
      </c>
      <c r="G413" s="4">
        <v>2.2575901999999998E-2</v>
      </c>
      <c r="H413" s="4">
        <v>2.068633750573157E-2</v>
      </c>
      <c r="I413" s="4">
        <v>7</v>
      </c>
    </row>
    <row r="414" spans="1:9">
      <c r="A414" s="4" t="s">
        <v>2673</v>
      </c>
      <c r="B414" s="4">
        <v>409</v>
      </c>
      <c r="C414" s="4" t="s">
        <v>2641</v>
      </c>
      <c r="D414" s="4">
        <v>33</v>
      </c>
      <c r="E414" s="4">
        <v>0.48009342799999999</v>
      </c>
      <c r="F414" s="4">
        <v>0.05</v>
      </c>
      <c r="G414" s="4">
        <v>2.2220351999999999E-2</v>
      </c>
      <c r="H414" s="4">
        <v>2.1493991832023447E-2</v>
      </c>
      <c r="I414" s="4">
        <v>7</v>
      </c>
    </row>
    <row r="415" spans="1:9">
      <c r="A415" s="4" t="s">
        <v>2674</v>
      </c>
      <c r="B415" s="4">
        <v>409</v>
      </c>
      <c r="C415" s="4" t="s">
        <v>2641</v>
      </c>
      <c r="D415" s="4">
        <v>34</v>
      </c>
      <c r="E415" s="4">
        <v>0.48009342799999999</v>
      </c>
      <c r="F415" s="4">
        <v>0.1</v>
      </c>
      <c r="G415" s="4">
        <v>2.8308152E-2</v>
      </c>
      <c r="H415" s="4">
        <v>2.3962743686380135E-2</v>
      </c>
      <c r="I415" s="4">
        <v>7</v>
      </c>
    </row>
    <row r="416" spans="1:9">
      <c r="A416" s="4" t="s">
        <v>2675</v>
      </c>
      <c r="B416" s="4">
        <v>409</v>
      </c>
      <c r="C416" s="4" t="s">
        <v>2641</v>
      </c>
      <c r="D416" s="4">
        <v>35</v>
      </c>
      <c r="E416" s="4">
        <v>0.48009342799999999</v>
      </c>
      <c r="F416" s="4">
        <v>1</v>
      </c>
      <c r="G416" s="4">
        <v>0.66891781299999997</v>
      </c>
      <c r="H416" s="4">
        <v>0.2677283828624934</v>
      </c>
      <c r="I416" s="4">
        <v>7</v>
      </c>
    </row>
    <row r="417" spans="1:9">
      <c r="A417" s="4" t="s">
        <v>2676</v>
      </c>
      <c r="B417" s="4">
        <v>409</v>
      </c>
      <c r="C417" s="4" t="s">
        <v>2641</v>
      </c>
      <c r="D417" s="4">
        <v>36</v>
      </c>
      <c r="E417" s="4">
        <v>0.48009342799999999</v>
      </c>
      <c r="F417" s="4">
        <v>100</v>
      </c>
      <c r="G417" s="4">
        <v>5.1620348749999998</v>
      </c>
      <c r="H417" s="4">
        <v>6.874791906398535</v>
      </c>
      <c r="I417" s="4">
        <v>7</v>
      </c>
    </row>
    <row r="418" spans="1:9">
      <c r="A418" s="4" t="s">
        <v>2677</v>
      </c>
      <c r="B418" s="4">
        <v>409</v>
      </c>
      <c r="C418" s="4" t="s">
        <v>2641</v>
      </c>
      <c r="D418" s="4">
        <v>37</v>
      </c>
      <c r="E418" s="4">
        <v>3.315980707</v>
      </c>
      <c r="F418" s="4">
        <v>1E-3</v>
      </c>
      <c r="G418" s="4">
        <v>2.5008853000000001E-2</v>
      </c>
      <c r="H418" s="4">
        <v>2.0668544940043051E-2</v>
      </c>
      <c r="I418" s="4">
        <v>7</v>
      </c>
    </row>
    <row r="419" spans="1:9">
      <c r="A419" s="4" t="s">
        <v>2678</v>
      </c>
      <c r="B419" s="4">
        <v>409</v>
      </c>
      <c r="C419" s="4" t="s">
        <v>2641</v>
      </c>
      <c r="D419" s="4">
        <v>38</v>
      </c>
      <c r="E419" s="4">
        <v>3.315980707</v>
      </c>
      <c r="F419" s="4">
        <v>0.01</v>
      </c>
      <c r="G419" s="4">
        <v>2.4459564E-2</v>
      </c>
      <c r="H419" s="4">
        <v>2.2280447162356869E-2</v>
      </c>
      <c r="I419" s="4">
        <v>7</v>
      </c>
    </row>
    <row r="420" spans="1:9">
      <c r="A420" s="4" t="s">
        <v>2679</v>
      </c>
      <c r="B420" s="4">
        <v>409</v>
      </c>
      <c r="C420" s="4" t="s">
        <v>2641</v>
      </c>
      <c r="D420" s="4">
        <v>39</v>
      </c>
      <c r="E420" s="4">
        <v>3.315980707</v>
      </c>
      <c r="F420" s="4">
        <v>0.05</v>
      </c>
      <c r="G420" s="4">
        <v>4.3435802000000003E-2</v>
      </c>
      <c r="H420" s="4">
        <v>6.0743255314313176E-2</v>
      </c>
      <c r="I420" s="4">
        <v>7</v>
      </c>
    </row>
    <row r="421" spans="1:9">
      <c r="A421" s="4" t="s">
        <v>2680</v>
      </c>
      <c r="B421" s="4">
        <v>409</v>
      </c>
      <c r="C421" s="4" t="s">
        <v>2641</v>
      </c>
      <c r="D421" s="4">
        <v>40</v>
      </c>
      <c r="E421" s="4">
        <v>3.315980707</v>
      </c>
      <c r="F421" s="4">
        <v>0.1</v>
      </c>
      <c r="G421" s="4">
        <v>0.15976399799999999</v>
      </c>
      <c r="H421" s="4">
        <v>0.1775488567272103</v>
      </c>
      <c r="I421" s="4">
        <v>7</v>
      </c>
    </row>
    <row r="422" spans="1:9">
      <c r="A422" s="4" t="s">
        <v>2681</v>
      </c>
      <c r="B422" s="4">
        <v>409</v>
      </c>
      <c r="C422" s="4" t="s">
        <v>2641</v>
      </c>
      <c r="D422" s="4">
        <v>41</v>
      </c>
      <c r="E422" s="4">
        <v>3.315980707</v>
      </c>
      <c r="F422" s="4">
        <v>1</v>
      </c>
      <c r="G422" s="4">
        <v>5.94789675</v>
      </c>
      <c r="H422" s="4">
        <v>7.6287330996364808</v>
      </c>
      <c r="I422" s="4">
        <v>7</v>
      </c>
    </row>
    <row r="423" spans="1:9">
      <c r="A423" s="4" t="s">
        <v>2682</v>
      </c>
      <c r="B423" s="4">
        <v>409</v>
      </c>
      <c r="C423" s="4" t="s">
        <v>2641</v>
      </c>
      <c r="D423" s="4">
        <v>42</v>
      </c>
      <c r="E423" s="4">
        <v>3.315980707</v>
      </c>
      <c r="F423" s="4">
        <v>100</v>
      </c>
      <c r="G423" s="4">
        <v>5.858100071</v>
      </c>
      <c r="H423" s="4">
        <v>13.609832642193636</v>
      </c>
      <c r="I423" s="4">
        <v>7</v>
      </c>
    </row>
    <row r="424" spans="1:9">
      <c r="A424" s="4" t="s">
        <v>2683</v>
      </c>
      <c r="B424" s="4">
        <v>409</v>
      </c>
      <c r="C424" s="4" t="s">
        <v>2641</v>
      </c>
      <c r="D424" s="4">
        <v>43</v>
      </c>
      <c r="E424" s="4">
        <v>3.315980707</v>
      </c>
      <c r="F424" s="4">
        <v>1E-3</v>
      </c>
      <c r="G424" s="4">
        <v>2.2977864000000001E-2</v>
      </c>
      <c r="H424" s="4">
        <v>2.0668544940043051E-2</v>
      </c>
      <c r="I424" s="4">
        <v>7</v>
      </c>
    </row>
    <row r="425" spans="1:9">
      <c r="A425" s="4" t="s">
        <v>2684</v>
      </c>
      <c r="B425" s="4">
        <v>409</v>
      </c>
      <c r="C425" s="4" t="s">
        <v>2641</v>
      </c>
      <c r="D425" s="4">
        <v>44</v>
      </c>
      <c r="E425" s="4">
        <v>3.315980707</v>
      </c>
      <c r="F425" s="4">
        <v>0.01</v>
      </c>
      <c r="G425" s="4">
        <v>2.4069138E-2</v>
      </c>
      <c r="H425" s="4">
        <v>2.2280447162356869E-2</v>
      </c>
      <c r="I425" s="4">
        <v>7</v>
      </c>
    </row>
    <row r="426" spans="1:9">
      <c r="A426" s="4" t="s">
        <v>2685</v>
      </c>
      <c r="B426" s="4">
        <v>409</v>
      </c>
      <c r="C426" s="4" t="s">
        <v>2641</v>
      </c>
      <c r="D426" s="4">
        <v>45</v>
      </c>
      <c r="E426" s="4">
        <v>3.315980707</v>
      </c>
      <c r="F426" s="4">
        <v>0.05</v>
      </c>
      <c r="G426" s="4">
        <v>3.7653239999999998E-2</v>
      </c>
      <c r="H426" s="4">
        <v>6.0743255314313176E-2</v>
      </c>
      <c r="I426" s="4">
        <v>7</v>
      </c>
    </row>
    <row r="427" spans="1:9">
      <c r="A427" s="4" t="s">
        <v>2686</v>
      </c>
      <c r="B427" s="4">
        <v>409</v>
      </c>
      <c r="C427" s="4" t="s">
        <v>2641</v>
      </c>
      <c r="D427" s="4">
        <v>46</v>
      </c>
      <c r="E427" s="4">
        <v>3.315980707</v>
      </c>
      <c r="F427" s="4">
        <v>0.1</v>
      </c>
      <c r="G427" s="4">
        <v>0.16283413599999999</v>
      </c>
      <c r="H427" s="4">
        <v>0.1775488567272103</v>
      </c>
      <c r="I427" s="4">
        <v>7</v>
      </c>
    </row>
    <row r="428" spans="1:9">
      <c r="A428" s="4" t="s">
        <v>2687</v>
      </c>
      <c r="B428" s="4">
        <v>409</v>
      </c>
      <c r="C428" s="4" t="s">
        <v>2641</v>
      </c>
      <c r="D428" s="4">
        <v>47</v>
      </c>
      <c r="E428" s="4">
        <v>3.315980707</v>
      </c>
      <c r="F428" s="4">
        <v>1</v>
      </c>
      <c r="G428" s="4">
        <v>5.8049139849999998</v>
      </c>
      <c r="H428" s="4">
        <v>7.6287330996364808</v>
      </c>
      <c r="I428" s="4">
        <v>7</v>
      </c>
    </row>
    <row r="429" spans="1:9">
      <c r="A429" s="4" t="s">
        <v>2688</v>
      </c>
      <c r="B429" s="4">
        <v>409</v>
      </c>
      <c r="C429" s="4" t="s">
        <v>2641</v>
      </c>
      <c r="D429" s="4">
        <v>48</v>
      </c>
      <c r="E429" s="4">
        <v>3.315980707</v>
      </c>
      <c r="F429" s="4">
        <v>100</v>
      </c>
      <c r="G429" s="4">
        <v>5.7501549670000003</v>
      </c>
      <c r="H429" s="4">
        <v>13.609832642193636</v>
      </c>
      <c r="I429" s="4">
        <v>7</v>
      </c>
    </row>
    <row r="430" spans="1:9">
      <c r="A430" s="4" t="s">
        <v>2689</v>
      </c>
      <c r="B430" s="4">
        <v>409</v>
      </c>
      <c r="C430" s="4" t="s">
        <v>2641</v>
      </c>
      <c r="D430" s="4">
        <v>49</v>
      </c>
      <c r="E430" s="4">
        <v>3.315980707</v>
      </c>
      <c r="F430" s="4">
        <v>1E-3</v>
      </c>
      <c r="G430" s="4">
        <v>2.5899531E-2</v>
      </c>
      <c r="H430" s="4">
        <v>2.0668544940043051E-2</v>
      </c>
      <c r="I430" s="4">
        <v>7</v>
      </c>
    </row>
    <row r="431" spans="1:9">
      <c r="A431" s="4" t="s">
        <v>2690</v>
      </c>
      <c r="B431" s="4">
        <v>409</v>
      </c>
      <c r="C431" s="4" t="s">
        <v>2641</v>
      </c>
      <c r="D431" s="4">
        <v>50</v>
      </c>
      <c r="E431" s="4">
        <v>3.315980707</v>
      </c>
      <c r="F431" s="4">
        <v>0.01</v>
      </c>
      <c r="G431" s="4">
        <v>2.4514642999999999E-2</v>
      </c>
      <c r="H431" s="4">
        <v>2.2280447162356869E-2</v>
      </c>
      <c r="I431" s="4">
        <v>7</v>
      </c>
    </row>
    <row r="432" spans="1:9">
      <c r="A432" s="4" t="s">
        <v>2691</v>
      </c>
      <c r="B432" s="4">
        <v>409</v>
      </c>
      <c r="C432" s="4" t="s">
        <v>2641</v>
      </c>
      <c r="D432" s="4">
        <v>51</v>
      </c>
      <c r="E432" s="4">
        <v>3.315980707</v>
      </c>
      <c r="F432" s="4">
        <v>0.05</v>
      </c>
      <c r="G432" s="4">
        <v>4.2988170999999999E-2</v>
      </c>
      <c r="H432" s="4">
        <v>6.0743255314313176E-2</v>
      </c>
      <c r="I432" s="4">
        <v>7</v>
      </c>
    </row>
    <row r="433" spans="1:9">
      <c r="A433" s="4" t="s">
        <v>2692</v>
      </c>
      <c r="B433" s="4">
        <v>409</v>
      </c>
      <c r="C433" s="4" t="s">
        <v>2641</v>
      </c>
      <c r="D433" s="4">
        <v>52</v>
      </c>
      <c r="E433" s="4">
        <v>3.315980707</v>
      </c>
      <c r="F433" s="4">
        <v>0.1</v>
      </c>
      <c r="G433" s="4">
        <v>0.151905596</v>
      </c>
      <c r="H433" s="4">
        <v>0.1775488567272103</v>
      </c>
      <c r="I433" s="4">
        <v>7</v>
      </c>
    </row>
    <row r="434" spans="1:9">
      <c r="A434" s="4" t="s">
        <v>2693</v>
      </c>
      <c r="B434" s="4">
        <v>409</v>
      </c>
      <c r="C434" s="4" t="s">
        <v>2641</v>
      </c>
      <c r="D434" s="4">
        <v>53</v>
      </c>
      <c r="E434" s="4">
        <v>3.315980707</v>
      </c>
      <c r="F434" s="4">
        <v>1</v>
      </c>
      <c r="G434" s="4">
        <v>5.9096756370000003</v>
      </c>
      <c r="H434" s="4">
        <v>7.6287330996364808</v>
      </c>
      <c r="I434" s="4">
        <v>7</v>
      </c>
    </row>
    <row r="435" spans="1:9">
      <c r="A435" s="4" t="s">
        <v>2694</v>
      </c>
      <c r="B435" s="4">
        <v>409</v>
      </c>
      <c r="C435" s="4" t="s">
        <v>2641</v>
      </c>
      <c r="D435" s="4">
        <v>54</v>
      </c>
      <c r="E435" s="4">
        <v>3.315980707</v>
      </c>
      <c r="F435" s="4">
        <v>100</v>
      </c>
      <c r="G435" s="4">
        <v>5.8284131410000004</v>
      </c>
      <c r="H435" s="4">
        <v>13.609832642193636</v>
      </c>
      <c r="I435" s="4">
        <v>7</v>
      </c>
    </row>
    <row r="436" spans="1:9">
      <c r="A436" s="4" t="s">
        <v>2695</v>
      </c>
      <c r="B436" s="4">
        <v>410</v>
      </c>
      <c r="C436" s="4" t="s">
        <v>2696</v>
      </c>
      <c r="D436" s="4">
        <v>1</v>
      </c>
      <c r="E436" s="4">
        <v>8.3908820000000005E-3</v>
      </c>
      <c r="F436" s="4">
        <v>0.01</v>
      </c>
      <c r="G436" s="4">
        <v>1.4828258E-2</v>
      </c>
      <c r="H436" s="4">
        <v>2.0652288800084007E-2</v>
      </c>
      <c r="I436" s="4">
        <v>7</v>
      </c>
    </row>
    <row r="437" spans="1:9">
      <c r="A437" s="4" t="s">
        <v>2697</v>
      </c>
      <c r="B437" s="4">
        <v>410</v>
      </c>
      <c r="C437" s="4" t="s">
        <v>2696</v>
      </c>
      <c r="D437" s="4">
        <v>2</v>
      </c>
      <c r="E437" s="4">
        <v>8.3908820000000005E-3</v>
      </c>
      <c r="F437" s="4">
        <v>1</v>
      </c>
      <c r="G437" s="4">
        <v>1.4183772000000001E-2</v>
      </c>
      <c r="H437" s="4">
        <v>2.06522899147706E-2</v>
      </c>
      <c r="I437" s="4">
        <v>7</v>
      </c>
    </row>
    <row r="438" spans="1:9">
      <c r="A438" s="4" t="s">
        <v>2698</v>
      </c>
      <c r="B438" s="4">
        <v>410</v>
      </c>
      <c r="C438" s="4" t="s">
        <v>2696</v>
      </c>
      <c r="D438" s="4">
        <v>3</v>
      </c>
      <c r="E438" s="4">
        <v>8.3908820000000005E-3</v>
      </c>
      <c r="F438" s="4">
        <v>10</v>
      </c>
      <c r="G438" s="4">
        <v>1.4896192000000001E-2</v>
      </c>
      <c r="H438" s="4">
        <v>2.0652441863332052E-2</v>
      </c>
      <c r="I438" s="4">
        <v>7</v>
      </c>
    </row>
    <row r="439" spans="1:9">
      <c r="A439" s="4" t="s">
        <v>2699</v>
      </c>
      <c r="B439" s="4">
        <v>410</v>
      </c>
      <c r="C439" s="4" t="s">
        <v>2696</v>
      </c>
      <c r="D439" s="4">
        <v>4</v>
      </c>
      <c r="E439" s="4">
        <v>8.3908820000000005E-3</v>
      </c>
      <c r="F439" s="4">
        <v>100</v>
      </c>
      <c r="G439" s="4">
        <v>2.5262041999999998E-2</v>
      </c>
      <c r="H439" s="4">
        <v>2.066166178311923E-2</v>
      </c>
      <c r="I439" s="4">
        <v>7</v>
      </c>
    </row>
    <row r="440" spans="1:9">
      <c r="A440" s="4" t="s">
        <v>2700</v>
      </c>
      <c r="B440" s="4">
        <v>410</v>
      </c>
      <c r="C440" s="4" t="s">
        <v>2696</v>
      </c>
      <c r="D440" s="4">
        <v>5</v>
      </c>
      <c r="E440" s="4">
        <v>8.3908820000000005E-3</v>
      </c>
      <c r="F440" s="4">
        <v>500</v>
      </c>
      <c r="G440" s="4">
        <v>3.0918515000000001E-2</v>
      </c>
      <c r="H440" s="4">
        <v>2.0709846382157726E-2</v>
      </c>
      <c r="I440" s="4">
        <v>7</v>
      </c>
    </row>
    <row r="441" spans="1:9">
      <c r="A441" s="4" t="s">
        <v>2701</v>
      </c>
      <c r="B441" s="4">
        <v>410</v>
      </c>
      <c r="C441" s="4" t="s">
        <v>2696</v>
      </c>
      <c r="D441" s="4">
        <v>6</v>
      </c>
      <c r="E441" s="4">
        <v>8.3908820000000005E-3</v>
      </c>
      <c r="F441" s="4">
        <v>2000</v>
      </c>
      <c r="G441" s="4">
        <v>6.4595710000000001E-2</v>
      </c>
      <c r="H441" s="4">
        <v>2.0762302635585178E-2</v>
      </c>
      <c r="I441" s="4">
        <v>7</v>
      </c>
    </row>
    <row r="442" spans="1:9">
      <c r="A442" s="4" t="s">
        <v>2702</v>
      </c>
      <c r="B442" s="4">
        <v>410</v>
      </c>
      <c r="C442" s="4" t="s">
        <v>2696</v>
      </c>
      <c r="D442" s="4">
        <v>7</v>
      </c>
      <c r="E442" s="4">
        <v>8.3908820000000005E-3</v>
      </c>
      <c r="F442" s="4">
        <v>0.01</v>
      </c>
      <c r="G442" s="4">
        <v>1.5688396E-2</v>
      </c>
      <c r="H442" s="4">
        <v>2.0652288800084007E-2</v>
      </c>
      <c r="I442" s="4">
        <v>7</v>
      </c>
    </row>
    <row r="443" spans="1:9">
      <c r="A443" s="4" t="s">
        <v>2703</v>
      </c>
      <c r="B443" s="4">
        <v>410</v>
      </c>
      <c r="C443" s="4" t="s">
        <v>2696</v>
      </c>
      <c r="D443" s="4">
        <v>8</v>
      </c>
      <c r="E443" s="4">
        <v>8.3908820000000005E-3</v>
      </c>
      <c r="F443" s="4">
        <v>1</v>
      </c>
      <c r="G443" s="4">
        <v>1.4967090000000001E-2</v>
      </c>
      <c r="H443" s="4">
        <v>2.06522899147706E-2</v>
      </c>
      <c r="I443" s="4">
        <v>7</v>
      </c>
    </row>
    <row r="444" spans="1:9">
      <c r="A444" s="4" t="s">
        <v>2704</v>
      </c>
      <c r="B444" s="4">
        <v>410</v>
      </c>
      <c r="C444" s="4" t="s">
        <v>2696</v>
      </c>
      <c r="D444" s="4">
        <v>9</v>
      </c>
      <c r="E444" s="4">
        <v>8.3908820000000005E-3</v>
      </c>
      <c r="F444" s="4">
        <v>10</v>
      </c>
      <c r="G444" s="4">
        <v>1.5985544000000001E-2</v>
      </c>
      <c r="H444" s="4">
        <v>2.0652441863332052E-2</v>
      </c>
      <c r="I444" s="4">
        <v>7</v>
      </c>
    </row>
    <row r="445" spans="1:9">
      <c r="A445" s="4" t="s">
        <v>2705</v>
      </c>
      <c r="B445" s="4">
        <v>410</v>
      </c>
      <c r="C445" s="4" t="s">
        <v>2696</v>
      </c>
      <c r="D445" s="4">
        <v>10</v>
      </c>
      <c r="E445" s="4">
        <v>8.3908820000000005E-3</v>
      </c>
      <c r="F445" s="4">
        <v>100</v>
      </c>
      <c r="G445" s="4">
        <v>2.3421234999999999E-2</v>
      </c>
      <c r="H445" s="4">
        <v>2.066166178311923E-2</v>
      </c>
      <c r="I445" s="4">
        <v>7</v>
      </c>
    </row>
    <row r="446" spans="1:9">
      <c r="A446" s="4" t="s">
        <v>2706</v>
      </c>
      <c r="B446" s="4">
        <v>410</v>
      </c>
      <c r="C446" s="4" t="s">
        <v>2696</v>
      </c>
      <c r="D446" s="4">
        <v>11</v>
      </c>
      <c r="E446" s="4">
        <v>8.3908820000000005E-3</v>
      </c>
      <c r="F446" s="4">
        <v>500</v>
      </c>
      <c r="G446" s="4">
        <v>3.2899366999999999E-2</v>
      </c>
      <c r="H446" s="4">
        <v>2.0709846382157726E-2</v>
      </c>
      <c r="I446" s="4">
        <v>7</v>
      </c>
    </row>
    <row r="447" spans="1:9">
      <c r="A447" s="4" t="s">
        <v>2707</v>
      </c>
      <c r="B447" s="4">
        <v>410</v>
      </c>
      <c r="C447" s="4" t="s">
        <v>2696</v>
      </c>
      <c r="D447" s="4">
        <v>12</v>
      </c>
      <c r="E447" s="4">
        <v>8.3908820000000005E-3</v>
      </c>
      <c r="F447" s="4">
        <v>2000</v>
      </c>
      <c r="G447" s="4">
        <v>7.0637398000000004E-2</v>
      </c>
      <c r="H447" s="4">
        <v>2.0762302635585178E-2</v>
      </c>
      <c r="I447" s="4">
        <v>7</v>
      </c>
    </row>
    <row r="448" spans="1:9">
      <c r="A448" s="4" t="s">
        <v>2708</v>
      </c>
      <c r="B448" s="4">
        <v>410</v>
      </c>
      <c r="C448" s="4" t="s">
        <v>2696</v>
      </c>
      <c r="D448" s="4">
        <v>13</v>
      </c>
      <c r="E448" s="4">
        <v>8.3908820000000005E-3</v>
      </c>
      <c r="F448" s="4">
        <v>0.01</v>
      </c>
      <c r="G448" s="4">
        <v>1.4967090000000001E-2</v>
      </c>
      <c r="H448" s="4">
        <v>2.0652288800084007E-2</v>
      </c>
      <c r="I448" s="4">
        <v>7</v>
      </c>
    </row>
    <row r="449" spans="1:9">
      <c r="A449" s="4" t="s">
        <v>2709</v>
      </c>
      <c r="B449" s="4">
        <v>410</v>
      </c>
      <c r="C449" s="4" t="s">
        <v>2696</v>
      </c>
      <c r="D449" s="4">
        <v>14</v>
      </c>
      <c r="E449" s="4">
        <v>8.3908820000000005E-3</v>
      </c>
      <c r="F449" s="4">
        <v>1</v>
      </c>
      <c r="G449" s="4">
        <v>1.384005E-2</v>
      </c>
      <c r="H449" s="4">
        <v>2.06522899147706E-2</v>
      </c>
      <c r="I449" s="4">
        <v>7</v>
      </c>
    </row>
    <row r="450" spans="1:9">
      <c r="A450" s="4" t="s">
        <v>2710</v>
      </c>
      <c r="B450" s="4">
        <v>410</v>
      </c>
      <c r="C450" s="4" t="s">
        <v>2696</v>
      </c>
      <c r="D450" s="4">
        <v>15</v>
      </c>
      <c r="E450" s="4">
        <v>8.3908820000000005E-3</v>
      </c>
      <c r="F450" s="4">
        <v>10</v>
      </c>
      <c r="G450" s="4">
        <v>1.6432361999999999E-2</v>
      </c>
      <c r="H450" s="4">
        <v>2.0652441863332052E-2</v>
      </c>
      <c r="I450" s="4">
        <v>7</v>
      </c>
    </row>
    <row r="451" spans="1:9">
      <c r="A451" s="4" t="s">
        <v>2711</v>
      </c>
      <c r="B451" s="4">
        <v>410</v>
      </c>
      <c r="C451" s="4" t="s">
        <v>2696</v>
      </c>
      <c r="D451" s="4">
        <v>16</v>
      </c>
      <c r="E451" s="4">
        <v>8.3908820000000005E-3</v>
      </c>
      <c r="F451" s="4">
        <v>100</v>
      </c>
      <c r="G451" s="4">
        <v>2.389411E-2</v>
      </c>
      <c r="H451" s="4">
        <v>2.066166178311923E-2</v>
      </c>
      <c r="I451" s="4">
        <v>7</v>
      </c>
    </row>
    <row r="452" spans="1:9">
      <c r="A452" s="4" t="s">
        <v>2712</v>
      </c>
      <c r="B452" s="4">
        <v>410</v>
      </c>
      <c r="C452" s="4" t="s">
        <v>2696</v>
      </c>
      <c r="D452" s="4">
        <v>17</v>
      </c>
      <c r="E452" s="4">
        <v>8.3908820000000005E-3</v>
      </c>
      <c r="F452" s="4">
        <v>500</v>
      </c>
      <c r="G452" s="4">
        <v>3.3034978E-2</v>
      </c>
      <c r="H452" s="4">
        <v>2.0709846382157726E-2</v>
      </c>
      <c r="I452" s="4">
        <v>7</v>
      </c>
    </row>
    <row r="453" spans="1:9">
      <c r="A453" s="4" t="s">
        <v>2713</v>
      </c>
      <c r="B453" s="4">
        <v>410</v>
      </c>
      <c r="C453" s="4" t="s">
        <v>2696</v>
      </c>
      <c r="D453" s="4">
        <v>18</v>
      </c>
      <c r="E453" s="4">
        <v>8.3908820000000005E-3</v>
      </c>
      <c r="F453" s="4">
        <v>2000</v>
      </c>
      <c r="G453" s="4">
        <v>5.2512335E-2</v>
      </c>
      <c r="H453" s="4">
        <v>2.0762302635585178E-2</v>
      </c>
      <c r="I453" s="4">
        <v>7</v>
      </c>
    </row>
    <row r="454" spans="1:9">
      <c r="A454" s="4" t="s">
        <v>2714</v>
      </c>
      <c r="B454" s="4">
        <v>410</v>
      </c>
      <c r="C454" s="4" t="s">
        <v>2696</v>
      </c>
      <c r="D454" s="4">
        <v>19</v>
      </c>
      <c r="E454" s="4">
        <v>0.32411113699999999</v>
      </c>
      <c r="F454" s="4">
        <v>0.01</v>
      </c>
      <c r="G454" s="4">
        <v>1.8122802E-2</v>
      </c>
      <c r="H454" s="4">
        <v>2.0778176575842102E-2</v>
      </c>
      <c r="I454" s="4">
        <v>7</v>
      </c>
    </row>
    <row r="455" spans="1:9">
      <c r="A455" s="4" t="s">
        <v>2715</v>
      </c>
      <c r="B455" s="4">
        <v>410</v>
      </c>
      <c r="C455" s="4" t="s">
        <v>2696</v>
      </c>
      <c r="D455" s="4">
        <v>20</v>
      </c>
      <c r="E455" s="4">
        <v>0.32411113699999999</v>
      </c>
      <c r="F455" s="4">
        <v>1</v>
      </c>
      <c r="G455" s="4">
        <v>1.9647398999999999E-2</v>
      </c>
      <c r="H455" s="4">
        <v>2.0779839677522723E-2</v>
      </c>
      <c r="I455" s="4">
        <v>7</v>
      </c>
    </row>
    <row r="456" spans="1:9">
      <c r="A456" s="4" t="s">
        <v>2716</v>
      </c>
      <c r="B456" s="4">
        <v>410</v>
      </c>
      <c r="C456" s="4" t="s">
        <v>2696</v>
      </c>
      <c r="D456" s="4">
        <v>21</v>
      </c>
      <c r="E456" s="4">
        <v>0.32411113699999999</v>
      </c>
      <c r="F456" s="4">
        <v>10</v>
      </c>
      <c r="G456" s="4">
        <v>2.1057875E-2</v>
      </c>
      <c r="H456" s="4">
        <v>2.1006543642463023E-2</v>
      </c>
      <c r="I456" s="4">
        <v>7</v>
      </c>
    </row>
    <row r="457" spans="1:9">
      <c r="A457" s="4" t="s">
        <v>2717</v>
      </c>
      <c r="B457" s="4">
        <v>410</v>
      </c>
      <c r="C457" s="4" t="s">
        <v>2696</v>
      </c>
      <c r="D457" s="4">
        <v>22</v>
      </c>
      <c r="E457" s="4">
        <v>0.32411113699999999</v>
      </c>
      <c r="F457" s="4">
        <v>100</v>
      </c>
      <c r="G457" s="4">
        <v>4.8914312000000001E-2</v>
      </c>
      <c r="H457" s="4">
        <v>3.4753129053154488E-2</v>
      </c>
      <c r="I457" s="4">
        <v>7</v>
      </c>
    </row>
    <row r="458" spans="1:9">
      <c r="A458" s="4" t="s">
        <v>2718</v>
      </c>
      <c r="B458" s="4">
        <v>410</v>
      </c>
      <c r="C458" s="4" t="s">
        <v>2696</v>
      </c>
      <c r="D458" s="4">
        <v>23</v>
      </c>
      <c r="E458" s="4">
        <v>0.32411113699999999</v>
      </c>
      <c r="F458" s="4">
        <v>500</v>
      </c>
      <c r="G458" s="4">
        <v>0.117027751</v>
      </c>
      <c r="H458" s="4">
        <v>0.10629690634205632</v>
      </c>
      <c r="I458" s="4">
        <v>7</v>
      </c>
    </row>
    <row r="459" spans="1:9">
      <c r="A459" s="4" t="s">
        <v>2719</v>
      </c>
      <c r="B459" s="4">
        <v>410</v>
      </c>
      <c r="C459" s="4" t="s">
        <v>2696</v>
      </c>
      <c r="D459" s="4">
        <v>24</v>
      </c>
      <c r="E459" s="4">
        <v>0.32411113699999999</v>
      </c>
      <c r="F459" s="4">
        <v>2000</v>
      </c>
      <c r="G459" s="4">
        <v>0.314144904</v>
      </c>
      <c r="H459" s="4">
        <v>0.18361844070966957</v>
      </c>
      <c r="I459" s="4">
        <v>7</v>
      </c>
    </row>
    <row r="460" spans="1:9">
      <c r="A460" s="4" t="s">
        <v>2720</v>
      </c>
      <c r="B460" s="4">
        <v>410</v>
      </c>
      <c r="C460" s="4" t="s">
        <v>2696</v>
      </c>
      <c r="D460" s="4">
        <v>25</v>
      </c>
      <c r="E460" s="4">
        <v>0.32411113699999999</v>
      </c>
      <c r="F460" s="4">
        <v>0.01</v>
      </c>
      <c r="G460" s="4">
        <v>1.7021648E-2</v>
      </c>
      <c r="H460" s="4">
        <v>2.0778176575842102E-2</v>
      </c>
      <c r="I460" s="4">
        <v>7</v>
      </c>
    </row>
    <row r="461" spans="1:9">
      <c r="A461" s="4" t="s">
        <v>2721</v>
      </c>
      <c r="B461" s="4">
        <v>410</v>
      </c>
      <c r="C461" s="4" t="s">
        <v>2696</v>
      </c>
      <c r="D461" s="4">
        <v>26</v>
      </c>
      <c r="E461" s="4">
        <v>0.32411113699999999</v>
      </c>
      <c r="F461" s="4">
        <v>1</v>
      </c>
      <c r="G461" s="4">
        <v>1.8104131999999998E-2</v>
      </c>
      <c r="H461" s="4">
        <v>2.0779839677522723E-2</v>
      </c>
      <c r="I461" s="4">
        <v>7</v>
      </c>
    </row>
    <row r="462" spans="1:9">
      <c r="A462" s="4" t="s">
        <v>2722</v>
      </c>
      <c r="B462" s="4">
        <v>410</v>
      </c>
      <c r="C462" s="4" t="s">
        <v>2696</v>
      </c>
      <c r="D462" s="4">
        <v>27</v>
      </c>
      <c r="E462" s="4">
        <v>0.32411113699999999</v>
      </c>
      <c r="F462" s="4">
        <v>10</v>
      </c>
      <c r="G462" s="4">
        <v>2.1379570000000001E-2</v>
      </c>
      <c r="H462" s="4">
        <v>2.1006543642463023E-2</v>
      </c>
      <c r="I462" s="4">
        <v>7</v>
      </c>
    </row>
    <row r="463" spans="1:9">
      <c r="A463" s="4" t="s">
        <v>2723</v>
      </c>
      <c r="B463" s="4">
        <v>410</v>
      </c>
      <c r="C463" s="4" t="s">
        <v>2696</v>
      </c>
      <c r="D463" s="4">
        <v>28</v>
      </c>
      <c r="E463" s="4">
        <v>0.32411113699999999</v>
      </c>
      <c r="F463" s="4">
        <v>100</v>
      </c>
      <c r="G463" s="4">
        <v>5.0370113000000001E-2</v>
      </c>
      <c r="H463" s="4">
        <v>3.4753129053154488E-2</v>
      </c>
      <c r="I463" s="4">
        <v>7</v>
      </c>
    </row>
    <row r="464" spans="1:9">
      <c r="A464" s="4" t="s">
        <v>2724</v>
      </c>
      <c r="B464" s="4">
        <v>410</v>
      </c>
      <c r="C464" s="4" t="s">
        <v>2696</v>
      </c>
      <c r="D464" s="4">
        <v>29</v>
      </c>
      <c r="E464" s="4">
        <v>0.32411113699999999</v>
      </c>
      <c r="F464" s="4">
        <v>500</v>
      </c>
      <c r="G464" s="4">
        <v>0.104171508</v>
      </c>
      <c r="H464" s="4">
        <v>0.10629690634205632</v>
      </c>
      <c r="I464" s="4">
        <v>7</v>
      </c>
    </row>
    <row r="465" spans="1:9">
      <c r="A465" s="4" t="s">
        <v>2725</v>
      </c>
      <c r="B465" s="4">
        <v>410</v>
      </c>
      <c r="C465" s="4" t="s">
        <v>2696</v>
      </c>
      <c r="D465" s="4">
        <v>30</v>
      </c>
      <c r="E465" s="4">
        <v>0.32411113699999999</v>
      </c>
      <c r="F465" s="4">
        <v>2000</v>
      </c>
      <c r="G465" s="4">
        <v>0.320858702</v>
      </c>
      <c r="H465" s="4">
        <v>0.18361844070966957</v>
      </c>
      <c r="I465" s="4">
        <v>7</v>
      </c>
    </row>
    <row r="466" spans="1:9">
      <c r="A466" s="4" t="s">
        <v>2726</v>
      </c>
      <c r="B466" s="4">
        <v>410</v>
      </c>
      <c r="C466" s="4" t="s">
        <v>2696</v>
      </c>
      <c r="D466" s="4">
        <v>31</v>
      </c>
      <c r="E466" s="4">
        <v>0.32411113699999999</v>
      </c>
      <c r="F466" s="4">
        <v>0.01</v>
      </c>
      <c r="G466" s="4">
        <v>1.7395537999999999E-2</v>
      </c>
      <c r="H466" s="4">
        <v>2.0778176575842102E-2</v>
      </c>
      <c r="I466" s="4">
        <v>7</v>
      </c>
    </row>
    <row r="467" spans="1:9">
      <c r="A467" s="4" t="s">
        <v>2727</v>
      </c>
      <c r="B467" s="4">
        <v>410</v>
      </c>
      <c r="C467" s="4" t="s">
        <v>2696</v>
      </c>
      <c r="D467" s="4">
        <v>32</v>
      </c>
      <c r="E467" s="4">
        <v>0.32411113699999999</v>
      </c>
      <c r="F467" s="4">
        <v>1</v>
      </c>
      <c r="G467" s="4">
        <v>1.7569545999999998E-2</v>
      </c>
      <c r="H467" s="4">
        <v>2.0779839677522723E-2</v>
      </c>
      <c r="I467" s="4">
        <v>7</v>
      </c>
    </row>
    <row r="468" spans="1:9">
      <c r="A468" s="4" t="s">
        <v>2728</v>
      </c>
      <c r="B468" s="4">
        <v>410</v>
      </c>
      <c r="C468" s="4" t="s">
        <v>2696</v>
      </c>
      <c r="D468" s="4">
        <v>33</v>
      </c>
      <c r="E468" s="4">
        <v>0.32411113699999999</v>
      </c>
      <c r="F468" s="4">
        <v>10</v>
      </c>
      <c r="G468" s="4">
        <v>1.9193858000000001E-2</v>
      </c>
      <c r="H468" s="4">
        <v>2.1006543642463023E-2</v>
      </c>
      <c r="I468" s="4">
        <v>7</v>
      </c>
    </row>
    <row r="469" spans="1:9">
      <c r="A469" s="4" t="s">
        <v>2729</v>
      </c>
      <c r="B469" s="4">
        <v>410</v>
      </c>
      <c r="C469" s="4" t="s">
        <v>2696</v>
      </c>
      <c r="D469" s="4">
        <v>34</v>
      </c>
      <c r="E469" s="4">
        <v>0.32411113699999999</v>
      </c>
      <c r="F469" s="4">
        <v>100</v>
      </c>
      <c r="G469" s="4">
        <v>4.8977458000000001E-2</v>
      </c>
      <c r="H469" s="4">
        <v>3.4753129053154488E-2</v>
      </c>
      <c r="I469" s="4">
        <v>7</v>
      </c>
    </row>
    <row r="470" spans="1:9">
      <c r="A470" s="4" t="s">
        <v>2730</v>
      </c>
      <c r="B470" s="4">
        <v>410</v>
      </c>
      <c r="C470" s="4" t="s">
        <v>2696</v>
      </c>
      <c r="D470" s="4">
        <v>35</v>
      </c>
      <c r="E470" s="4">
        <v>0.32411113699999999</v>
      </c>
      <c r="F470" s="4">
        <v>500</v>
      </c>
      <c r="G470" s="4">
        <v>8.2839871999999995E-2</v>
      </c>
      <c r="H470" s="4">
        <v>0.10629690634205632</v>
      </c>
      <c r="I470" s="4">
        <v>7</v>
      </c>
    </row>
    <row r="471" spans="1:9">
      <c r="A471" s="4" t="s">
        <v>2731</v>
      </c>
      <c r="B471" s="4">
        <v>410</v>
      </c>
      <c r="C471" s="4" t="s">
        <v>2696</v>
      </c>
      <c r="D471" s="4">
        <v>36</v>
      </c>
      <c r="E471" s="4">
        <v>0.32411113699999999</v>
      </c>
      <c r="F471" s="4">
        <v>2000</v>
      </c>
      <c r="G471" s="4">
        <v>0.33398068400000003</v>
      </c>
      <c r="H471" s="4">
        <v>0.18361844070966957</v>
      </c>
      <c r="I471" s="4">
        <v>7</v>
      </c>
    </row>
    <row r="472" spans="1:9">
      <c r="A472" s="4" t="s">
        <v>2732</v>
      </c>
      <c r="B472" s="4">
        <v>410</v>
      </c>
      <c r="C472" s="4" t="s">
        <v>2696</v>
      </c>
      <c r="D472" s="4">
        <v>37</v>
      </c>
      <c r="E472" s="4">
        <v>2.7170036230000001</v>
      </c>
      <c r="F472" s="4">
        <v>0.01</v>
      </c>
      <c r="G472" s="4">
        <v>1.7905026000000001E-2</v>
      </c>
      <c r="H472" s="4">
        <v>2.9501428717210731E-2</v>
      </c>
      <c r="I472" s="4">
        <v>7</v>
      </c>
    </row>
    <row r="473" spans="1:9">
      <c r="A473" s="4" t="s">
        <v>2733</v>
      </c>
      <c r="B473" s="4">
        <v>410</v>
      </c>
      <c r="C473" s="4" t="s">
        <v>2696</v>
      </c>
      <c r="D473" s="4">
        <v>38</v>
      </c>
      <c r="E473" s="4">
        <v>2.7170036230000001</v>
      </c>
      <c r="F473" s="4">
        <v>1</v>
      </c>
      <c r="G473" s="4">
        <v>2.294123E-2</v>
      </c>
      <c r="H473" s="4">
        <v>2.9618213174977835E-2</v>
      </c>
      <c r="I473" s="4">
        <v>7</v>
      </c>
    </row>
    <row r="474" spans="1:9">
      <c r="A474" s="4" t="s">
        <v>2734</v>
      </c>
      <c r="B474" s="4">
        <v>410</v>
      </c>
      <c r="C474" s="4" t="s">
        <v>2696</v>
      </c>
      <c r="D474" s="4">
        <v>39</v>
      </c>
      <c r="E474" s="4">
        <v>2.7170036230000001</v>
      </c>
      <c r="F474" s="4">
        <v>10</v>
      </c>
      <c r="G474" s="4">
        <v>0.13570193799999999</v>
      </c>
      <c r="H474" s="4">
        <v>4.552680099305588E-2</v>
      </c>
      <c r="I474" s="4">
        <v>7</v>
      </c>
    </row>
    <row r="475" spans="1:9">
      <c r="A475" s="4" t="s">
        <v>2735</v>
      </c>
      <c r="B475" s="4">
        <v>410</v>
      </c>
      <c r="C475" s="4" t="s">
        <v>2696</v>
      </c>
      <c r="D475" s="4">
        <v>40</v>
      </c>
      <c r="E475" s="4">
        <v>2.7170036230000001</v>
      </c>
      <c r="F475" s="4">
        <v>100</v>
      </c>
      <c r="G475" s="4">
        <v>1.0400788439999999</v>
      </c>
      <c r="H475" s="4">
        <v>0.97144704783250568</v>
      </c>
      <c r="I475" s="4">
        <v>7</v>
      </c>
    </row>
    <row r="476" spans="1:9">
      <c r="A476" s="4" t="s">
        <v>2736</v>
      </c>
      <c r="B476" s="4">
        <v>410</v>
      </c>
      <c r="C476" s="4" t="s">
        <v>2696</v>
      </c>
      <c r="D476" s="4">
        <v>41</v>
      </c>
      <c r="E476" s="4">
        <v>2.7170036230000001</v>
      </c>
      <c r="F476" s="4">
        <v>500</v>
      </c>
      <c r="G476" s="4">
        <v>2.428370615</v>
      </c>
      <c r="H476" s="4">
        <v>4.762738873042955</v>
      </c>
      <c r="I476" s="4">
        <v>7</v>
      </c>
    </row>
    <row r="477" spans="1:9">
      <c r="A477" s="4" t="s">
        <v>2737</v>
      </c>
      <c r="B477" s="4">
        <v>410</v>
      </c>
      <c r="C477" s="4" t="s">
        <v>2696</v>
      </c>
      <c r="D477" s="4">
        <v>42</v>
      </c>
      <c r="E477" s="4">
        <v>2.7170036230000001</v>
      </c>
      <c r="F477" s="4">
        <v>2000</v>
      </c>
      <c r="G477" s="4">
        <v>4.2338089400000003</v>
      </c>
      <c r="H477" s="4">
        <v>7.4723787999484408</v>
      </c>
      <c r="I477" s="4">
        <v>7</v>
      </c>
    </row>
    <row r="478" spans="1:9">
      <c r="A478" s="4" t="s">
        <v>2738</v>
      </c>
      <c r="B478" s="4">
        <v>410</v>
      </c>
      <c r="C478" s="4" t="s">
        <v>2696</v>
      </c>
      <c r="D478" s="4">
        <v>43</v>
      </c>
      <c r="E478" s="4">
        <v>2.7170036230000001</v>
      </c>
      <c r="F478" s="4">
        <v>0.01</v>
      </c>
      <c r="G478" s="4">
        <v>2.0713117E-2</v>
      </c>
      <c r="H478" s="4">
        <v>2.9501428717210731E-2</v>
      </c>
      <c r="I478" s="4">
        <v>7</v>
      </c>
    </row>
    <row r="479" spans="1:9">
      <c r="A479" s="4" t="s">
        <v>2739</v>
      </c>
      <c r="B479" s="4">
        <v>410</v>
      </c>
      <c r="C479" s="4" t="s">
        <v>2696</v>
      </c>
      <c r="D479" s="4">
        <v>44</v>
      </c>
      <c r="E479" s="4">
        <v>2.7170036230000001</v>
      </c>
      <c r="F479" s="4">
        <v>1</v>
      </c>
      <c r="G479" s="4">
        <v>2.1586931E-2</v>
      </c>
      <c r="H479" s="4">
        <v>2.9618213174977835E-2</v>
      </c>
      <c r="I479" s="4">
        <v>7</v>
      </c>
    </row>
    <row r="480" spans="1:9">
      <c r="A480" s="4" t="s">
        <v>2740</v>
      </c>
      <c r="B480" s="4">
        <v>410</v>
      </c>
      <c r="C480" s="4" t="s">
        <v>2696</v>
      </c>
      <c r="D480" s="4">
        <v>45</v>
      </c>
      <c r="E480" s="4">
        <v>2.7170036230000001</v>
      </c>
      <c r="F480" s="4">
        <v>10</v>
      </c>
      <c r="G480" s="4">
        <v>0.108902294</v>
      </c>
      <c r="H480" s="4">
        <v>4.552680099305588E-2</v>
      </c>
      <c r="I480" s="4">
        <v>7</v>
      </c>
    </row>
    <row r="481" spans="1:9">
      <c r="A481" s="4" t="s">
        <v>2741</v>
      </c>
      <c r="B481" s="4">
        <v>410</v>
      </c>
      <c r="C481" s="4" t="s">
        <v>2696</v>
      </c>
      <c r="D481" s="4">
        <v>46</v>
      </c>
      <c r="E481" s="4">
        <v>2.7170036230000001</v>
      </c>
      <c r="F481" s="4">
        <v>100</v>
      </c>
      <c r="G481" s="4">
        <v>1.0690736940000001</v>
      </c>
      <c r="H481" s="4">
        <v>0.97144704783250568</v>
      </c>
      <c r="I481" s="4">
        <v>7</v>
      </c>
    </row>
    <row r="482" spans="1:9">
      <c r="A482" s="4" t="s">
        <v>2742</v>
      </c>
      <c r="B482" s="4">
        <v>410</v>
      </c>
      <c r="C482" s="4" t="s">
        <v>2696</v>
      </c>
      <c r="D482" s="4">
        <v>47</v>
      </c>
      <c r="E482" s="4">
        <v>2.7170036230000001</v>
      </c>
      <c r="F482" s="4">
        <v>500</v>
      </c>
      <c r="G482" s="4">
        <v>1.9409079840000001</v>
      </c>
      <c r="H482" s="4">
        <v>4.762738873042955</v>
      </c>
      <c r="I482" s="4">
        <v>7</v>
      </c>
    </row>
    <row r="483" spans="1:9">
      <c r="A483" s="4" t="s">
        <v>2743</v>
      </c>
      <c r="B483" s="4">
        <v>410</v>
      </c>
      <c r="C483" s="4" t="s">
        <v>2696</v>
      </c>
      <c r="D483" s="4">
        <v>48</v>
      </c>
      <c r="E483" s="4">
        <v>2.7170036230000001</v>
      </c>
      <c r="F483" s="4">
        <v>2000</v>
      </c>
      <c r="G483" s="4">
        <v>4.2338089400000003</v>
      </c>
      <c r="H483" s="4">
        <v>7.4723787999484408</v>
      </c>
      <c r="I483" s="4">
        <v>7</v>
      </c>
    </row>
    <row r="484" spans="1:9">
      <c r="A484" s="4" t="s">
        <v>2744</v>
      </c>
      <c r="B484" s="4">
        <v>410</v>
      </c>
      <c r="C484" s="4" t="s">
        <v>2696</v>
      </c>
      <c r="D484" s="4">
        <v>49</v>
      </c>
      <c r="E484" s="4">
        <v>2.7170036230000001</v>
      </c>
      <c r="F484" s="4">
        <v>0.01</v>
      </c>
      <c r="G484" s="4">
        <v>2.0848088000000001E-2</v>
      </c>
      <c r="H484" s="4">
        <v>2.9501428717210731E-2</v>
      </c>
      <c r="I484" s="4">
        <v>7</v>
      </c>
    </row>
    <row r="485" spans="1:9">
      <c r="A485" s="4" t="s">
        <v>2745</v>
      </c>
      <c r="B485" s="4">
        <v>410</v>
      </c>
      <c r="C485" s="4" t="s">
        <v>2696</v>
      </c>
      <c r="D485" s="4">
        <v>50</v>
      </c>
      <c r="E485" s="4">
        <v>2.7170036230000001</v>
      </c>
      <c r="F485" s="4">
        <v>1</v>
      </c>
      <c r="G485" s="4">
        <v>2.2186661999999999E-2</v>
      </c>
      <c r="H485" s="4">
        <v>2.9618213174977835E-2</v>
      </c>
      <c r="I485" s="4">
        <v>7</v>
      </c>
    </row>
    <row r="486" spans="1:9">
      <c r="A486" s="4" t="s">
        <v>2746</v>
      </c>
      <c r="B486" s="4">
        <v>410</v>
      </c>
      <c r="C486" s="4" t="s">
        <v>2696</v>
      </c>
      <c r="D486" s="4">
        <v>51</v>
      </c>
      <c r="E486" s="4">
        <v>2.7170036230000001</v>
      </c>
      <c r="F486" s="4">
        <v>10</v>
      </c>
      <c r="G486" s="4">
        <v>0.102921288</v>
      </c>
      <c r="H486" s="4">
        <v>4.552680099305588E-2</v>
      </c>
      <c r="I486" s="4">
        <v>7</v>
      </c>
    </row>
    <row r="487" spans="1:9">
      <c r="A487" s="4" t="s">
        <v>2747</v>
      </c>
      <c r="B487" s="4">
        <v>410</v>
      </c>
      <c r="C487" s="4" t="s">
        <v>2696</v>
      </c>
      <c r="D487" s="4">
        <v>52</v>
      </c>
      <c r="E487" s="4">
        <v>2.7170036230000001</v>
      </c>
      <c r="F487" s="4">
        <v>100</v>
      </c>
      <c r="G487" s="4">
        <v>1.1750518080000001</v>
      </c>
      <c r="H487" s="4">
        <v>0.97144704783250568</v>
      </c>
      <c r="I487" s="4">
        <v>7</v>
      </c>
    </row>
    <row r="488" spans="1:9">
      <c r="A488" s="4" t="s">
        <v>2748</v>
      </c>
      <c r="B488" s="4">
        <v>410</v>
      </c>
      <c r="C488" s="4" t="s">
        <v>2696</v>
      </c>
      <c r="D488" s="4">
        <v>53</v>
      </c>
      <c r="E488" s="4">
        <v>2.7170036230000001</v>
      </c>
      <c r="F488" s="4">
        <v>500</v>
      </c>
      <c r="G488" s="4">
        <v>2.02455498</v>
      </c>
      <c r="H488" s="4">
        <v>4.762738873042955</v>
      </c>
      <c r="I488" s="4">
        <v>7</v>
      </c>
    </row>
    <row r="489" spans="1:9">
      <c r="A489" s="4" t="s">
        <v>2749</v>
      </c>
      <c r="B489" s="4">
        <v>410</v>
      </c>
      <c r="C489" s="4" t="s">
        <v>2696</v>
      </c>
      <c r="D489" s="4">
        <v>54</v>
      </c>
      <c r="E489" s="4">
        <v>2.7170036230000001</v>
      </c>
      <c r="F489" s="4">
        <v>2000</v>
      </c>
      <c r="G489" s="4">
        <v>4.116207781</v>
      </c>
      <c r="H489" s="4">
        <v>7.4723787999484408</v>
      </c>
      <c r="I489" s="4">
        <v>7</v>
      </c>
    </row>
    <row r="490" spans="1:9">
      <c r="A490" s="4" t="s">
        <v>2750</v>
      </c>
      <c r="B490" s="4">
        <v>412</v>
      </c>
      <c r="C490" s="4" t="s">
        <v>2751</v>
      </c>
      <c r="D490" s="4">
        <v>1</v>
      </c>
      <c r="E490" s="4">
        <v>1.4354824E-2</v>
      </c>
      <c r="F490" s="106">
        <v>9.9999999999999995E-7</v>
      </c>
      <c r="G490" s="4">
        <v>4.0989075E-2</v>
      </c>
      <c r="H490" s="4">
        <v>6.0706606770710443E-2</v>
      </c>
      <c r="I490" s="4">
        <v>7</v>
      </c>
    </row>
    <row r="491" spans="1:9">
      <c r="A491" s="4" t="s">
        <v>2752</v>
      </c>
      <c r="B491" s="4">
        <v>412</v>
      </c>
      <c r="C491" s="4" t="s">
        <v>2751</v>
      </c>
      <c r="D491" s="4">
        <v>2</v>
      </c>
      <c r="E491" s="4">
        <v>1.4354824E-2</v>
      </c>
      <c r="F491" s="106">
        <v>1.0000000000000001E-5</v>
      </c>
      <c r="G491" s="4">
        <v>3.5167818000000003E-2</v>
      </c>
      <c r="H491" s="4">
        <v>6.0706649273864446E-2</v>
      </c>
      <c r="I491" s="4">
        <v>7</v>
      </c>
    </row>
    <row r="492" spans="1:9">
      <c r="A492" s="4" t="s">
        <v>2753</v>
      </c>
      <c r="B492" s="4">
        <v>412</v>
      </c>
      <c r="C492" s="4" t="s">
        <v>2751</v>
      </c>
      <c r="D492" s="4">
        <v>3</v>
      </c>
      <c r="E492" s="4">
        <v>1.4354824E-2</v>
      </c>
      <c r="F492" s="4">
        <v>1E-4</v>
      </c>
      <c r="G492" s="4">
        <v>3.6484587999999998E-2</v>
      </c>
      <c r="H492" s="4">
        <v>6.0710648284566855E-2</v>
      </c>
      <c r="I492" s="4">
        <v>7</v>
      </c>
    </row>
    <row r="493" spans="1:9">
      <c r="A493" s="4" t="s">
        <v>2754</v>
      </c>
      <c r="B493" s="4">
        <v>412</v>
      </c>
      <c r="C493" s="4" t="s">
        <v>2751</v>
      </c>
      <c r="D493" s="4">
        <v>4</v>
      </c>
      <c r="E493" s="4">
        <v>1.4354824E-2</v>
      </c>
      <c r="F493" s="4">
        <v>1E-3</v>
      </c>
      <c r="G493" s="4">
        <v>3.3372074000000002E-2</v>
      </c>
      <c r="H493" s="4">
        <v>6.094574143484268E-2</v>
      </c>
      <c r="I493" s="4">
        <v>7</v>
      </c>
    </row>
    <row r="494" spans="1:9">
      <c r="A494" s="4" t="s">
        <v>2755</v>
      </c>
      <c r="B494" s="4">
        <v>412</v>
      </c>
      <c r="C494" s="4" t="s">
        <v>2751</v>
      </c>
      <c r="D494" s="4">
        <v>5</v>
      </c>
      <c r="E494" s="4">
        <v>1.4354824E-2</v>
      </c>
      <c r="F494" s="4">
        <v>0.01</v>
      </c>
      <c r="G494" s="4">
        <v>3.8187622999999997E-2</v>
      </c>
      <c r="H494" s="4">
        <v>6.2832181366124867E-2</v>
      </c>
      <c r="I494" s="4">
        <v>7</v>
      </c>
    </row>
    <row r="495" spans="1:9">
      <c r="A495" s="4" t="s">
        <v>2756</v>
      </c>
      <c r="B495" s="4">
        <v>412</v>
      </c>
      <c r="C495" s="4" t="s">
        <v>2751</v>
      </c>
      <c r="D495" s="4">
        <v>6</v>
      </c>
      <c r="E495" s="4">
        <v>1.4354824E-2</v>
      </c>
      <c r="F495" s="4">
        <v>0.1</v>
      </c>
      <c r="G495" s="4">
        <v>3.4719300000000002E-2</v>
      </c>
      <c r="H495" s="4">
        <v>6.3981558200837424E-2</v>
      </c>
      <c r="I495" s="4">
        <v>7</v>
      </c>
    </row>
    <row r="496" spans="1:9">
      <c r="A496" s="4" t="s">
        <v>2757</v>
      </c>
      <c r="B496" s="4">
        <v>412</v>
      </c>
      <c r="C496" s="4" t="s">
        <v>2751</v>
      </c>
      <c r="D496" s="4">
        <v>7</v>
      </c>
      <c r="E496" s="4">
        <v>1.4354824E-2</v>
      </c>
      <c r="F496" s="106">
        <v>9.9999999999999995E-7</v>
      </c>
      <c r="G496" s="4">
        <v>3.9258402999999997E-2</v>
      </c>
      <c r="H496" s="4">
        <v>6.0706606770710443E-2</v>
      </c>
      <c r="I496" s="4">
        <v>7</v>
      </c>
    </row>
    <row r="497" spans="1:9">
      <c r="A497" s="4" t="s">
        <v>2758</v>
      </c>
      <c r="B497" s="4">
        <v>412</v>
      </c>
      <c r="C497" s="4" t="s">
        <v>2751</v>
      </c>
      <c r="D497" s="4">
        <v>8</v>
      </c>
      <c r="E497" s="4">
        <v>1.4354824E-2</v>
      </c>
      <c r="F497" s="106">
        <v>1.0000000000000001E-5</v>
      </c>
      <c r="G497" s="4">
        <v>3.6026295E-2</v>
      </c>
      <c r="H497" s="4">
        <v>6.0706649273864446E-2</v>
      </c>
      <c r="I497" s="4">
        <v>7</v>
      </c>
    </row>
    <row r="498" spans="1:9">
      <c r="A498" s="4" t="s">
        <v>2759</v>
      </c>
      <c r="B498" s="4">
        <v>412</v>
      </c>
      <c r="C498" s="4" t="s">
        <v>2751</v>
      </c>
      <c r="D498" s="4">
        <v>9</v>
      </c>
      <c r="E498" s="4">
        <v>1.4354824E-2</v>
      </c>
      <c r="F498" s="4">
        <v>1E-4</v>
      </c>
      <c r="G498" s="4">
        <v>3.5980044000000003E-2</v>
      </c>
      <c r="H498" s="4">
        <v>6.0710648284566855E-2</v>
      </c>
      <c r="I498" s="4">
        <v>7</v>
      </c>
    </row>
    <row r="499" spans="1:9">
      <c r="A499" s="4" t="s">
        <v>2760</v>
      </c>
      <c r="B499" s="4">
        <v>412</v>
      </c>
      <c r="C499" s="4" t="s">
        <v>2751</v>
      </c>
      <c r="D499" s="4">
        <v>10</v>
      </c>
      <c r="E499" s="4">
        <v>1.4354824E-2</v>
      </c>
      <c r="F499" s="4">
        <v>1E-3</v>
      </c>
      <c r="G499" s="4">
        <v>3.5746042999999998E-2</v>
      </c>
      <c r="H499" s="4">
        <v>6.094574143484268E-2</v>
      </c>
      <c r="I499" s="4">
        <v>7</v>
      </c>
    </row>
    <row r="500" spans="1:9">
      <c r="A500" s="4" t="s">
        <v>2761</v>
      </c>
      <c r="B500" s="4">
        <v>412</v>
      </c>
      <c r="C500" s="4" t="s">
        <v>2751</v>
      </c>
      <c r="D500" s="4">
        <v>11</v>
      </c>
      <c r="E500" s="4">
        <v>1.4354824E-2</v>
      </c>
      <c r="F500" s="4">
        <v>0.01</v>
      </c>
      <c r="G500" s="4">
        <v>3.8775693E-2</v>
      </c>
      <c r="H500" s="4">
        <v>6.2832181366124867E-2</v>
      </c>
      <c r="I500" s="4">
        <v>7</v>
      </c>
    </row>
    <row r="501" spans="1:9">
      <c r="A501" s="4" t="s">
        <v>2762</v>
      </c>
      <c r="B501" s="4">
        <v>412</v>
      </c>
      <c r="C501" s="4" t="s">
        <v>2751</v>
      </c>
      <c r="D501" s="4">
        <v>12</v>
      </c>
      <c r="E501" s="4">
        <v>1.4354824E-2</v>
      </c>
      <c r="F501" s="4">
        <v>0.1</v>
      </c>
      <c r="G501" s="4">
        <v>4.0284567E-2</v>
      </c>
      <c r="H501" s="4">
        <v>6.3981558200837424E-2</v>
      </c>
      <c r="I501" s="4">
        <v>7</v>
      </c>
    </row>
    <row r="502" spans="1:9">
      <c r="A502" s="4" t="s">
        <v>2763</v>
      </c>
      <c r="B502" s="4">
        <v>412</v>
      </c>
      <c r="C502" s="4" t="s">
        <v>2751</v>
      </c>
      <c r="D502" s="4">
        <v>13</v>
      </c>
      <c r="E502" s="4">
        <v>1.4354824E-2</v>
      </c>
      <c r="F502" s="106">
        <v>9.9999999999999995E-7</v>
      </c>
      <c r="G502" s="4">
        <v>4.0947732000000001E-2</v>
      </c>
      <c r="H502" s="4">
        <v>6.0706606770710443E-2</v>
      </c>
      <c r="I502" s="4">
        <v>7</v>
      </c>
    </row>
    <row r="503" spans="1:9">
      <c r="A503" s="4" t="s">
        <v>2764</v>
      </c>
      <c r="B503" s="4">
        <v>412</v>
      </c>
      <c r="C503" s="4" t="s">
        <v>2751</v>
      </c>
      <c r="D503" s="4">
        <v>14</v>
      </c>
      <c r="E503" s="4">
        <v>1.4354824E-2</v>
      </c>
      <c r="F503" s="106">
        <v>1.0000000000000001E-5</v>
      </c>
      <c r="G503" s="4">
        <v>3.4625238000000003E-2</v>
      </c>
      <c r="H503" s="4">
        <v>6.0706649273864446E-2</v>
      </c>
      <c r="I503" s="4">
        <v>7</v>
      </c>
    </row>
    <row r="504" spans="1:9">
      <c r="A504" s="4" t="s">
        <v>2765</v>
      </c>
      <c r="B504" s="4">
        <v>412</v>
      </c>
      <c r="C504" s="4" t="s">
        <v>2751</v>
      </c>
      <c r="D504" s="4">
        <v>15</v>
      </c>
      <c r="E504" s="4">
        <v>1.4354824E-2</v>
      </c>
      <c r="F504" s="4">
        <v>1E-4</v>
      </c>
      <c r="G504" s="4">
        <v>3.4500254000000001E-2</v>
      </c>
      <c r="H504" s="4">
        <v>6.0710648284566855E-2</v>
      </c>
      <c r="I504" s="4">
        <v>7</v>
      </c>
    </row>
    <row r="505" spans="1:9">
      <c r="A505" s="4" t="s">
        <v>2766</v>
      </c>
      <c r="B505" s="4">
        <v>412</v>
      </c>
      <c r="C505" s="4" t="s">
        <v>2751</v>
      </c>
      <c r="D505" s="4">
        <v>16</v>
      </c>
      <c r="E505" s="4">
        <v>1.4354824E-2</v>
      </c>
      <c r="F505" s="4">
        <v>1E-3</v>
      </c>
      <c r="G505" s="4">
        <v>3.6360575999999999E-2</v>
      </c>
      <c r="H505" s="4">
        <v>6.094574143484268E-2</v>
      </c>
      <c r="I505" s="4">
        <v>7</v>
      </c>
    </row>
    <row r="506" spans="1:9">
      <c r="A506" s="4" t="s">
        <v>2767</v>
      </c>
      <c r="B506" s="4">
        <v>412</v>
      </c>
      <c r="C506" s="4" t="s">
        <v>2751</v>
      </c>
      <c r="D506" s="4">
        <v>17</v>
      </c>
      <c r="E506" s="4">
        <v>1.4354824E-2</v>
      </c>
      <c r="F506" s="4">
        <v>0.01</v>
      </c>
      <c r="G506" s="4">
        <v>3.5920516E-2</v>
      </c>
      <c r="H506" s="4">
        <v>6.2832181366124867E-2</v>
      </c>
      <c r="I506" s="4">
        <v>7</v>
      </c>
    </row>
    <row r="507" spans="1:9">
      <c r="A507" s="4" t="s">
        <v>2768</v>
      </c>
      <c r="B507" s="4">
        <v>412</v>
      </c>
      <c r="C507" s="4" t="s">
        <v>2751</v>
      </c>
      <c r="D507" s="4">
        <v>18</v>
      </c>
      <c r="E507" s="4">
        <v>1.4354824E-2</v>
      </c>
      <c r="F507" s="4">
        <v>0.1</v>
      </c>
      <c r="G507" s="4">
        <v>3.6910197999999998E-2</v>
      </c>
      <c r="H507" s="4">
        <v>6.3981558200837424E-2</v>
      </c>
      <c r="I507" s="4">
        <v>7</v>
      </c>
    </row>
    <row r="508" spans="1:9">
      <c r="A508" s="4" t="s">
        <v>2769</v>
      </c>
      <c r="B508" s="4">
        <v>412</v>
      </c>
      <c r="C508" s="4" t="s">
        <v>2751</v>
      </c>
      <c r="D508" s="4">
        <v>19</v>
      </c>
      <c r="E508" s="4">
        <v>0.48009342799999999</v>
      </c>
      <c r="F508" s="106">
        <v>9.9999999999999995E-7</v>
      </c>
      <c r="G508" s="4">
        <v>6.3325674999999998E-2</v>
      </c>
      <c r="H508" s="4">
        <v>6.0707089544807684E-2</v>
      </c>
      <c r="I508" s="4">
        <v>7</v>
      </c>
    </row>
    <row r="509" spans="1:9">
      <c r="A509" s="4" t="s">
        <v>2770</v>
      </c>
      <c r="B509" s="4">
        <v>412</v>
      </c>
      <c r="C509" s="4" t="s">
        <v>2751</v>
      </c>
      <c r="D509" s="4">
        <v>20</v>
      </c>
      <c r="E509" s="4">
        <v>0.48009342799999999</v>
      </c>
      <c r="F509" s="106">
        <v>1.0000000000000001E-5</v>
      </c>
      <c r="G509" s="4">
        <v>5.1285303999999997E-2</v>
      </c>
      <c r="H509" s="4">
        <v>6.0754630033479001E-2</v>
      </c>
      <c r="I509" s="4">
        <v>7</v>
      </c>
    </row>
    <row r="510" spans="1:9">
      <c r="A510" s="4" t="s">
        <v>2771</v>
      </c>
      <c r="B510" s="4">
        <v>412</v>
      </c>
      <c r="C510" s="4" t="s">
        <v>2751</v>
      </c>
      <c r="D510" s="4">
        <v>21</v>
      </c>
      <c r="E510" s="4">
        <v>0.48009342799999999</v>
      </c>
      <c r="F510" s="4">
        <v>1E-4</v>
      </c>
      <c r="G510" s="4">
        <v>6.0652574000000001E-2</v>
      </c>
      <c r="H510" s="4">
        <v>6.5214915610855545E-2</v>
      </c>
      <c r="I510" s="4">
        <v>7</v>
      </c>
    </row>
    <row r="511" spans="1:9">
      <c r="A511" s="4" t="s">
        <v>2772</v>
      </c>
      <c r="B511" s="4">
        <v>412</v>
      </c>
      <c r="C511" s="4" t="s">
        <v>2751</v>
      </c>
      <c r="D511" s="4">
        <v>22</v>
      </c>
      <c r="E511" s="4">
        <v>0.48009342799999999</v>
      </c>
      <c r="F511" s="4">
        <v>1E-3</v>
      </c>
      <c r="G511" s="4">
        <v>0.313091483</v>
      </c>
      <c r="H511" s="4">
        <v>0.29078006670019241</v>
      </c>
      <c r="I511" s="4">
        <v>7</v>
      </c>
    </row>
    <row r="512" spans="1:9">
      <c r="A512" s="4" t="s">
        <v>2773</v>
      </c>
      <c r="B512" s="4">
        <v>412</v>
      </c>
      <c r="C512" s="4" t="s">
        <v>2751</v>
      </c>
      <c r="D512" s="4">
        <v>23</v>
      </c>
      <c r="E512" s="4">
        <v>0.48009342799999999</v>
      </c>
      <c r="F512" s="4">
        <v>0.01</v>
      </c>
      <c r="G512" s="4">
        <v>1.151818032</v>
      </c>
      <c r="H512" s="4">
        <v>1.1139955561874542</v>
      </c>
      <c r="I512" s="4">
        <v>7</v>
      </c>
    </row>
    <row r="513" spans="1:9">
      <c r="A513" s="4" t="s">
        <v>2774</v>
      </c>
      <c r="B513" s="4">
        <v>412</v>
      </c>
      <c r="C513" s="4" t="s">
        <v>2751</v>
      </c>
      <c r="D513" s="4">
        <v>24</v>
      </c>
      <c r="E513" s="4">
        <v>0.48009342799999999</v>
      </c>
      <c r="F513" s="4">
        <v>0.1</v>
      </c>
      <c r="G513" s="4">
        <v>1.8097005370000001</v>
      </c>
      <c r="H513" s="4">
        <v>1.3451216070633205</v>
      </c>
      <c r="I513" s="4">
        <v>7</v>
      </c>
    </row>
    <row r="514" spans="1:9">
      <c r="A514" s="4" t="s">
        <v>2775</v>
      </c>
      <c r="B514" s="4">
        <v>412</v>
      </c>
      <c r="C514" s="4" t="s">
        <v>2751</v>
      </c>
      <c r="D514" s="4">
        <v>25</v>
      </c>
      <c r="E514" s="4">
        <v>0.48009342799999999</v>
      </c>
      <c r="F514" s="106">
        <v>9.9999999999999995E-7</v>
      </c>
      <c r="G514" s="4">
        <v>6.5356003999999995E-2</v>
      </c>
      <c r="H514" s="4">
        <v>6.0707089544807684E-2</v>
      </c>
      <c r="I514" s="4">
        <v>7</v>
      </c>
    </row>
    <row r="515" spans="1:9">
      <c r="A515" s="4" t="s">
        <v>2776</v>
      </c>
      <c r="B515" s="4">
        <v>412</v>
      </c>
      <c r="C515" s="4" t="s">
        <v>2751</v>
      </c>
      <c r="D515" s="4">
        <v>26</v>
      </c>
      <c r="E515" s="4">
        <v>0.48009342799999999</v>
      </c>
      <c r="F515" s="106">
        <v>1.0000000000000001E-5</v>
      </c>
      <c r="G515" s="4">
        <v>6.1695329E-2</v>
      </c>
      <c r="H515" s="4">
        <v>6.0754630033479001E-2</v>
      </c>
      <c r="I515" s="4">
        <v>7</v>
      </c>
    </row>
    <row r="516" spans="1:9">
      <c r="A516" s="4" t="s">
        <v>2777</v>
      </c>
      <c r="B516" s="4">
        <v>412</v>
      </c>
      <c r="C516" s="4" t="s">
        <v>2751</v>
      </c>
      <c r="D516" s="4">
        <v>27</v>
      </c>
      <c r="E516" s="4">
        <v>0.48009342799999999</v>
      </c>
      <c r="F516" s="4">
        <v>1E-4</v>
      </c>
      <c r="G516" s="4">
        <v>6.8908539000000005E-2</v>
      </c>
      <c r="H516" s="4">
        <v>6.5214915610855545E-2</v>
      </c>
      <c r="I516" s="4">
        <v>7</v>
      </c>
    </row>
    <row r="517" spans="1:9">
      <c r="A517" s="4" t="s">
        <v>2778</v>
      </c>
      <c r="B517" s="4">
        <v>412</v>
      </c>
      <c r="C517" s="4" t="s">
        <v>2751</v>
      </c>
      <c r="D517" s="4">
        <v>28</v>
      </c>
      <c r="E517" s="4">
        <v>0.48009342799999999</v>
      </c>
      <c r="F517" s="4">
        <v>1E-3</v>
      </c>
      <c r="G517" s="4">
        <v>0.34774008899999997</v>
      </c>
      <c r="H517" s="4">
        <v>0.29078006670019241</v>
      </c>
      <c r="I517" s="4">
        <v>7</v>
      </c>
    </row>
    <row r="518" spans="1:9">
      <c r="A518" s="4" t="s">
        <v>2779</v>
      </c>
      <c r="B518" s="4">
        <v>412</v>
      </c>
      <c r="C518" s="4" t="s">
        <v>2751</v>
      </c>
      <c r="D518" s="4">
        <v>29</v>
      </c>
      <c r="E518" s="4">
        <v>0.48009342799999999</v>
      </c>
      <c r="F518" s="4">
        <v>0.01</v>
      </c>
      <c r="G518" s="4">
        <v>1.2780931230000001</v>
      </c>
      <c r="H518" s="4">
        <v>1.1139955561874542</v>
      </c>
      <c r="I518" s="4">
        <v>7</v>
      </c>
    </row>
    <row r="519" spans="1:9">
      <c r="A519" s="4" t="s">
        <v>2780</v>
      </c>
      <c r="B519" s="4">
        <v>412</v>
      </c>
      <c r="C519" s="4" t="s">
        <v>2751</v>
      </c>
      <c r="D519" s="4">
        <v>30</v>
      </c>
      <c r="E519" s="4">
        <v>0.48009342799999999</v>
      </c>
      <c r="F519" s="4">
        <v>0.1</v>
      </c>
      <c r="G519" s="4">
        <v>1.800801587</v>
      </c>
      <c r="H519" s="4">
        <v>1.3451216070633205</v>
      </c>
      <c r="I519" s="4">
        <v>7</v>
      </c>
    </row>
    <row r="520" spans="1:9">
      <c r="A520" s="4" t="s">
        <v>2781</v>
      </c>
      <c r="B520" s="4">
        <v>412</v>
      </c>
      <c r="C520" s="4" t="s">
        <v>2751</v>
      </c>
      <c r="D520" s="4">
        <v>31</v>
      </c>
      <c r="E520" s="4">
        <v>0.48009342799999999</v>
      </c>
      <c r="F520" s="106">
        <v>9.9999999999999995E-7</v>
      </c>
      <c r="G520" s="4">
        <v>6.0919742999999998E-2</v>
      </c>
      <c r="H520" s="4">
        <v>6.0707089544807684E-2</v>
      </c>
      <c r="I520" s="4">
        <v>7</v>
      </c>
    </row>
    <row r="521" spans="1:9">
      <c r="A521" s="4" t="s">
        <v>2782</v>
      </c>
      <c r="B521" s="4">
        <v>412</v>
      </c>
      <c r="C521" s="4" t="s">
        <v>2751</v>
      </c>
      <c r="D521" s="4">
        <v>32</v>
      </c>
      <c r="E521" s="4">
        <v>0.48009342799999999</v>
      </c>
      <c r="F521" s="106">
        <v>1.0000000000000001E-5</v>
      </c>
      <c r="G521" s="4">
        <v>5.8560552000000002E-2</v>
      </c>
      <c r="H521" s="4">
        <v>6.0754630033479001E-2</v>
      </c>
      <c r="I521" s="4">
        <v>7</v>
      </c>
    </row>
    <row r="522" spans="1:9">
      <c r="A522" s="4" t="s">
        <v>2783</v>
      </c>
      <c r="B522" s="4">
        <v>412</v>
      </c>
      <c r="C522" s="4" t="s">
        <v>2751</v>
      </c>
      <c r="D522" s="4">
        <v>33</v>
      </c>
      <c r="E522" s="4">
        <v>0.48009342799999999</v>
      </c>
      <c r="F522" s="4">
        <v>1E-4</v>
      </c>
      <c r="G522" s="4">
        <v>6.3122191999999994E-2</v>
      </c>
      <c r="H522" s="4">
        <v>6.5214915610855545E-2</v>
      </c>
      <c r="I522" s="4">
        <v>7</v>
      </c>
    </row>
    <row r="523" spans="1:9">
      <c r="A523" s="4" t="s">
        <v>2784</v>
      </c>
      <c r="B523" s="4">
        <v>412</v>
      </c>
      <c r="C523" s="4" t="s">
        <v>2751</v>
      </c>
      <c r="D523" s="4">
        <v>34</v>
      </c>
      <c r="E523" s="4">
        <v>0.48009342799999999</v>
      </c>
      <c r="F523" s="4">
        <v>1E-3</v>
      </c>
      <c r="G523" s="4">
        <v>0.31855762900000001</v>
      </c>
      <c r="H523" s="4">
        <v>0.29078006670019241</v>
      </c>
      <c r="I523" s="4">
        <v>7</v>
      </c>
    </row>
    <row r="524" spans="1:9">
      <c r="A524" s="4" t="s">
        <v>2785</v>
      </c>
      <c r="B524" s="4">
        <v>412</v>
      </c>
      <c r="C524" s="4" t="s">
        <v>2751</v>
      </c>
      <c r="D524" s="4">
        <v>35</v>
      </c>
      <c r="E524" s="4">
        <v>0.48009342799999999</v>
      </c>
      <c r="F524" s="4">
        <v>0.01</v>
      </c>
      <c r="G524" s="4">
        <v>1.278192024</v>
      </c>
      <c r="H524" s="4">
        <v>1.1139955561874542</v>
      </c>
      <c r="I524" s="4">
        <v>7</v>
      </c>
    </row>
    <row r="525" spans="1:9">
      <c r="A525" s="4" t="s">
        <v>2786</v>
      </c>
      <c r="B525" s="4">
        <v>412</v>
      </c>
      <c r="C525" s="4" t="s">
        <v>2751</v>
      </c>
      <c r="D525" s="4">
        <v>36</v>
      </c>
      <c r="E525" s="4">
        <v>0.48009342799999999</v>
      </c>
      <c r="F525" s="4">
        <v>0.1</v>
      </c>
      <c r="G525" s="4">
        <v>1.7531064970000001</v>
      </c>
      <c r="H525" s="4">
        <v>1.3451216070633205</v>
      </c>
      <c r="I525" s="4">
        <v>7</v>
      </c>
    </row>
    <row r="526" spans="1:9">
      <c r="A526" s="4" t="s">
        <v>2787</v>
      </c>
      <c r="B526" s="4">
        <v>412</v>
      </c>
      <c r="C526" s="4" t="s">
        <v>2751</v>
      </c>
      <c r="D526" s="4">
        <v>37</v>
      </c>
      <c r="E526" s="4">
        <v>3.315980707</v>
      </c>
      <c r="F526" s="106">
        <v>9.9999999999999995E-7</v>
      </c>
      <c r="G526" s="4">
        <v>6.8378438E-2</v>
      </c>
      <c r="H526" s="4">
        <v>6.0729658078294876E-2</v>
      </c>
      <c r="I526" s="4">
        <v>7</v>
      </c>
    </row>
    <row r="527" spans="1:9">
      <c r="A527" s="4" t="s">
        <v>2788</v>
      </c>
      <c r="B527" s="4">
        <v>412</v>
      </c>
      <c r="C527" s="4" t="s">
        <v>2751</v>
      </c>
      <c r="D527" s="4">
        <v>38</v>
      </c>
      <c r="E527" s="4">
        <v>3.315980707</v>
      </c>
      <c r="F527" s="106">
        <v>1.0000000000000001E-5</v>
      </c>
      <c r="G527" s="4">
        <v>8.5405883000000002E-2</v>
      </c>
      <c r="H527" s="4">
        <v>6.2997012167521002E-2</v>
      </c>
      <c r="I527" s="4">
        <v>7</v>
      </c>
    </row>
    <row r="528" spans="1:9">
      <c r="A528" s="4" t="s">
        <v>2789</v>
      </c>
      <c r="B528" s="4">
        <v>412</v>
      </c>
      <c r="C528" s="4" t="s">
        <v>2751</v>
      </c>
      <c r="D528" s="4">
        <v>39</v>
      </c>
      <c r="E528" s="4">
        <v>3.315980707</v>
      </c>
      <c r="F528" s="4">
        <v>1E-4</v>
      </c>
      <c r="G528" s="4">
        <v>0.29677161800000001</v>
      </c>
      <c r="H528" s="4">
        <v>0.27054913680268888</v>
      </c>
      <c r="I528" s="4">
        <v>7</v>
      </c>
    </row>
    <row r="529" spans="1:9">
      <c r="A529" s="4" t="s">
        <v>2790</v>
      </c>
      <c r="B529" s="4">
        <v>412</v>
      </c>
      <c r="C529" s="4" t="s">
        <v>2751</v>
      </c>
      <c r="D529" s="4">
        <v>40</v>
      </c>
      <c r="E529" s="4">
        <v>3.315980707</v>
      </c>
      <c r="F529" s="4">
        <v>1E-3</v>
      </c>
      <c r="G529" s="4">
        <v>4.3856047140000003</v>
      </c>
      <c r="H529" s="4">
        <v>5.1107154497091054</v>
      </c>
      <c r="I529" s="4">
        <v>7</v>
      </c>
    </row>
    <row r="530" spans="1:9">
      <c r="A530" s="4" t="s">
        <v>2791</v>
      </c>
      <c r="B530" s="4">
        <v>412</v>
      </c>
      <c r="C530" s="4" t="s">
        <v>2751</v>
      </c>
      <c r="D530" s="4">
        <v>41</v>
      </c>
      <c r="E530" s="4">
        <v>3.315980707</v>
      </c>
      <c r="F530" s="4">
        <v>0.01</v>
      </c>
      <c r="G530" s="4">
        <v>5.9707455840000003</v>
      </c>
      <c r="H530" s="4">
        <v>8.690693098645605</v>
      </c>
      <c r="I530" s="4">
        <v>7</v>
      </c>
    </row>
    <row r="531" spans="1:9">
      <c r="A531" s="4" t="s">
        <v>2792</v>
      </c>
      <c r="B531" s="4">
        <v>412</v>
      </c>
      <c r="C531" s="4" t="s">
        <v>2751</v>
      </c>
      <c r="D531" s="4">
        <v>42</v>
      </c>
      <c r="E531" s="4">
        <v>3.315980707</v>
      </c>
      <c r="F531" s="4">
        <v>0.1</v>
      </c>
      <c r="G531" s="4">
        <v>6.1641950970000003</v>
      </c>
      <c r="H531" s="4">
        <v>9.0964210216336685</v>
      </c>
      <c r="I531" s="4">
        <v>7</v>
      </c>
    </row>
    <row r="532" spans="1:9">
      <c r="A532" s="4" t="s">
        <v>2793</v>
      </c>
      <c r="B532" s="4">
        <v>412</v>
      </c>
      <c r="C532" s="4" t="s">
        <v>2751</v>
      </c>
      <c r="D532" s="4">
        <v>43</v>
      </c>
      <c r="E532" s="4">
        <v>3.315980707</v>
      </c>
      <c r="F532" s="106">
        <v>9.9999999999999995E-7</v>
      </c>
      <c r="G532" s="4">
        <v>7.8025991000000003E-2</v>
      </c>
      <c r="H532" s="4">
        <v>6.0729658078294876E-2</v>
      </c>
      <c r="I532" s="4">
        <v>7</v>
      </c>
    </row>
    <row r="533" spans="1:9">
      <c r="A533" s="4" t="s">
        <v>2794</v>
      </c>
      <c r="B533" s="4">
        <v>412</v>
      </c>
      <c r="C533" s="4" t="s">
        <v>2751</v>
      </c>
      <c r="D533" s="4">
        <v>44</v>
      </c>
      <c r="E533" s="4">
        <v>3.315980707</v>
      </c>
      <c r="F533" s="106">
        <v>1.0000000000000001E-5</v>
      </c>
      <c r="G533" s="4">
        <v>7.3773964999999997E-2</v>
      </c>
      <c r="H533" s="4">
        <v>6.2997012167521002E-2</v>
      </c>
      <c r="I533" s="4">
        <v>7</v>
      </c>
    </row>
    <row r="534" spans="1:9">
      <c r="A534" s="4" t="s">
        <v>2795</v>
      </c>
      <c r="B534" s="4">
        <v>412</v>
      </c>
      <c r="C534" s="4" t="s">
        <v>2751</v>
      </c>
      <c r="D534" s="4">
        <v>45</v>
      </c>
      <c r="E534" s="4">
        <v>3.315980707</v>
      </c>
      <c r="F534" s="4">
        <v>1E-4</v>
      </c>
      <c r="G534" s="4">
        <v>0.26783781099999998</v>
      </c>
      <c r="H534" s="4">
        <v>0.27054913680268888</v>
      </c>
      <c r="I534" s="4">
        <v>7</v>
      </c>
    </row>
    <row r="535" spans="1:9">
      <c r="A535" s="4" t="s">
        <v>2796</v>
      </c>
      <c r="B535" s="4">
        <v>412</v>
      </c>
      <c r="C535" s="4" t="s">
        <v>2751</v>
      </c>
      <c r="D535" s="4">
        <v>46</v>
      </c>
      <c r="E535" s="4">
        <v>3.315980707</v>
      </c>
      <c r="F535" s="4">
        <v>1E-3</v>
      </c>
      <c r="G535" s="4">
        <v>4.1665095150000004</v>
      </c>
      <c r="H535" s="4">
        <v>5.1107154497091054</v>
      </c>
      <c r="I535" s="4">
        <v>7</v>
      </c>
    </row>
    <row r="536" spans="1:9">
      <c r="A536" s="4" t="s">
        <v>2797</v>
      </c>
      <c r="B536" s="4">
        <v>412</v>
      </c>
      <c r="C536" s="4" t="s">
        <v>2751</v>
      </c>
      <c r="D536" s="4">
        <v>47</v>
      </c>
      <c r="E536" s="4">
        <v>3.315980707</v>
      </c>
      <c r="F536" s="4">
        <v>0.01</v>
      </c>
      <c r="G536" s="4">
        <v>6.3370531740000002</v>
      </c>
      <c r="H536" s="4">
        <v>8.690693098645605</v>
      </c>
      <c r="I536" s="4">
        <v>7</v>
      </c>
    </row>
    <row r="537" spans="1:9">
      <c r="A537" s="4" t="s">
        <v>2798</v>
      </c>
      <c r="B537" s="4">
        <v>412</v>
      </c>
      <c r="C537" s="4" t="s">
        <v>2751</v>
      </c>
      <c r="D537" s="4">
        <v>48</v>
      </c>
      <c r="E537" s="4">
        <v>3.315980707</v>
      </c>
      <c r="F537" s="4">
        <v>0.1</v>
      </c>
      <c r="G537" s="4">
        <v>6.0189293470000003</v>
      </c>
      <c r="H537" s="4">
        <v>9.0964210216336685</v>
      </c>
      <c r="I537" s="4">
        <v>7</v>
      </c>
    </row>
    <row r="538" spans="1:9">
      <c r="A538" s="4" t="s">
        <v>2799</v>
      </c>
      <c r="B538" s="4">
        <v>412</v>
      </c>
      <c r="C538" s="4" t="s">
        <v>2751</v>
      </c>
      <c r="D538" s="4">
        <v>49</v>
      </c>
      <c r="E538" s="4">
        <v>3.315980707</v>
      </c>
      <c r="F538" s="106">
        <v>9.9999999999999995E-7</v>
      </c>
      <c r="G538" s="4">
        <v>6.6280078000000006E-2</v>
      </c>
      <c r="H538" s="4">
        <v>6.0729658078294876E-2</v>
      </c>
      <c r="I538" s="4">
        <v>7</v>
      </c>
    </row>
    <row r="539" spans="1:9">
      <c r="A539" s="4" t="s">
        <v>2800</v>
      </c>
      <c r="B539" s="4">
        <v>412</v>
      </c>
      <c r="C539" s="4" t="s">
        <v>2751</v>
      </c>
      <c r="D539" s="4">
        <v>50</v>
      </c>
      <c r="E539" s="4">
        <v>3.315980707</v>
      </c>
      <c r="F539" s="106">
        <v>1.0000000000000001E-5</v>
      </c>
      <c r="G539" s="4">
        <v>7.2951330999999994E-2</v>
      </c>
      <c r="H539" s="4">
        <v>6.2997012167521002E-2</v>
      </c>
      <c r="I539" s="4">
        <v>7</v>
      </c>
    </row>
    <row r="540" spans="1:9">
      <c r="A540" s="4" t="s">
        <v>2801</v>
      </c>
      <c r="B540" s="4">
        <v>412</v>
      </c>
      <c r="C540" s="4" t="s">
        <v>2751</v>
      </c>
      <c r="D540" s="4">
        <v>51</v>
      </c>
      <c r="E540" s="4">
        <v>3.315980707</v>
      </c>
      <c r="F540" s="4">
        <v>1E-4</v>
      </c>
      <c r="G540" s="4">
        <v>0.249879239</v>
      </c>
      <c r="H540" s="4">
        <v>0.27054913680268888</v>
      </c>
      <c r="I540" s="4">
        <v>7</v>
      </c>
    </row>
    <row r="541" spans="1:9">
      <c r="A541" s="4" t="s">
        <v>2802</v>
      </c>
      <c r="B541" s="4">
        <v>412</v>
      </c>
      <c r="C541" s="4" t="s">
        <v>2751</v>
      </c>
      <c r="D541" s="4">
        <v>52</v>
      </c>
      <c r="E541" s="4">
        <v>3.315980707</v>
      </c>
      <c r="F541" s="4">
        <v>1E-3</v>
      </c>
      <c r="G541" s="4">
        <v>4.0349144700000004</v>
      </c>
      <c r="H541" s="4">
        <v>5.1107154497091054</v>
      </c>
      <c r="I541" s="4">
        <v>7</v>
      </c>
    </row>
    <row r="542" spans="1:9">
      <c r="A542" s="4" t="s">
        <v>2803</v>
      </c>
      <c r="B542" s="4">
        <v>412</v>
      </c>
      <c r="C542" s="4" t="s">
        <v>2751</v>
      </c>
      <c r="D542" s="4">
        <v>53</v>
      </c>
      <c r="E542" s="4">
        <v>3.315980707</v>
      </c>
      <c r="F542" s="4">
        <v>0.01</v>
      </c>
      <c r="G542" s="4">
        <v>6.0480978920000004</v>
      </c>
      <c r="H542" s="4">
        <v>8.690693098645605</v>
      </c>
      <c r="I542" s="4">
        <v>7</v>
      </c>
    </row>
    <row r="543" spans="1:9">
      <c r="A543" s="4" t="s">
        <v>2804</v>
      </c>
      <c r="B543" s="4">
        <v>412</v>
      </c>
      <c r="C543" s="4" t="s">
        <v>2751</v>
      </c>
      <c r="D543" s="4">
        <v>54</v>
      </c>
      <c r="E543" s="4">
        <v>3.315980707</v>
      </c>
      <c r="F543" s="4">
        <v>0.1</v>
      </c>
      <c r="G543" s="4">
        <v>5.9362975130000004</v>
      </c>
      <c r="H543" s="4">
        <v>9.0964210216336685</v>
      </c>
      <c r="I543" s="4">
        <v>7</v>
      </c>
    </row>
    <row r="544" spans="1:9">
      <c r="A544" s="4" t="s">
        <v>2805</v>
      </c>
      <c r="B544" s="4">
        <v>413</v>
      </c>
      <c r="C544" s="4" t="s">
        <v>2806</v>
      </c>
      <c r="D544" s="4">
        <v>1</v>
      </c>
      <c r="E544" s="4">
        <v>8.3908820000000005E-3</v>
      </c>
      <c r="F544" s="4">
        <v>0</v>
      </c>
      <c r="G544" s="4">
        <v>3.4439395999999997E-2</v>
      </c>
      <c r="H544" s="4">
        <v>7.5706997826022249E-2</v>
      </c>
      <c r="I544" s="4">
        <v>7</v>
      </c>
    </row>
    <row r="545" spans="1:9">
      <c r="A545" s="4" t="s">
        <v>2807</v>
      </c>
      <c r="B545" s="4">
        <v>413</v>
      </c>
      <c r="C545" s="4" t="s">
        <v>2806</v>
      </c>
      <c r="D545" s="4">
        <v>2</v>
      </c>
      <c r="E545" s="4">
        <v>8.3908820000000005E-3</v>
      </c>
      <c r="F545" s="4">
        <v>10</v>
      </c>
      <c r="G545" s="4">
        <v>3.4749508999999998E-2</v>
      </c>
      <c r="H545" s="4">
        <v>7.5707007144168725E-2</v>
      </c>
      <c r="I545" s="4">
        <v>7</v>
      </c>
    </row>
    <row r="546" spans="1:9">
      <c r="A546" s="4" t="s">
        <v>2808</v>
      </c>
      <c r="B546" s="4">
        <v>413</v>
      </c>
      <c r="C546" s="4" t="s">
        <v>2806</v>
      </c>
      <c r="D546" s="4">
        <v>3</v>
      </c>
      <c r="E546" s="4">
        <v>8.3908820000000005E-3</v>
      </c>
      <c r="F546" s="4">
        <v>100</v>
      </c>
      <c r="G546" s="4">
        <v>3.5696497000000001E-2</v>
      </c>
      <c r="H546" s="4">
        <v>7.5707947443580711E-2</v>
      </c>
      <c r="I546" s="4">
        <v>7</v>
      </c>
    </row>
    <row r="547" spans="1:9">
      <c r="A547" s="4" t="s">
        <v>2809</v>
      </c>
      <c r="B547" s="4">
        <v>413</v>
      </c>
      <c r="C547" s="4" t="s">
        <v>2806</v>
      </c>
      <c r="D547" s="4">
        <v>4</v>
      </c>
      <c r="E547" s="4">
        <v>8.3908820000000005E-3</v>
      </c>
      <c r="F547" s="4">
        <v>1000</v>
      </c>
      <c r="G547" s="4">
        <v>3.1499879000000001E-2</v>
      </c>
      <c r="H547" s="4">
        <v>7.5790167961301336E-2</v>
      </c>
      <c r="I547" s="4">
        <v>7</v>
      </c>
    </row>
    <row r="548" spans="1:9">
      <c r="A548" s="4" t="s">
        <v>2810</v>
      </c>
      <c r="B548" s="4">
        <v>413</v>
      </c>
      <c r="C548" s="4" t="s">
        <v>2806</v>
      </c>
      <c r="D548" s="4">
        <v>5</v>
      </c>
      <c r="E548" s="4">
        <v>8.3908820000000005E-3</v>
      </c>
      <c r="F548" s="4">
        <v>5000</v>
      </c>
      <c r="G548" s="4">
        <v>3.1222999000000001E-2</v>
      </c>
      <c r="H548" s="4">
        <v>7.6953245408841131E-2</v>
      </c>
      <c r="I548" s="4">
        <v>7</v>
      </c>
    </row>
    <row r="549" spans="1:9">
      <c r="A549" s="4" t="s">
        <v>2811</v>
      </c>
      <c r="B549" s="4">
        <v>413</v>
      </c>
      <c r="C549" s="4" t="s">
        <v>2806</v>
      </c>
      <c r="D549" s="4">
        <v>6</v>
      </c>
      <c r="E549" s="4">
        <v>8.3908820000000005E-3</v>
      </c>
      <c r="F549" s="4">
        <v>10000</v>
      </c>
      <c r="G549" s="4">
        <v>3.3417216E-2</v>
      </c>
      <c r="H549" s="4">
        <v>7.8738167219538566E-2</v>
      </c>
      <c r="I549" s="4">
        <v>7</v>
      </c>
    </row>
    <row r="550" spans="1:9">
      <c r="A550" s="4" t="s">
        <v>2812</v>
      </c>
      <c r="B550" s="4">
        <v>413</v>
      </c>
      <c r="C550" s="4" t="s">
        <v>2806</v>
      </c>
      <c r="D550" s="4">
        <v>7</v>
      </c>
      <c r="E550" s="4">
        <v>8.3908820000000005E-3</v>
      </c>
      <c r="F550" s="4">
        <v>0</v>
      </c>
      <c r="G550" s="4">
        <v>3.3152353000000002E-2</v>
      </c>
      <c r="H550" s="4">
        <v>7.5706997826022249E-2</v>
      </c>
      <c r="I550" s="4">
        <v>7</v>
      </c>
    </row>
    <row r="551" spans="1:9">
      <c r="A551" s="4" t="s">
        <v>2813</v>
      </c>
      <c r="B551" s="4">
        <v>413</v>
      </c>
      <c r="C551" s="4" t="s">
        <v>2806</v>
      </c>
      <c r="D551" s="4">
        <v>8</v>
      </c>
      <c r="E551" s="4">
        <v>8.3908820000000005E-3</v>
      </c>
      <c r="F551" s="4">
        <v>10</v>
      </c>
      <c r="G551" s="4">
        <v>3.635712E-2</v>
      </c>
      <c r="H551" s="4">
        <v>7.5707007144168725E-2</v>
      </c>
      <c r="I551" s="4">
        <v>7</v>
      </c>
    </row>
    <row r="552" spans="1:9">
      <c r="A552" s="4" t="s">
        <v>2814</v>
      </c>
      <c r="B552" s="4">
        <v>413</v>
      </c>
      <c r="C552" s="4" t="s">
        <v>2806</v>
      </c>
      <c r="D552" s="4">
        <v>9</v>
      </c>
      <c r="E552" s="4">
        <v>8.3908820000000005E-3</v>
      </c>
      <c r="F552" s="4">
        <v>100</v>
      </c>
      <c r="G552" s="4">
        <v>3.4221782999999999E-2</v>
      </c>
      <c r="H552" s="4">
        <v>7.5707947443580711E-2</v>
      </c>
      <c r="I552" s="4">
        <v>7</v>
      </c>
    </row>
    <row r="553" spans="1:9">
      <c r="A553" s="4" t="s">
        <v>2815</v>
      </c>
      <c r="B553" s="4">
        <v>413</v>
      </c>
      <c r="C553" s="4" t="s">
        <v>2806</v>
      </c>
      <c r="D553" s="4">
        <v>10</v>
      </c>
      <c r="E553" s="4">
        <v>8.3908820000000005E-3</v>
      </c>
      <c r="F553" s="4">
        <v>1000</v>
      </c>
      <c r="G553" s="4">
        <v>3.4730636000000002E-2</v>
      </c>
      <c r="H553" s="4">
        <v>7.5790167961301336E-2</v>
      </c>
      <c r="I553" s="4">
        <v>7</v>
      </c>
    </row>
    <row r="554" spans="1:9">
      <c r="A554" s="4" t="s">
        <v>2816</v>
      </c>
      <c r="B554" s="4">
        <v>413</v>
      </c>
      <c r="C554" s="4" t="s">
        <v>2806</v>
      </c>
      <c r="D554" s="4">
        <v>11</v>
      </c>
      <c r="E554" s="4">
        <v>8.3908820000000005E-3</v>
      </c>
      <c r="F554" s="4">
        <v>5000</v>
      </c>
      <c r="G554" s="4">
        <v>3.2436272000000002E-2</v>
      </c>
      <c r="H554" s="4">
        <v>7.6953245408841131E-2</v>
      </c>
      <c r="I554" s="4">
        <v>7</v>
      </c>
    </row>
    <row r="555" spans="1:9">
      <c r="A555" s="4" t="s">
        <v>2817</v>
      </c>
      <c r="B555" s="4">
        <v>413</v>
      </c>
      <c r="C555" s="4" t="s">
        <v>2806</v>
      </c>
      <c r="D555" s="4">
        <v>12</v>
      </c>
      <c r="E555" s="4">
        <v>8.3908820000000005E-3</v>
      </c>
      <c r="F555" s="4">
        <v>10000</v>
      </c>
      <c r="G555" s="4">
        <v>3.5480067999999997E-2</v>
      </c>
      <c r="H555" s="4">
        <v>7.8738167219538566E-2</v>
      </c>
      <c r="I555" s="4">
        <v>7</v>
      </c>
    </row>
    <row r="556" spans="1:9">
      <c r="A556" s="4" t="s">
        <v>2818</v>
      </c>
      <c r="B556" s="4">
        <v>413</v>
      </c>
      <c r="C556" s="4" t="s">
        <v>2806</v>
      </c>
      <c r="D556" s="4">
        <v>13</v>
      </c>
      <c r="E556" s="4">
        <v>8.3908820000000005E-3</v>
      </c>
      <c r="F556" s="4">
        <v>0</v>
      </c>
      <c r="G556" s="4">
        <v>3.3090588999999997E-2</v>
      </c>
      <c r="H556" s="4">
        <v>7.5706997826022249E-2</v>
      </c>
      <c r="I556" s="4">
        <v>7</v>
      </c>
    </row>
    <row r="557" spans="1:9">
      <c r="A557" s="4" t="s">
        <v>2819</v>
      </c>
      <c r="B557" s="4">
        <v>413</v>
      </c>
      <c r="C557" s="4" t="s">
        <v>2806</v>
      </c>
      <c r="D557" s="4">
        <v>14</v>
      </c>
      <c r="E557" s="4">
        <v>8.3908820000000005E-3</v>
      </c>
      <c r="F557" s="4">
        <v>10</v>
      </c>
      <c r="G557" s="4">
        <v>3.5825929999999999E-2</v>
      </c>
      <c r="H557" s="4">
        <v>7.5707007144168725E-2</v>
      </c>
      <c r="I557" s="4">
        <v>7</v>
      </c>
    </row>
    <row r="558" spans="1:9">
      <c r="A558" s="4" t="s">
        <v>2820</v>
      </c>
      <c r="B558" s="4">
        <v>413</v>
      </c>
      <c r="C558" s="4" t="s">
        <v>2806</v>
      </c>
      <c r="D558" s="4">
        <v>15</v>
      </c>
      <c r="E558" s="4">
        <v>8.3908820000000005E-3</v>
      </c>
      <c r="F558" s="4">
        <v>100</v>
      </c>
      <c r="G558" s="4">
        <v>3.5490180000000003E-2</v>
      </c>
      <c r="H558" s="4">
        <v>7.5707947443580711E-2</v>
      </c>
      <c r="I558" s="4">
        <v>7</v>
      </c>
    </row>
    <row r="559" spans="1:9">
      <c r="A559" s="4" t="s">
        <v>2821</v>
      </c>
      <c r="B559" s="4">
        <v>413</v>
      </c>
      <c r="C559" s="4" t="s">
        <v>2806</v>
      </c>
      <c r="D559" s="4">
        <v>16</v>
      </c>
      <c r="E559" s="4">
        <v>8.3908820000000005E-3</v>
      </c>
      <c r="F559" s="4">
        <v>1000</v>
      </c>
      <c r="G559" s="4">
        <v>3.4468575000000001E-2</v>
      </c>
      <c r="H559" s="4">
        <v>7.5790167961301336E-2</v>
      </c>
      <c r="I559" s="4">
        <v>7</v>
      </c>
    </row>
    <row r="560" spans="1:9">
      <c r="A560" s="4" t="s">
        <v>2822</v>
      </c>
      <c r="B560" s="4">
        <v>413</v>
      </c>
      <c r="C560" s="4" t="s">
        <v>2806</v>
      </c>
      <c r="D560" s="4">
        <v>17</v>
      </c>
      <c r="E560" s="4">
        <v>8.3908820000000005E-3</v>
      </c>
      <c r="F560" s="4">
        <v>5000</v>
      </c>
      <c r="G560" s="4">
        <v>2.7351619000000001E-2</v>
      </c>
      <c r="H560" s="4">
        <v>7.6953245408841131E-2</v>
      </c>
      <c r="I560" s="4">
        <v>7</v>
      </c>
    </row>
    <row r="561" spans="1:9">
      <c r="A561" s="4" t="s">
        <v>2823</v>
      </c>
      <c r="B561" s="4">
        <v>413</v>
      </c>
      <c r="C561" s="4" t="s">
        <v>2806</v>
      </c>
      <c r="D561" s="4">
        <v>18</v>
      </c>
      <c r="E561" s="4">
        <v>8.3908820000000005E-3</v>
      </c>
      <c r="F561" s="4">
        <v>10000</v>
      </c>
      <c r="G561" s="4">
        <v>3.7022435999999999E-2</v>
      </c>
      <c r="H561" s="4">
        <v>7.8738167219538566E-2</v>
      </c>
      <c r="I561" s="4">
        <v>7</v>
      </c>
    </row>
    <row r="562" spans="1:9">
      <c r="A562" s="4" t="s">
        <v>2824</v>
      </c>
      <c r="B562" s="4">
        <v>413</v>
      </c>
      <c r="C562" s="4" t="s">
        <v>2806</v>
      </c>
      <c r="D562" s="4">
        <v>19</v>
      </c>
      <c r="E562" s="4">
        <v>0.32411113699999999</v>
      </c>
      <c r="F562" s="4">
        <v>0</v>
      </c>
      <c r="G562" s="4">
        <v>5.7730249999999997E-2</v>
      </c>
      <c r="H562" s="4">
        <v>7.6036893950766474E-2</v>
      </c>
      <c r="I562" s="4">
        <v>7</v>
      </c>
    </row>
    <row r="563" spans="1:9">
      <c r="A563" s="4" t="s">
        <v>2825</v>
      </c>
      <c r="B563" s="4">
        <v>413</v>
      </c>
      <c r="C563" s="4" t="s">
        <v>2806</v>
      </c>
      <c r="D563" s="4">
        <v>20</v>
      </c>
      <c r="E563" s="4">
        <v>0.32411113699999999</v>
      </c>
      <c r="F563" s="4">
        <v>10</v>
      </c>
      <c r="G563" s="4">
        <v>4.8135403E-2</v>
      </c>
      <c r="H563" s="4">
        <v>7.605079633832966E-2</v>
      </c>
      <c r="I563" s="4">
        <v>7</v>
      </c>
    </row>
    <row r="564" spans="1:9">
      <c r="A564" s="4" t="s">
        <v>2826</v>
      </c>
      <c r="B564" s="4">
        <v>413</v>
      </c>
      <c r="C564" s="4" t="s">
        <v>2806</v>
      </c>
      <c r="D564" s="4">
        <v>21</v>
      </c>
      <c r="E564" s="4">
        <v>0.32411113699999999</v>
      </c>
      <c r="F564" s="4">
        <v>100</v>
      </c>
      <c r="G564" s="4">
        <v>5.799373E-2</v>
      </c>
      <c r="H564" s="4">
        <v>7.7453610601490197E-2</v>
      </c>
      <c r="I564" s="4">
        <v>7</v>
      </c>
    </row>
    <row r="565" spans="1:9">
      <c r="A565" s="4" t="s">
        <v>2827</v>
      </c>
      <c r="B565" s="4">
        <v>413</v>
      </c>
      <c r="C565" s="4" t="s">
        <v>2806</v>
      </c>
      <c r="D565" s="4">
        <v>22</v>
      </c>
      <c r="E565" s="4">
        <v>0.32411113699999999</v>
      </c>
      <c r="F565" s="4">
        <v>1000</v>
      </c>
      <c r="G565" s="4">
        <v>0.27529615000000002</v>
      </c>
      <c r="H565" s="4">
        <v>0.19947112455583865</v>
      </c>
      <c r="I565" s="4">
        <v>7</v>
      </c>
    </row>
    <row r="566" spans="1:9">
      <c r="A566" s="4" t="s">
        <v>2828</v>
      </c>
      <c r="B566" s="4">
        <v>413</v>
      </c>
      <c r="C566" s="4" t="s">
        <v>2806</v>
      </c>
      <c r="D566" s="4">
        <v>23</v>
      </c>
      <c r="E566" s="4">
        <v>0.32411113699999999</v>
      </c>
      <c r="F566" s="4">
        <v>5000</v>
      </c>
      <c r="G566" s="4">
        <v>1.7961384920000001</v>
      </c>
      <c r="H566" s="4">
        <v>1.7965252332960397</v>
      </c>
      <c r="I566" s="4">
        <v>7</v>
      </c>
    </row>
    <row r="567" spans="1:9">
      <c r="A567" s="4" t="s">
        <v>2829</v>
      </c>
      <c r="B567" s="4">
        <v>413</v>
      </c>
      <c r="C567" s="4" t="s">
        <v>2806</v>
      </c>
      <c r="D567" s="4">
        <v>24</v>
      </c>
      <c r="E567" s="4">
        <v>0.32411113699999999</v>
      </c>
      <c r="F567" s="4">
        <v>10000</v>
      </c>
      <c r="G567" s="4">
        <v>4.219465649</v>
      </c>
      <c r="H567" s="4">
        <v>3.8400294805092061</v>
      </c>
      <c r="I567" s="4">
        <v>7</v>
      </c>
    </row>
    <row r="568" spans="1:9">
      <c r="A568" s="4" t="s">
        <v>2830</v>
      </c>
      <c r="B568" s="4">
        <v>413</v>
      </c>
      <c r="C568" s="4" t="s">
        <v>2806</v>
      </c>
      <c r="D568" s="4">
        <v>25</v>
      </c>
      <c r="E568" s="4">
        <v>0.32411113699999999</v>
      </c>
      <c r="F568" s="4">
        <v>0</v>
      </c>
      <c r="G568" s="4">
        <v>5.4478338000000001E-2</v>
      </c>
      <c r="H568" s="4">
        <v>7.6036893950766474E-2</v>
      </c>
      <c r="I568" s="4">
        <v>7</v>
      </c>
    </row>
    <row r="569" spans="1:9">
      <c r="A569" s="4" t="s">
        <v>2831</v>
      </c>
      <c r="B569" s="4">
        <v>413</v>
      </c>
      <c r="C569" s="4" t="s">
        <v>2806</v>
      </c>
      <c r="D569" s="4">
        <v>26</v>
      </c>
      <c r="E569" s="4">
        <v>0.32411113699999999</v>
      </c>
      <c r="F569" s="4">
        <v>10</v>
      </c>
      <c r="G569" s="4">
        <v>4.9335786999999999E-2</v>
      </c>
      <c r="H569" s="4">
        <v>7.605079633832966E-2</v>
      </c>
      <c r="I569" s="4">
        <v>7</v>
      </c>
    </row>
    <row r="570" spans="1:9">
      <c r="A570" s="4" t="s">
        <v>2832</v>
      </c>
      <c r="B570" s="4">
        <v>413</v>
      </c>
      <c r="C570" s="4" t="s">
        <v>2806</v>
      </c>
      <c r="D570" s="4">
        <v>27</v>
      </c>
      <c r="E570" s="4">
        <v>0.32411113699999999</v>
      </c>
      <c r="F570" s="4">
        <v>100</v>
      </c>
      <c r="G570" s="4">
        <v>5.6815479000000002E-2</v>
      </c>
      <c r="H570" s="4">
        <v>7.7453610601490197E-2</v>
      </c>
      <c r="I570" s="4">
        <v>7</v>
      </c>
    </row>
    <row r="571" spans="1:9">
      <c r="A571" s="4" t="s">
        <v>2833</v>
      </c>
      <c r="B571" s="4">
        <v>413</v>
      </c>
      <c r="C571" s="4" t="s">
        <v>2806</v>
      </c>
      <c r="D571" s="4">
        <v>28</v>
      </c>
      <c r="E571" s="4">
        <v>0.32411113699999999</v>
      </c>
      <c r="F571" s="4">
        <v>1000</v>
      </c>
      <c r="G571" s="4">
        <v>0.30061619699999997</v>
      </c>
      <c r="H571" s="4">
        <v>0.19947112455583865</v>
      </c>
      <c r="I571" s="4">
        <v>7</v>
      </c>
    </row>
    <row r="572" spans="1:9">
      <c r="A572" s="4" t="s">
        <v>2834</v>
      </c>
      <c r="B572" s="4">
        <v>413</v>
      </c>
      <c r="C572" s="4" t="s">
        <v>2806</v>
      </c>
      <c r="D572" s="4">
        <v>29</v>
      </c>
      <c r="E572" s="4">
        <v>0.32411113699999999</v>
      </c>
      <c r="F572" s="4">
        <v>5000</v>
      </c>
      <c r="G572" s="4">
        <v>1.9489724429999999</v>
      </c>
      <c r="H572" s="4">
        <v>1.7965252332960397</v>
      </c>
      <c r="I572" s="4">
        <v>7</v>
      </c>
    </row>
    <row r="573" spans="1:9">
      <c r="A573" s="4" t="s">
        <v>2835</v>
      </c>
      <c r="B573" s="4">
        <v>413</v>
      </c>
      <c r="C573" s="4" t="s">
        <v>2806</v>
      </c>
      <c r="D573" s="4">
        <v>30</v>
      </c>
      <c r="E573" s="4">
        <v>0.32411113699999999</v>
      </c>
      <c r="F573" s="4">
        <v>10000</v>
      </c>
      <c r="G573" s="4">
        <v>4.2855172899999996</v>
      </c>
      <c r="H573" s="4">
        <v>3.8400294805092061</v>
      </c>
      <c r="I573" s="4">
        <v>7</v>
      </c>
    </row>
    <row r="574" spans="1:9">
      <c r="A574" s="4" t="s">
        <v>2836</v>
      </c>
      <c r="B574" s="4">
        <v>413</v>
      </c>
      <c r="C574" s="4" t="s">
        <v>2806</v>
      </c>
      <c r="D574" s="4">
        <v>31</v>
      </c>
      <c r="E574" s="4">
        <v>0.32411113699999999</v>
      </c>
      <c r="F574" s="4">
        <v>0</v>
      </c>
      <c r="G574" s="4">
        <v>5.6506570999999998E-2</v>
      </c>
      <c r="H574" s="4">
        <v>7.6036893950766474E-2</v>
      </c>
      <c r="I574" s="4">
        <v>7</v>
      </c>
    </row>
    <row r="575" spans="1:9">
      <c r="A575" s="4" t="s">
        <v>2837</v>
      </c>
      <c r="B575" s="4">
        <v>413</v>
      </c>
      <c r="C575" s="4" t="s">
        <v>2806</v>
      </c>
      <c r="D575" s="4">
        <v>32</v>
      </c>
      <c r="E575" s="4">
        <v>0.32411113699999999</v>
      </c>
      <c r="F575" s="4">
        <v>10</v>
      </c>
      <c r="G575" s="4">
        <v>5.1638811999999999E-2</v>
      </c>
      <c r="H575" s="4">
        <v>7.605079633832966E-2</v>
      </c>
      <c r="I575" s="4">
        <v>7</v>
      </c>
    </row>
    <row r="576" spans="1:9">
      <c r="A576" s="4" t="s">
        <v>2838</v>
      </c>
      <c r="B576" s="4">
        <v>413</v>
      </c>
      <c r="C576" s="4" t="s">
        <v>2806</v>
      </c>
      <c r="D576" s="4">
        <v>33</v>
      </c>
      <c r="E576" s="4">
        <v>0.32411113699999999</v>
      </c>
      <c r="F576" s="4">
        <v>100</v>
      </c>
      <c r="G576" s="4">
        <v>5.7338347999999997E-2</v>
      </c>
      <c r="H576" s="4">
        <v>7.7453610601490197E-2</v>
      </c>
      <c r="I576" s="4">
        <v>7</v>
      </c>
    </row>
    <row r="577" spans="1:9">
      <c r="A577" s="4" t="s">
        <v>2839</v>
      </c>
      <c r="B577" s="4">
        <v>413</v>
      </c>
      <c r="C577" s="4" t="s">
        <v>2806</v>
      </c>
      <c r="D577" s="4">
        <v>34</v>
      </c>
      <c r="E577" s="4">
        <v>0.32411113699999999</v>
      </c>
      <c r="F577" s="4">
        <v>1000</v>
      </c>
      <c r="G577" s="4">
        <v>0.30331474400000003</v>
      </c>
      <c r="H577" s="4">
        <v>0.19947112455583865</v>
      </c>
      <c r="I577" s="4">
        <v>7</v>
      </c>
    </row>
    <row r="578" spans="1:9">
      <c r="A578" s="4" t="s">
        <v>2840</v>
      </c>
      <c r="B578" s="4">
        <v>413</v>
      </c>
      <c r="C578" s="4" t="s">
        <v>2806</v>
      </c>
      <c r="D578" s="4">
        <v>35</v>
      </c>
      <c r="E578" s="4">
        <v>0.32411113699999999</v>
      </c>
      <c r="F578" s="4">
        <v>5000</v>
      </c>
      <c r="G578" s="4">
        <v>1.7878006870000001</v>
      </c>
      <c r="H578" s="4">
        <v>1.7965252332960397</v>
      </c>
      <c r="I578" s="4">
        <v>7</v>
      </c>
    </row>
    <row r="579" spans="1:9">
      <c r="A579" s="4" t="s">
        <v>2841</v>
      </c>
      <c r="B579" s="4">
        <v>413</v>
      </c>
      <c r="C579" s="4" t="s">
        <v>2806</v>
      </c>
      <c r="D579" s="4">
        <v>36</v>
      </c>
      <c r="E579" s="4">
        <v>0.32411113699999999</v>
      </c>
      <c r="F579" s="4">
        <v>10000</v>
      </c>
      <c r="G579" s="4">
        <v>3.8376077359999998</v>
      </c>
      <c r="H579" s="4">
        <v>3.8400294805092061</v>
      </c>
      <c r="I579" s="4">
        <v>7</v>
      </c>
    </row>
    <row r="580" spans="1:9">
      <c r="A580" s="4" t="s">
        <v>2842</v>
      </c>
      <c r="B580" s="4">
        <v>413</v>
      </c>
      <c r="C580" s="4" t="s">
        <v>2806</v>
      </c>
      <c r="D580" s="4">
        <v>37</v>
      </c>
      <c r="E580" s="4">
        <v>2.7170036230000001</v>
      </c>
      <c r="F580" s="4">
        <v>0</v>
      </c>
      <c r="G580" s="4">
        <v>8.8537899000000003E-2</v>
      </c>
      <c r="H580" s="4">
        <v>9.8882925071077987E-2</v>
      </c>
      <c r="I580" s="4">
        <v>7</v>
      </c>
    </row>
    <row r="581" spans="1:9">
      <c r="A581" s="4" t="s">
        <v>2843</v>
      </c>
      <c r="B581" s="4">
        <v>413</v>
      </c>
      <c r="C581" s="4" t="s">
        <v>2806</v>
      </c>
      <c r="D581" s="4">
        <v>38</v>
      </c>
      <c r="E581" s="4">
        <v>2.7170036230000001</v>
      </c>
      <c r="F581" s="4">
        <v>10</v>
      </c>
      <c r="G581" s="4">
        <v>9.7194800999999997E-2</v>
      </c>
      <c r="H581" s="4">
        <v>9.9857970451915481E-2</v>
      </c>
      <c r="I581" s="4">
        <v>7</v>
      </c>
    </row>
    <row r="582" spans="1:9">
      <c r="A582" s="4" t="s">
        <v>2844</v>
      </c>
      <c r="B582" s="4">
        <v>413</v>
      </c>
      <c r="C582" s="4" t="s">
        <v>2806</v>
      </c>
      <c r="D582" s="4">
        <v>39</v>
      </c>
      <c r="E582" s="4">
        <v>2.7170036230000001</v>
      </c>
      <c r="F582" s="4">
        <v>100</v>
      </c>
      <c r="G582" s="4">
        <v>0.26609713000000002</v>
      </c>
      <c r="H582" s="4">
        <v>0.19783773760063397</v>
      </c>
      <c r="I582" s="4">
        <v>7</v>
      </c>
    </row>
    <row r="583" spans="1:9">
      <c r="A583" s="4" t="s">
        <v>2845</v>
      </c>
      <c r="B583" s="4">
        <v>413</v>
      </c>
      <c r="C583" s="4" t="s">
        <v>2806</v>
      </c>
      <c r="D583" s="4">
        <v>40</v>
      </c>
      <c r="E583" s="4">
        <v>2.7170036230000001</v>
      </c>
      <c r="F583" s="4">
        <v>1000</v>
      </c>
      <c r="G583" s="4">
        <v>3.4336079480000001</v>
      </c>
      <c r="H583" s="4">
        <v>6.3124101336049625</v>
      </c>
      <c r="I583" s="4">
        <v>7</v>
      </c>
    </row>
    <row r="584" spans="1:9">
      <c r="A584" s="4" t="s">
        <v>2846</v>
      </c>
      <c r="B584" s="4">
        <v>413</v>
      </c>
      <c r="C584" s="4" t="s">
        <v>2806</v>
      </c>
      <c r="D584" s="4">
        <v>41</v>
      </c>
      <c r="E584" s="4">
        <v>2.7170036230000001</v>
      </c>
      <c r="F584" s="4">
        <v>5000</v>
      </c>
      <c r="G584" s="4">
        <v>6.5802705570000004</v>
      </c>
      <c r="H584" s="4">
        <v>13.577853288061732</v>
      </c>
      <c r="I584" s="4">
        <v>7</v>
      </c>
    </row>
    <row r="585" spans="1:9">
      <c r="A585" s="4" t="s">
        <v>2847</v>
      </c>
      <c r="B585" s="4">
        <v>413</v>
      </c>
      <c r="C585" s="4" t="s">
        <v>2806</v>
      </c>
      <c r="D585" s="4">
        <v>42</v>
      </c>
      <c r="E585" s="4">
        <v>2.7170036230000001</v>
      </c>
      <c r="F585" s="4">
        <v>10000</v>
      </c>
      <c r="G585" s="4">
        <v>7.7238657960000001</v>
      </c>
      <c r="H585" s="4">
        <v>13.609505545001481</v>
      </c>
      <c r="I585" s="4">
        <v>7</v>
      </c>
    </row>
    <row r="586" spans="1:9">
      <c r="A586" s="4" t="s">
        <v>2848</v>
      </c>
      <c r="B586" s="4">
        <v>413</v>
      </c>
      <c r="C586" s="4" t="s">
        <v>2806</v>
      </c>
      <c r="D586" s="4">
        <v>43</v>
      </c>
      <c r="E586" s="4">
        <v>2.7170036230000001</v>
      </c>
      <c r="F586" s="4">
        <v>0</v>
      </c>
      <c r="G586" s="4">
        <v>9.1394344000000002E-2</v>
      </c>
      <c r="H586" s="4">
        <v>9.8882925071077987E-2</v>
      </c>
      <c r="I586" s="4">
        <v>7</v>
      </c>
    </row>
    <row r="587" spans="1:9">
      <c r="A587" s="4" t="s">
        <v>2849</v>
      </c>
      <c r="B587" s="4">
        <v>413</v>
      </c>
      <c r="C587" s="4" t="s">
        <v>2806</v>
      </c>
      <c r="D587" s="4">
        <v>44</v>
      </c>
      <c r="E587" s="4">
        <v>2.7170036230000001</v>
      </c>
      <c r="F587" s="4">
        <v>10</v>
      </c>
      <c r="G587" s="4">
        <v>9.9751920999999993E-2</v>
      </c>
      <c r="H587" s="4">
        <v>9.9857970451915481E-2</v>
      </c>
      <c r="I587" s="4">
        <v>7</v>
      </c>
    </row>
    <row r="588" spans="1:9">
      <c r="A588" s="4" t="s">
        <v>2850</v>
      </c>
      <c r="B588" s="4">
        <v>413</v>
      </c>
      <c r="C588" s="4" t="s">
        <v>2806</v>
      </c>
      <c r="D588" s="4">
        <v>45</v>
      </c>
      <c r="E588" s="4">
        <v>2.7170036230000001</v>
      </c>
      <c r="F588" s="4">
        <v>100</v>
      </c>
      <c r="G588" s="4">
        <v>0.27885559900000001</v>
      </c>
      <c r="H588" s="4">
        <v>0.19783773760063397</v>
      </c>
      <c r="I588" s="4">
        <v>7</v>
      </c>
    </row>
    <row r="589" spans="1:9">
      <c r="A589" s="4" t="s">
        <v>2851</v>
      </c>
      <c r="B589" s="4">
        <v>413</v>
      </c>
      <c r="C589" s="4" t="s">
        <v>2806</v>
      </c>
      <c r="D589" s="4">
        <v>46</v>
      </c>
      <c r="E589" s="4">
        <v>2.7170036230000001</v>
      </c>
      <c r="F589" s="4">
        <v>1000</v>
      </c>
      <c r="G589" s="4">
        <v>3.5077478499999999</v>
      </c>
      <c r="H589" s="4">
        <v>6.3124101336049625</v>
      </c>
      <c r="I589" s="4">
        <v>7</v>
      </c>
    </row>
    <row r="590" spans="1:9">
      <c r="A590" s="4" t="s">
        <v>2852</v>
      </c>
      <c r="B590" s="4">
        <v>413</v>
      </c>
      <c r="C590" s="4" t="s">
        <v>2806</v>
      </c>
      <c r="D590" s="4">
        <v>47</v>
      </c>
      <c r="E590" s="4">
        <v>2.7170036230000001</v>
      </c>
      <c r="F590" s="4">
        <v>5000</v>
      </c>
      <c r="G590" s="4">
        <v>6.7177936819999999</v>
      </c>
      <c r="H590" s="4">
        <v>13.577853288061732</v>
      </c>
      <c r="I590" s="4">
        <v>7</v>
      </c>
    </row>
    <row r="591" spans="1:9">
      <c r="A591" s="4" t="s">
        <v>2853</v>
      </c>
      <c r="B591" s="4">
        <v>413</v>
      </c>
      <c r="C591" s="4" t="s">
        <v>2806</v>
      </c>
      <c r="D591" s="4">
        <v>48</v>
      </c>
      <c r="E591" s="4">
        <v>2.7170036230000001</v>
      </c>
      <c r="F591" s="4">
        <v>10000</v>
      </c>
      <c r="G591" s="4">
        <v>7.4344204600000001</v>
      </c>
      <c r="H591" s="4">
        <v>13.609505545001481</v>
      </c>
      <c r="I591" s="4">
        <v>7</v>
      </c>
    </row>
    <row r="592" spans="1:9">
      <c r="A592" s="4" t="s">
        <v>2854</v>
      </c>
      <c r="B592" s="4">
        <v>413</v>
      </c>
      <c r="C592" s="4" t="s">
        <v>2806</v>
      </c>
      <c r="D592" s="4">
        <v>49</v>
      </c>
      <c r="E592" s="4">
        <v>2.7170036230000001</v>
      </c>
      <c r="F592" s="4">
        <v>0</v>
      </c>
      <c r="G592" s="4">
        <v>9.5024634999999996E-2</v>
      </c>
      <c r="H592" s="4">
        <v>9.8882925071077987E-2</v>
      </c>
      <c r="I592" s="4">
        <v>7</v>
      </c>
    </row>
    <row r="593" spans="1:9">
      <c r="A593" s="4" t="s">
        <v>2855</v>
      </c>
      <c r="B593" s="4">
        <v>413</v>
      </c>
      <c r="C593" s="4" t="s">
        <v>2806</v>
      </c>
      <c r="D593" s="4">
        <v>50</v>
      </c>
      <c r="E593" s="4">
        <v>2.7170036230000001</v>
      </c>
      <c r="F593" s="4">
        <v>10</v>
      </c>
      <c r="G593" s="4">
        <v>8.9326777999999996E-2</v>
      </c>
      <c r="H593" s="4">
        <v>9.9857970451915481E-2</v>
      </c>
      <c r="I593" s="4">
        <v>7</v>
      </c>
    </row>
    <row r="594" spans="1:9">
      <c r="A594" s="4" t="s">
        <v>2856</v>
      </c>
      <c r="B594" s="4">
        <v>413</v>
      </c>
      <c r="C594" s="4" t="s">
        <v>2806</v>
      </c>
      <c r="D594" s="4">
        <v>51</v>
      </c>
      <c r="E594" s="4">
        <v>2.7170036230000001</v>
      </c>
      <c r="F594" s="4">
        <v>100</v>
      </c>
      <c r="G594" s="4">
        <v>0.25108004099999998</v>
      </c>
      <c r="H594" s="4">
        <v>0.19783773760063397</v>
      </c>
      <c r="I594" s="4">
        <v>7</v>
      </c>
    </row>
    <row r="595" spans="1:9">
      <c r="A595" s="4" t="s">
        <v>2857</v>
      </c>
      <c r="B595" s="4">
        <v>413</v>
      </c>
      <c r="C595" s="4" t="s">
        <v>2806</v>
      </c>
      <c r="D595" s="4">
        <v>52</v>
      </c>
      <c r="E595" s="4">
        <v>2.7170036230000001</v>
      </c>
      <c r="F595" s="4">
        <v>1000</v>
      </c>
      <c r="G595" s="4">
        <v>3.58766023</v>
      </c>
      <c r="H595" s="4">
        <v>6.3124101336049625</v>
      </c>
      <c r="I595" s="4">
        <v>7</v>
      </c>
    </row>
    <row r="596" spans="1:9">
      <c r="A596" s="4" t="s">
        <v>2858</v>
      </c>
      <c r="B596" s="4">
        <v>413</v>
      </c>
      <c r="C596" s="4" t="s">
        <v>2806</v>
      </c>
      <c r="D596" s="4">
        <v>53</v>
      </c>
      <c r="E596" s="4">
        <v>2.7170036230000001</v>
      </c>
      <c r="F596" s="4">
        <v>5000</v>
      </c>
      <c r="G596" s="4">
        <v>6.9381713920000001</v>
      </c>
      <c r="H596" s="4">
        <v>13.577853288061732</v>
      </c>
      <c r="I596" s="4">
        <v>7</v>
      </c>
    </row>
    <row r="597" spans="1:9">
      <c r="A597" s="4" t="s">
        <v>2859</v>
      </c>
      <c r="B597" s="4">
        <v>413</v>
      </c>
      <c r="C597" s="4" t="s">
        <v>2806</v>
      </c>
      <c r="D597" s="4">
        <v>54</v>
      </c>
      <c r="E597" s="4">
        <v>2.7170036230000001</v>
      </c>
      <c r="F597" s="4">
        <v>10000</v>
      </c>
      <c r="G597" s="4">
        <v>7.8238236240000001</v>
      </c>
      <c r="H597" s="4">
        <v>13.609505545001481</v>
      </c>
      <c r="I597" s="4">
        <v>7</v>
      </c>
    </row>
    <row r="598" spans="1:9">
      <c r="A598" s="4" t="s">
        <v>2860</v>
      </c>
      <c r="B598" s="4">
        <v>414</v>
      </c>
      <c r="C598" s="4" t="s">
        <v>2861</v>
      </c>
      <c r="D598" s="4">
        <v>1</v>
      </c>
      <c r="E598" s="4">
        <v>1.4354824E-2</v>
      </c>
      <c r="F598" s="106">
        <v>1.0000000000000001E-5</v>
      </c>
      <c r="G598" s="4">
        <v>6.4825979000000006E-2</v>
      </c>
      <c r="H598" s="4">
        <v>5.0452060942752855E-2</v>
      </c>
      <c r="I598" s="4">
        <v>7</v>
      </c>
    </row>
    <row r="599" spans="1:9">
      <c r="A599" s="4" t="s">
        <v>2862</v>
      </c>
      <c r="B599" s="4">
        <v>414</v>
      </c>
      <c r="C599" s="4" t="s">
        <v>2861</v>
      </c>
      <c r="D599" s="4">
        <v>2</v>
      </c>
      <c r="E599" s="4">
        <v>1.4354824E-2</v>
      </c>
      <c r="F599" s="4">
        <v>1E-4</v>
      </c>
      <c r="G599" s="4">
        <v>5.9590833000000003E-2</v>
      </c>
      <c r="H599" s="4">
        <v>5.0452334889586115E-2</v>
      </c>
      <c r="I599" s="4">
        <v>7</v>
      </c>
    </row>
    <row r="600" spans="1:9">
      <c r="A600" s="4" t="s">
        <v>2863</v>
      </c>
      <c r="B600" s="4">
        <v>414</v>
      </c>
      <c r="C600" s="4" t="s">
        <v>2861</v>
      </c>
      <c r="D600" s="4">
        <v>3</v>
      </c>
      <c r="E600" s="4">
        <v>1.4354824E-2</v>
      </c>
      <c r="F600" s="4">
        <v>1E-3</v>
      </c>
      <c r="G600" s="4">
        <v>6.4348585E-2</v>
      </c>
      <c r="H600" s="4">
        <v>5.0487622519209435E-2</v>
      </c>
      <c r="I600" s="4">
        <v>7</v>
      </c>
    </row>
    <row r="601" spans="1:9">
      <c r="A601" s="4" t="s">
        <v>2864</v>
      </c>
      <c r="B601" s="4">
        <v>414</v>
      </c>
      <c r="C601" s="4" t="s">
        <v>2861</v>
      </c>
      <c r="D601" s="4">
        <v>4</v>
      </c>
      <c r="E601" s="4">
        <v>1.4354824E-2</v>
      </c>
      <c r="F601" s="4">
        <v>0.01</v>
      </c>
      <c r="G601" s="4">
        <v>6.6647735999999999E-2</v>
      </c>
      <c r="H601" s="4">
        <v>5.1104001837996571E-2</v>
      </c>
      <c r="I601" s="4">
        <v>7</v>
      </c>
    </row>
    <row r="602" spans="1:9">
      <c r="A602" s="4" t="s">
        <v>2865</v>
      </c>
      <c r="B602" s="4">
        <v>414</v>
      </c>
      <c r="C602" s="4" t="s">
        <v>2861</v>
      </c>
      <c r="D602" s="4">
        <v>5</v>
      </c>
      <c r="E602" s="4">
        <v>1.4354824E-2</v>
      </c>
      <c r="F602" s="4">
        <v>1</v>
      </c>
      <c r="G602" s="4">
        <v>7.0542573999999997E-2</v>
      </c>
      <c r="H602" s="4">
        <v>5.2004287339841068E-2</v>
      </c>
      <c r="I602" s="4">
        <v>7</v>
      </c>
    </row>
    <row r="603" spans="1:9">
      <c r="A603" s="4" t="s">
        <v>2866</v>
      </c>
      <c r="B603" s="4">
        <v>414</v>
      </c>
      <c r="C603" s="4" t="s">
        <v>2861</v>
      </c>
      <c r="D603" s="4">
        <v>6</v>
      </c>
      <c r="E603" s="4">
        <v>1.4354824E-2</v>
      </c>
      <c r="F603" s="106">
        <v>1.0000000000000001E-5</v>
      </c>
      <c r="G603" s="4">
        <v>6.2385853999999998E-2</v>
      </c>
      <c r="H603" s="4">
        <v>5.0452060942752855E-2</v>
      </c>
      <c r="I603" s="4">
        <v>7</v>
      </c>
    </row>
    <row r="604" spans="1:9">
      <c r="A604" s="4" t="s">
        <v>2867</v>
      </c>
      <c r="B604" s="4">
        <v>414</v>
      </c>
      <c r="C604" s="4" t="s">
        <v>2861</v>
      </c>
      <c r="D604" s="4">
        <v>7</v>
      </c>
      <c r="E604" s="4">
        <v>1.4354824E-2</v>
      </c>
      <c r="F604" s="4">
        <v>1E-4</v>
      </c>
      <c r="G604" s="4">
        <v>5.9199421000000002E-2</v>
      </c>
      <c r="H604" s="4">
        <v>5.0452334889586115E-2</v>
      </c>
      <c r="I604" s="4">
        <v>7</v>
      </c>
    </row>
    <row r="605" spans="1:9">
      <c r="A605" s="4" t="s">
        <v>2868</v>
      </c>
      <c r="B605" s="4">
        <v>414</v>
      </c>
      <c r="C605" s="4" t="s">
        <v>2861</v>
      </c>
      <c r="D605" s="4">
        <v>8</v>
      </c>
      <c r="E605" s="4">
        <v>1.4354824E-2</v>
      </c>
      <c r="F605" s="4">
        <v>1E-3</v>
      </c>
      <c r="G605" s="4">
        <v>5.6941046000000002E-2</v>
      </c>
      <c r="H605" s="4">
        <v>5.0487622519209435E-2</v>
      </c>
      <c r="I605" s="4">
        <v>7</v>
      </c>
    </row>
    <row r="606" spans="1:9">
      <c r="A606" s="4" t="s">
        <v>2869</v>
      </c>
      <c r="B606" s="4">
        <v>414</v>
      </c>
      <c r="C606" s="4" t="s">
        <v>2861</v>
      </c>
      <c r="D606" s="4">
        <v>9</v>
      </c>
      <c r="E606" s="4">
        <v>1.4354824E-2</v>
      </c>
      <c r="F606" s="4">
        <v>0.01</v>
      </c>
      <c r="G606" s="4">
        <v>6.3466600999999997E-2</v>
      </c>
      <c r="H606" s="4">
        <v>5.1104001837996571E-2</v>
      </c>
      <c r="I606" s="4">
        <v>7</v>
      </c>
    </row>
    <row r="607" spans="1:9">
      <c r="A607" s="4" t="s">
        <v>2870</v>
      </c>
      <c r="B607" s="4">
        <v>414</v>
      </c>
      <c r="C607" s="4" t="s">
        <v>2861</v>
      </c>
      <c r="D607" s="4">
        <v>10</v>
      </c>
      <c r="E607" s="4">
        <v>1.4354824E-2</v>
      </c>
      <c r="F607" s="4">
        <v>1</v>
      </c>
      <c r="G607" s="4">
        <v>6.9648742E-2</v>
      </c>
      <c r="H607" s="4">
        <v>5.2004287339841068E-2</v>
      </c>
      <c r="I607" s="4">
        <v>7</v>
      </c>
    </row>
    <row r="608" spans="1:9">
      <c r="A608" s="4" t="s">
        <v>2871</v>
      </c>
      <c r="B608" s="4">
        <v>414</v>
      </c>
      <c r="C608" s="4" t="s">
        <v>2861</v>
      </c>
      <c r="D608" s="4">
        <v>11</v>
      </c>
      <c r="E608" s="4">
        <v>1.4354824E-2</v>
      </c>
      <c r="F608" s="106">
        <v>1.0000000000000001E-5</v>
      </c>
      <c r="G608" s="4">
        <v>7.2425165E-2</v>
      </c>
      <c r="H608" s="4">
        <v>5.0452060942752855E-2</v>
      </c>
      <c r="I608" s="4">
        <v>7</v>
      </c>
    </row>
    <row r="609" spans="1:9">
      <c r="A609" s="4" t="s">
        <v>2872</v>
      </c>
      <c r="B609" s="4">
        <v>414</v>
      </c>
      <c r="C609" s="4" t="s">
        <v>2861</v>
      </c>
      <c r="D609" s="4">
        <v>12</v>
      </c>
      <c r="E609" s="4">
        <v>1.4354824E-2</v>
      </c>
      <c r="F609" s="4">
        <v>1E-4</v>
      </c>
      <c r="G609" s="4">
        <v>5.8395626999999999E-2</v>
      </c>
      <c r="H609" s="4">
        <v>5.0452334889586115E-2</v>
      </c>
      <c r="I609" s="4">
        <v>7</v>
      </c>
    </row>
    <row r="610" spans="1:9">
      <c r="A610" s="4" t="s">
        <v>2873</v>
      </c>
      <c r="B610" s="4">
        <v>414</v>
      </c>
      <c r="C610" s="4" t="s">
        <v>2861</v>
      </c>
      <c r="D610" s="4">
        <v>13</v>
      </c>
      <c r="E610" s="4">
        <v>1.4354824E-2</v>
      </c>
      <c r="F610" s="4">
        <v>1E-3</v>
      </c>
      <c r="G610" s="4">
        <v>5.9308658E-2</v>
      </c>
      <c r="H610" s="4">
        <v>5.0487622519209435E-2</v>
      </c>
      <c r="I610" s="4">
        <v>7</v>
      </c>
    </row>
    <row r="611" spans="1:9">
      <c r="A611" s="4" t="s">
        <v>2874</v>
      </c>
      <c r="B611" s="4">
        <v>414</v>
      </c>
      <c r="C611" s="4" t="s">
        <v>2861</v>
      </c>
      <c r="D611" s="4">
        <v>14</v>
      </c>
      <c r="E611" s="4">
        <v>1.4354824E-2</v>
      </c>
      <c r="F611" s="4">
        <v>0.01</v>
      </c>
      <c r="G611" s="4">
        <v>6.3159146999999999E-2</v>
      </c>
      <c r="H611" s="4">
        <v>5.1104001837996571E-2</v>
      </c>
      <c r="I611" s="4">
        <v>7</v>
      </c>
    </row>
    <row r="612" spans="1:9">
      <c r="A612" s="4" t="s">
        <v>2875</v>
      </c>
      <c r="B612" s="4">
        <v>414</v>
      </c>
      <c r="C612" s="4" t="s">
        <v>2861</v>
      </c>
      <c r="D612" s="4">
        <v>15</v>
      </c>
      <c r="E612" s="4">
        <v>1.4354824E-2</v>
      </c>
      <c r="F612" s="4">
        <v>1</v>
      </c>
      <c r="G612" s="4">
        <v>7.3908926E-2</v>
      </c>
      <c r="H612" s="4">
        <v>5.2004287339841068E-2</v>
      </c>
      <c r="I612" s="4">
        <v>7</v>
      </c>
    </row>
    <row r="613" spans="1:9">
      <c r="A613" s="4" t="s">
        <v>2876</v>
      </c>
      <c r="B613" s="4">
        <v>414</v>
      </c>
      <c r="C613" s="4" t="s">
        <v>2861</v>
      </c>
      <c r="D613" s="4">
        <v>16</v>
      </c>
      <c r="E613" s="4">
        <v>0.48009342799999999</v>
      </c>
      <c r="F613" s="106">
        <v>1.0000000000000001E-5</v>
      </c>
      <c r="G613" s="4">
        <v>9.9466924999999998E-2</v>
      </c>
      <c r="H613" s="4">
        <v>5.8401348673370157E-2</v>
      </c>
      <c r="I613" s="4">
        <v>7</v>
      </c>
    </row>
    <row r="614" spans="1:9">
      <c r="A614" s="4" t="s">
        <v>2877</v>
      </c>
      <c r="B614" s="4">
        <v>414</v>
      </c>
      <c r="C614" s="4" t="s">
        <v>2861</v>
      </c>
      <c r="D614" s="4">
        <v>17</v>
      </c>
      <c r="E614" s="4">
        <v>0.48009342799999999</v>
      </c>
      <c r="F614" s="4">
        <v>1E-4</v>
      </c>
      <c r="G614" s="4">
        <v>9.7379631999999994E-2</v>
      </c>
      <c r="H614" s="4">
        <v>5.870751668944478E-2</v>
      </c>
      <c r="I614" s="4">
        <v>7</v>
      </c>
    </row>
    <row r="615" spans="1:9">
      <c r="A615" s="4" t="s">
        <v>2878</v>
      </c>
      <c r="B615" s="4">
        <v>414</v>
      </c>
      <c r="C615" s="4" t="s">
        <v>2861</v>
      </c>
      <c r="D615" s="4">
        <v>18</v>
      </c>
      <c r="E615" s="4">
        <v>0.48009342799999999</v>
      </c>
      <c r="F615" s="4">
        <v>1E-3</v>
      </c>
      <c r="G615" s="4">
        <v>0.236837875</v>
      </c>
      <c r="H615" s="4">
        <v>9.8065124944328175E-2</v>
      </c>
      <c r="I615" s="4">
        <v>7</v>
      </c>
    </row>
    <row r="616" spans="1:9">
      <c r="A616" s="4" t="s">
        <v>2879</v>
      </c>
      <c r="B616" s="4">
        <v>414</v>
      </c>
      <c r="C616" s="4" t="s">
        <v>2861</v>
      </c>
      <c r="D616" s="4">
        <v>19</v>
      </c>
      <c r="E616" s="4">
        <v>0.48009342799999999</v>
      </c>
      <c r="F616" s="4">
        <v>0.01</v>
      </c>
      <c r="G616" s="4">
        <v>0.890194653</v>
      </c>
      <c r="H616" s="4">
        <v>0.76055995813382826</v>
      </c>
      <c r="I616" s="4">
        <v>7</v>
      </c>
    </row>
    <row r="617" spans="1:9">
      <c r="A617" s="4" t="s">
        <v>2880</v>
      </c>
      <c r="B617" s="4">
        <v>414</v>
      </c>
      <c r="C617" s="4" t="s">
        <v>2861</v>
      </c>
      <c r="D617" s="4">
        <v>20</v>
      </c>
      <c r="E617" s="4">
        <v>0.48009342799999999</v>
      </c>
      <c r="F617" s="4">
        <v>1</v>
      </c>
      <c r="G617" s="4">
        <v>2.5391008529999999</v>
      </c>
      <c r="H617" s="4">
        <v>1.6492834125518836</v>
      </c>
      <c r="I617" s="4">
        <v>7</v>
      </c>
    </row>
    <row r="618" spans="1:9">
      <c r="A618" s="4" t="s">
        <v>2881</v>
      </c>
      <c r="B618" s="4">
        <v>414</v>
      </c>
      <c r="C618" s="4" t="s">
        <v>2861</v>
      </c>
      <c r="D618" s="4">
        <v>21</v>
      </c>
      <c r="E618" s="4">
        <v>0.48009342799999999</v>
      </c>
      <c r="F618" s="106">
        <v>1.0000000000000001E-5</v>
      </c>
      <c r="G618" s="4">
        <v>0.107477789</v>
      </c>
      <c r="H618" s="4">
        <v>5.8401348673370157E-2</v>
      </c>
      <c r="I618" s="4">
        <v>7</v>
      </c>
    </row>
    <row r="619" spans="1:9">
      <c r="A619" s="4" t="s">
        <v>2882</v>
      </c>
      <c r="B619" s="4">
        <v>414</v>
      </c>
      <c r="C619" s="4" t="s">
        <v>2861</v>
      </c>
      <c r="D619" s="4">
        <v>22</v>
      </c>
      <c r="E619" s="4">
        <v>0.48009342799999999</v>
      </c>
      <c r="F619" s="4">
        <v>1E-4</v>
      </c>
      <c r="G619" s="4">
        <v>0.106063216</v>
      </c>
      <c r="H619" s="4">
        <v>5.870751668944478E-2</v>
      </c>
      <c r="I619" s="4">
        <v>7</v>
      </c>
    </row>
    <row r="620" spans="1:9">
      <c r="A620" s="4" t="s">
        <v>2883</v>
      </c>
      <c r="B620" s="4">
        <v>414</v>
      </c>
      <c r="C620" s="4" t="s">
        <v>2861</v>
      </c>
      <c r="D620" s="4">
        <v>23</v>
      </c>
      <c r="E620" s="4">
        <v>0.48009342799999999</v>
      </c>
      <c r="F620" s="4">
        <v>1E-3</v>
      </c>
      <c r="G620" s="4">
        <v>0.25371754699999999</v>
      </c>
      <c r="H620" s="4">
        <v>9.8065124944328175E-2</v>
      </c>
      <c r="I620" s="4">
        <v>7</v>
      </c>
    </row>
    <row r="621" spans="1:9">
      <c r="A621" s="4" t="s">
        <v>2884</v>
      </c>
      <c r="B621" s="4">
        <v>414</v>
      </c>
      <c r="C621" s="4" t="s">
        <v>2861</v>
      </c>
      <c r="D621" s="4">
        <v>24</v>
      </c>
      <c r="E621" s="4">
        <v>0.48009342799999999</v>
      </c>
      <c r="F621" s="4">
        <v>0.01</v>
      </c>
      <c r="G621" s="4">
        <v>1.0621716290000001</v>
      </c>
      <c r="H621" s="4">
        <v>0.76055995813382826</v>
      </c>
      <c r="I621" s="4">
        <v>7</v>
      </c>
    </row>
    <row r="622" spans="1:9">
      <c r="A622" s="4" t="s">
        <v>2885</v>
      </c>
      <c r="B622" s="4">
        <v>414</v>
      </c>
      <c r="C622" s="4" t="s">
        <v>2861</v>
      </c>
      <c r="D622" s="4">
        <v>25</v>
      </c>
      <c r="E622" s="4">
        <v>0.48009342799999999</v>
      </c>
      <c r="F622" s="4">
        <v>1</v>
      </c>
      <c r="G622" s="4">
        <v>2.4051761260000002</v>
      </c>
      <c r="H622" s="4">
        <v>1.6492834125518836</v>
      </c>
      <c r="I622" s="4">
        <v>7</v>
      </c>
    </row>
    <row r="623" spans="1:9">
      <c r="A623" s="4" t="s">
        <v>2886</v>
      </c>
      <c r="B623" s="4">
        <v>414</v>
      </c>
      <c r="C623" s="4" t="s">
        <v>2861</v>
      </c>
      <c r="D623" s="4">
        <v>26</v>
      </c>
      <c r="E623" s="4">
        <v>0.48009342799999999</v>
      </c>
      <c r="F623" s="106">
        <v>1.0000000000000001E-5</v>
      </c>
      <c r="G623" s="4">
        <v>9.7281294000000004E-2</v>
      </c>
      <c r="H623" s="4">
        <v>5.8401348673370157E-2</v>
      </c>
      <c r="I623" s="4">
        <v>7</v>
      </c>
    </row>
    <row r="624" spans="1:9">
      <c r="A624" s="4" t="s">
        <v>2887</v>
      </c>
      <c r="B624" s="4">
        <v>414</v>
      </c>
      <c r="C624" s="4" t="s">
        <v>2861</v>
      </c>
      <c r="D624" s="4">
        <v>27</v>
      </c>
      <c r="E624" s="4">
        <v>0.48009342799999999</v>
      </c>
      <c r="F624" s="4">
        <v>1E-4</v>
      </c>
      <c r="G624" s="4">
        <v>0.120081355</v>
      </c>
      <c r="H624" s="4">
        <v>5.870751668944478E-2</v>
      </c>
      <c r="I624" s="4">
        <v>7</v>
      </c>
    </row>
    <row r="625" spans="1:9">
      <c r="A625" s="4" t="s">
        <v>2888</v>
      </c>
      <c r="B625" s="4">
        <v>414</v>
      </c>
      <c r="C625" s="4" t="s">
        <v>2861</v>
      </c>
      <c r="D625" s="4">
        <v>28</v>
      </c>
      <c r="E625" s="4">
        <v>0.48009342799999999</v>
      </c>
      <c r="F625" s="4">
        <v>1E-3</v>
      </c>
      <c r="G625" s="4">
        <v>0.24099363300000001</v>
      </c>
      <c r="H625" s="4">
        <v>9.8065124944328175E-2</v>
      </c>
      <c r="I625" s="4">
        <v>7</v>
      </c>
    </row>
    <row r="626" spans="1:9">
      <c r="A626" s="4" t="s">
        <v>2889</v>
      </c>
      <c r="B626" s="4">
        <v>414</v>
      </c>
      <c r="C626" s="4" t="s">
        <v>2861</v>
      </c>
      <c r="D626" s="4">
        <v>29</v>
      </c>
      <c r="E626" s="4">
        <v>0.48009342799999999</v>
      </c>
      <c r="F626" s="4">
        <v>0.01</v>
      </c>
      <c r="G626" s="4">
        <v>1.0573624319999999</v>
      </c>
      <c r="H626" s="4">
        <v>0.76055995813382826</v>
      </c>
      <c r="I626" s="4">
        <v>7</v>
      </c>
    </row>
    <row r="627" spans="1:9">
      <c r="A627" s="4" t="s">
        <v>2890</v>
      </c>
      <c r="B627" s="4">
        <v>414</v>
      </c>
      <c r="C627" s="4" t="s">
        <v>2861</v>
      </c>
      <c r="D627" s="4">
        <v>30</v>
      </c>
      <c r="E627" s="4">
        <v>0.48009342799999999</v>
      </c>
      <c r="F627" s="4">
        <v>1</v>
      </c>
      <c r="G627" s="4">
        <v>2.2878124739999999</v>
      </c>
      <c r="H627" s="4">
        <v>1.6492834125518836</v>
      </c>
      <c r="I627" s="4">
        <v>7</v>
      </c>
    </row>
    <row r="628" spans="1:9">
      <c r="A628" s="4" t="s">
        <v>2891</v>
      </c>
      <c r="B628" s="4">
        <v>414</v>
      </c>
      <c r="C628" s="4" t="s">
        <v>2861</v>
      </c>
      <c r="D628" s="4">
        <v>31</v>
      </c>
      <c r="E628" s="4">
        <v>3.315980707</v>
      </c>
      <c r="F628" s="106">
        <v>1.0000000000000001E-5</v>
      </c>
      <c r="G628" s="4">
        <v>0.29091155000000002</v>
      </c>
      <c r="H628" s="4">
        <v>0.42397085761468117</v>
      </c>
      <c r="I628" s="4">
        <v>7</v>
      </c>
    </row>
    <row r="629" spans="1:9">
      <c r="A629" s="4" t="s">
        <v>2892</v>
      </c>
      <c r="B629" s="4">
        <v>414</v>
      </c>
      <c r="C629" s="4" t="s">
        <v>2861</v>
      </c>
      <c r="D629" s="4">
        <v>32</v>
      </c>
      <c r="E629" s="4">
        <v>3.315980707</v>
      </c>
      <c r="F629" s="4">
        <v>1E-4</v>
      </c>
      <c r="G629" s="4">
        <v>0.38834036399999999</v>
      </c>
      <c r="H629" s="4">
        <v>0.4381059773894172</v>
      </c>
      <c r="I629" s="4">
        <v>7</v>
      </c>
    </row>
    <row r="630" spans="1:9">
      <c r="A630" s="4" t="s">
        <v>2893</v>
      </c>
      <c r="B630" s="4">
        <v>414</v>
      </c>
      <c r="C630" s="4" t="s">
        <v>2861</v>
      </c>
      <c r="D630" s="4">
        <v>33</v>
      </c>
      <c r="E630" s="4">
        <v>3.315980707</v>
      </c>
      <c r="F630" s="4">
        <v>1E-3</v>
      </c>
      <c r="G630" s="4">
        <v>1.5557076759999999</v>
      </c>
      <c r="H630" s="4">
        <v>2.1181542104633189</v>
      </c>
      <c r="I630" s="4">
        <v>7</v>
      </c>
    </row>
    <row r="631" spans="1:9">
      <c r="A631" s="4" t="s">
        <v>2894</v>
      </c>
      <c r="B631" s="4">
        <v>414</v>
      </c>
      <c r="C631" s="4" t="s">
        <v>2861</v>
      </c>
      <c r="D631" s="4">
        <v>34</v>
      </c>
      <c r="E631" s="4">
        <v>3.315980707</v>
      </c>
      <c r="F631" s="4">
        <v>0.01</v>
      </c>
      <c r="G631" s="4">
        <v>3.0225052859999999</v>
      </c>
      <c r="H631" s="4">
        <v>11.980845097612123</v>
      </c>
      <c r="I631" s="4">
        <v>7</v>
      </c>
    </row>
    <row r="632" spans="1:9">
      <c r="A632" s="4" t="s">
        <v>2895</v>
      </c>
      <c r="B632" s="4">
        <v>414</v>
      </c>
      <c r="C632" s="4" t="s">
        <v>2861</v>
      </c>
      <c r="D632" s="4">
        <v>35</v>
      </c>
      <c r="E632" s="4">
        <v>3.315980707</v>
      </c>
      <c r="F632" s="4">
        <v>1</v>
      </c>
      <c r="G632" s="4">
        <v>3.8736027069999999</v>
      </c>
      <c r="H632" s="4">
        <v>13.378220866397177</v>
      </c>
      <c r="I632" s="4">
        <v>7</v>
      </c>
    </row>
    <row r="633" spans="1:9">
      <c r="A633" s="4" t="s">
        <v>2896</v>
      </c>
      <c r="B633" s="4">
        <v>414</v>
      </c>
      <c r="C633" s="4" t="s">
        <v>2861</v>
      </c>
      <c r="D633" s="4">
        <v>36</v>
      </c>
      <c r="E633" s="4">
        <v>3.315980707</v>
      </c>
      <c r="F633" s="106">
        <v>1.0000000000000001E-5</v>
      </c>
      <c r="G633" s="4">
        <v>0.38801771099999999</v>
      </c>
      <c r="H633" s="4">
        <v>0.42397085761468117</v>
      </c>
      <c r="I633" s="4">
        <v>7</v>
      </c>
    </row>
    <row r="634" spans="1:9">
      <c r="A634" s="4" t="s">
        <v>2897</v>
      </c>
      <c r="B634" s="4">
        <v>414</v>
      </c>
      <c r="C634" s="4" t="s">
        <v>2861</v>
      </c>
      <c r="D634" s="4">
        <v>37</v>
      </c>
      <c r="E634" s="4">
        <v>3.315980707</v>
      </c>
      <c r="F634" s="4">
        <v>1E-4</v>
      </c>
      <c r="G634" s="4">
        <v>0.42342300999999999</v>
      </c>
      <c r="H634" s="4">
        <v>0.4381059773894172</v>
      </c>
      <c r="I634" s="4">
        <v>7</v>
      </c>
    </row>
    <row r="635" spans="1:9">
      <c r="A635" s="4" t="s">
        <v>2898</v>
      </c>
      <c r="B635" s="4">
        <v>414</v>
      </c>
      <c r="C635" s="4" t="s">
        <v>2861</v>
      </c>
      <c r="D635" s="4">
        <v>38</v>
      </c>
      <c r="E635" s="4">
        <v>3.315980707</v>
      </c>
      <c r="F635" s="4">
        <v>1E-3</v>
      </c>
      <c r="G635" s="4">
        <v>1.5977457669999999</v>
      </c>
      <c r="H635" s="4">
        <v>2.1181542104633189</v>
      </c>
      <c r="I635" s="4">
        <v>7</v>
      </c>
    </row>
    <row r="636" spans="1:9">
      <c r="A636" s="4" t="s">
        <v>2899</v>
      </c>
      <c r="B636" s="4">
        <v>414</v>
      </c>
      <c r="C636" s="4" t="s">
        <v>2861</v>
      </c>
      <c r="D636" s="4">
        <v>39</v>
      </c>
      <c r="E636" s="4">
        <v>3.315980707</v>
      </c>
      <c r="F636" s="4">
        <v>0.01</v>
      </c>
      <c r="G636" s="4">
        <v>3.4104248020000001</v>
      </c>
      <c r="H636" s="4">
        <v>11.980845097612123</v>
      </c>
      <c r="I636" s="4">
        <v>7</v>
      </c>
    </row>
    <row r="637" spans="1:9">
      <c r="A637" s="4" t="s">
        <v>2900</v>
      </c>
      <c r="B637" s="4">
        <v>414</v>
      </c>
      <c r="C637" s="4" t="s">
        <v>2861</v>
      </c>
      <c r="D637" s="4">
        <v>40</v>
      </c>
      <c r="E637" s="4">
        <v>3.315980707</v>
      </c>
      <c r="F637" s="4">
        <v>1</v>
      </c>
      <c r="G637" s="4">
        <v>3.895675266</v>
      </c>
      <c r="H637" s="4">
        <v>13.378220866397177</v>
      </c>
      <c r="I637" s="4">
        <v>7</v>
      </c>
    </row>
    <row r="638" spans="1:9">
      <c r="A638" s="4" t="s">
        <v>2901</v>
      </c>
      <c r="B638" s="4">
        <v>414</v>
      </c>
      <c r="C638" s="4" t="s">
        <v>2861</v>
      </c>
      <c r="D638" s="4">
        <v>41</v>
      </c>
      <c r="E638" s="4">
        <v>3.315980707</v>
      </c>
      <c r="F638" s="106">
        <v>1.0000000000000001E-5</v>
      </c>
      <c r="G638" s="4">
        <v>0.40280234599999998</v>
      </c>
      <c r="H638" s="4">
        <v>0.42397085761468117</v>
      </c>
      <c r="I638" s="4">
        <v>7</v>
      </c>
    </row>
    <row r="639" spans="1:9">
      <c r="A639" s="4" t="s">
        <v>2902</v>
      </c>
      <c r="B639" s="4">
        <v>414</v>
      </c>
      <c r="C639" s="4" t="s">
        <v>2861</v>
      </c>
      <c r="D639" s="4">
        <v>42</v>
      </c>
      <c r="E639" s="4">
        <v>3.315980707</v>
      </c>
      <c r="F639" s="4">
        <v>1E-4</v>
      </c>
      <c r="G639" s="4">
        <v>0.44516339300000002</v>
      </c>
      <c r="H639" s="4">
        <v>0.4381059773894172</v>
      </c>
      <c r="I639" s="4">
        <v>7</v>
      </c>
    </row>
    <row r="640" spans="1:9">
      <c r="A640" s="4" t="s">
        <v>2903</v>
      </c>
      <c r="B640" s="4">
        <v>414</v>
      </c>
      <c r="C640" s="4" t="s">
        <v>2861</v>
      </c>
      <c r="D640" s="4">
        <v>43</v>
      </c>
      <c r="E640" s="4">
        <v>3.315980707</v>
      </c>
      <c r="F640" s="4">
        <v>1E-3</v>
      </c>
      <c r="G640" s="4">
        <v>1.749617078</v>
      </c>
      <c r="H640" s="4">
        <v>2.1181542104633189</v>
      </c>
      <c r="I640" s="4">
        <v>7</v>
      </c>
    </row>
    <row r="641" spans="1:9">
      <c r="A641" s="4" t="s">
        <v>2904</v>
      </c>
      <c r="B641" s="4">
        <v>414</v>
      </c>
      <c r="C641" s="4" t="s">
        <v>2861</v>
      </c>
      <c r="D641" s="4">
        <v>44</v>
      </c>
      <c r="E641" s="4">
        <v>3.315980707</v>
      </c>
      <c r="F641" s="4">
        <v>0.01</v>
      </c>
      <c r="G641" s="4">
        <v>3.2193636090000002</v>
      </c>
      <c r="H641" s="4">
        <v>11.980845097612123</v>
      </c>
      <c r="I641" s="4">
        <v>7</v>
      </c>
    </row>
    <row r="642" spans="1:9">
      <c r="A642" s="4" t="s">
        <v>2905</v>
      </c>
      <c r="B642" s="4">
        <v>414</v>
      </c>
      <c r="C642" s="4" t="s">
        <v>2861</v>
      </c>
      <c r="D642" s="4">
        <v>45</v>
      </c>
      <c r="E642" s="4">
        <v>3.315980707</v>
      </c>
      <c r="F642" s="4">
        <v>1</v>
      </c>
      <c r="G642" s="4">
        <v>4.2207328430000004</v>
      </c>
      <c r="H642" s="4">
        <v>13.378220866397177</v>
      </c>
      <c r="I642" s="4">
        <v>7</v>
      </c>
    </row>
    <row r="643" spans="1:9">
      <c r="A643" s="4" t="s">
        <v>2906</v>
      </c>
      <c r="B643" s="4">
        <v>415</v>
      </c>
      <c r="C643" s="4" t="s">
        <v>2907</v>
      </c>
      <c r="D643" s="4">
        <v>1</v>
      </c>
      <c r="E643" s="4">
        <v>1.4354824E-2</v>
      </c>
      <c r="F643" s="106">
        <v>1.0000000000000001E-5</v>
      </c>
      <c r="G643" s="4">
        <v>6.7168476000000005E-2</v>
      </c>
      <c r="H643" s="4">
        <v>6.0706719177039868E-2</v>
      </c>
      <c r="I643" s="4">
        <v>7</v>
      </c>
    </row>
    <row r="644" spans="1:9">
      <c r="A644" s="4" t="s">
        <v>2908</v>
      </c>
      <c r="B644" s="4">
        <v>415</v>
      </c>
      <c r="C644" s="4" t="s">
        <v>2907</v>
      </c>
      <c r="D644" s="4">
        <v>2</v>
      </c>
      <c r="E644" s="4">
        <v>1.4354824E-2</v>
      </c>
      <c r="F644" s="4">
        <v>1E-4</v>
      </c>
      <c r="G644" s="4">
        <v>6.1517681999999997E-2</v>
      </c>
      <c r="H644" s="4">
        <v>6.0706723520988333E-2</v>
      </c>
      <c r="I644" s="4">
        <v>7</v>
      </c>
    </row>
    <row r="645" spans="1:9">
      <c r="A645" s="4" t="s">
        <v>2909</v>
      </c>
      <c r="B645" s="4">
        <v>415</v>
      </c>
      <c r="C645" s="4" t="s">
        <v>2907</v>
      </c>
      <c r="D645" s="4">
        <v>3</v>
      </c>
      <c r="E645" s="4">
        <v>1.4354824E-2</v>
      </c>
      <c r="F645" s="4">
        <v>1E-3</v>
      </c>
      <c r="G645" s="4">
        <v>6.4700559000000005E-2</v>
      </c>
      <c r="H645" s="4">
        <v>6.0707283073857053E-2</v>
      </c>
      <c r="I645" s="4">
        <v>7</v>
      </c>
    </row>
    <row r="646" spans="1:9">
      <c r="A646" s="4" t="s">
        <v>2910</v>
      </c>
      <c r="B646" s="4">
        <v>415</v>
      </c>
      <c r="C646" s="4" t="s">
        <v>2907</v>
      </c>
      <c r="D646" s="4">
        <v>4</v>
      </c>
      <c r="E646" s="4">
        <v>1.4354824E-2</v>
      </c>
      <c r="F646" s="4">
        <v>0.01</v>
      </c>
      <c r="G646" s="4">
        <v>6.6538994000000004E-2</v>
      </c>
      <c r="H646" s="4">
        <v>6.0717057211347687E-2</v>
      </c>
      <c r="I646" s="4">
        <v>7</v>
      </c>
    </row>
    <row r="647" spans="1:9">
      <c r="A647" s="4" t="s">
        <v>2911</v>
      </c>
      <c r="B647" s="4">
        <v>415</v>
      </c>
      <c r="C647" s="4" t="s">
        <v>2907</v>
      </c>
      <c r="D647" s="4">
        <v>5</v>
      </c>
      <c r="E647" s="4">
        <v>1.4354824E-2</v>
      </c>
      <c r="F647" s="4">
        <v>1</v>
      </c>
      <c r="G647" s="4">
        <v>7.3592894000000006E-2</v>
      </c>
      <c r="H647" s="4">
        <v>6.0731334244277305E-2</v>
      </c>
      <c r="I647" s="4">
        <v>7</v>
      </c>
    </row>
    <row r="648" spans="1:9">
      <c r="A648" s="4" t="s">
        <v>2912</v>
      </c>
      <c r="B648" s="4">
        <v>415</v>
      </c>
      <c r="C648" s="4" t="s">
        <v>2907</v>
      </c>
      <c r="D648" s="4">
        <v>6</v>
      </c>
      <c r="E648" s="4">
        <v>1.4354824E-2</v>
      </c>
      <c r="F648" s="106">
        <v>1.0000000000000001E-5</v>
      </c>
      <c r="G648" s="4">
        <v>7.4431046000000001E-2</v>
      </c>
      <c r="H648" s="4">
        <v>6.0706719177039868E-2</v>
      </c>
      <c r="I648" s="4">
        <v>7</v>
      </c>
    </row>
    <row r="649" spans="1:9">
      <c r="A649" s="4" t="s">
        <v>2913</v>
      </c>
      <c r="B649" s="4">
        <v>415</v>
      </c>
      <c r="C649" s="4" t="s">
        <v>2907</v>
      </c>
      <c r="D649" s="4">
        <v>7</v>
      </c>
      <c r="E649" s="4">
        <v>1.4354824E-2</v>
      </c>
      <c r="F649" s="4">
        <v>1E-4</v>
      </c>
      <c r="G649" s="4">
        <v>6.5523198000000005E-2</v>
      </c>
      <c r="H649" s="4">
        <v>6.0706723520988333E-2</v>
      </c>
      <c r="I649" s="4">
        <v>7</v>
      </c>
    </row>
    <row r="650" spans="1:9">
      <c r="A650" s="4" t="s">
        <v>2914</v>
      </c>
      <c r="B650" s="4">
        <v>415</v>
      </c>
      <c r="C650" s="4" t="s">
        <v>2907</v>
      </c>
      <c r="D650" s="4">
        <v>8</v>
      </c>
      <c r="E650" s="4">
        <v>1.4354824E-2</v>
      </c>
      <c r="F650" s="4">
        <v>1E-3</v>
      </c>
      <c r="G650" s="4">
        <v>6.7774395000000001E-2</v>
      </c>
      <c r="H650" s="4">
        <v>6.0707283073857053E-2</v>
      </c>
      <c r="I650" s="4">
        <v>7</v>
      </c>
    </row>
    <row r="651" spans="1:9">
      <c r="A651" s="4" t="s">
        <v>2915</v>
      </c>
      <c r="B651" s="4">
        <v>415</v>
      </c>
      <c r="C651" s="4" t="s">
        <v>2907</v>
      </c>
      <c r="D651" s="4">
        <v>9</v>
      </c>
      <c r="E651" s="4">
        <v>1.4354824E-2</v>
      </c>
      <c r="F651" s="4">
        <v>0.01</v>
      </c>
      <c r="G651" s="4">
        <v>6.4665421000000001E-2</v>
      </c>
      <c r="H651" s="4">
        <v>6.0717057211347687E-2</v>
      </c>
      <c r="I651" s="4">
        <v>7</v>
      </c>
    </row>
    <row r="652" spans="1:9">
      <c r="A652" s="4" t="s">
        <v>2916</v>
      </c>
      <c r="B652" s="4">
        <v>415</v>
      </c>
      <c r="C652" s="4" t="s">
        <v>2907</v>
      </c>
      <c r="D652" s="4">
        <v>10</v>
      </c>
      <c r="E652" s="4">
        <v>1.4354824E-2</v>
      </c>
      <c r="F652" s="4">
        <v>1</v>
      </c>
      <c r="G652" s="4">
        <v>7.7766401999999998E-2</v>
      </c>
      <c r="H652" s="4">
        <v>6.0731334244277305E-2</v>
      </c>
      <c r="I652" s="4">
        <v>7</v>
      </c>
    </row>
    <row r="653" spans="1:9">
      <c r="A653" s="4" t="s">
        <v>2917</v>
      </c>
      <c r="B653" s="4">
        <v>415</v>
      </c>
      <c r="C653" s="4" t="s">
        <v>2907</v>
      </c>
      <c r="D653" s="4">
        <v>11</v>
      </c>
      <c r="E653" s="4">
        <v>1.4354824E-2</v>
      </c>
      <c r="F653" s="106">
        <v>1.0000000000000001E-5</v>
      </c>
      <c r="G653" s="4">
        <v>9.7930006E-2</v>
      </c>
      <c r="H653" s="4">
        <v>6.0706719177039868E-2</v>
      </c>
      <c r="I653" s="4">
        <v>7</v>
      </c>
    </row>
    <row r="654" spans="1:9">
      <c r="A654" s="4" t="s">
        <v>2918</v>
      </c>
      <c r="B654" s="4">
        <v>415</v>
      </c>
      <c r="C654" s="4" t="s">
        <v>2907</v>
      </c>
      <c r="D654" s="4">
        <v>12</v>
      </c>
      <c r="E654" s="4">
        <v>1.4354824E-2</v>
      </c>
      <c r="F654" s="4">
        <v>1E-4</v>
      </c>
      <c r="G654" s="4">
        <v>6.4636394E-2</v>
      </c>
      <c r="H654" s="4">
        <v>6.0706723520988333E-2</v>
      </c>
      <c r="I654" s="4">
        <v>7</v>
      </c>
    </row>
    <row r="655" spans="1:9">
      <c r="A655" s="4" t="s">
        <v>2919</v>
      </c>
      <c r="B655" s="4">
        <v>415</v>
      </c>
      <c r="C655" s="4" t="s">
        <v>2907</v>
      </c>
      <c r="D655" s="4">
        <v>13</v>
      </c>
      <c r="E655" s="4">
        <v>1.4354824E-2</v>
      </c>
      <c r="F655" s="4">
        <v>1E-3</v>
      </c>
      <c r="G655" s="4">
        <v>7.1921141999999993E-2</v>
      </c>
      <c r="H655" s="4">
        <v>6.0707283073857053E-2</v>
      </c>
      <c r="I655" s="4">
        <v>7</v>
      </c>
    </row>
    <row r="656" spans="1:9">
      <c r="A656" s="4" t="s">
        <v>2920</v>
      </c>
      <c r="B656" s="4">
        <v>415</v>
      </c>
      <c r="C656" s="4" t="s">
        <v>2907</v>
      </c>
      <c r="D656" s="4">
        <v>14</v>
      </c>
      <c r="E656" s="4">
        <v>1.4354824E-2</v>
      </c>
      <c r="F656" s="4">
        <v>0.01</v>
      </c>
      <c r="G656" s="4">
        <v>7.1248211000000006E-2</v>
      </c>
      <c r="H656" s="4">
        <v>6.0717057211347687E-2</v>
      </c>
      <c r="I656" s="4">
        <v>7</v>
      </c>
    </row>
    <row r="657" spans="1:9">
      <c r="A657" s="4" t="s">
        <v>2921</v>
      </c>
      <c r="B657" s="4">
        <v>415</v>
      </c>
      <c r="C657" s="4" t="s">
        <v>2907</v>
      </c>
      <c r="D657" s="4">
        <v>15</v>
      </c>
      <c r="E657" s="4">
        <v>1.4354824E-2</v>
      </c>
      <c r="F657" s="4">
        <v>1</v>
      </c>
      <c r="G657" s="4">
        <v>7.0205479000000001E-2</v>
      </c>
      <c r="H657" s="4">
        <v>6.0731334244277305E-2</v>
      </c>
      <c r="I657" s="4">
        <v>7</v>
      </c>
    </row>
    <row r="658" spans="1:9">
      <c r="A658" s="4" t="s">
        <v>2922</v>
      </c>
      <c r="B658" s="4">
        <v>415</v>
      </c>
      <c r="C658" s="4" t="s">
        <v>2907</v>
      </c>
      <c r="D658" s="4">
        <v>16</v>
      </c>
      <c r="E658" s="4">
        <v>0.48009342799999999</v>
      </c>
      <c r="F658" s="106">
        <v>1.0000000000000001E-5</v>
      </c>
      <c r="G658" s="4">
        <v>0.10624383</v>
      </c>
      <c r="H658" s="4">
        <v>6.083281172907308E-2</v>
      </c>
      <c r="I658" s="4">
        <v>7</v>
      </c>
    </row>
    <row r="659" spans="1:9">
      <c r="A659" s="4" t="s">
        <v>2923</v>
      </c>
      <c r="B659" s="4">
        <v>415</v>
      </c>
      <c r="C659" s="4" t="s">
        <v>2907</v>
      </c>
      <c r="D659" s="4">
        <v>17</v>
      </c>
      <c r="E659" s="4">
        <v>0.48009342799999999</v>
      </c>
      <c r="F659" s="4">
        <v>1E-4</v>
      </c>
      <c r="G659" s="4">
        <v>7.4069608999999995E-2</v>
      </c>
      <c r="H659" s="4">
        <v>6.0837669866362062E-2</v>
      </c>
      <c r="I659" s="4">
        <v>7</v>
      </c>
    </row>
    <row r="660" spans="1:9">
      <c r="A660" s="4" t="s">
        <v>2924</v>
      </c>
      <c r="B660" s="4">
        <v>415</v>
      </c>
      <c r="C660" s="4" t="s">
        <v>2907</v>
      </c>
      <c r="D660" s="4">
        <v>18</v>
      </c>
      <c r="E660" s="4">
        <v>0.48009342799999999</v>
      </c>
      <c r="F660" s="4">
        <v>1E-3</v>
      </c>
      <c r="G660" s="4">
        <v>7.5571962000000006E-2</v>
      </c>
      <c r="H660" s="4">
        <v>6.146320886006798E-2</v>
      </c>
      <c r="I660" s="4">
        <v>7</v>
      </c>
    </row>
    <row r="661" spans="1:9">
      <c r="A661" s="4" t="s">
        <v>2925</v>
      </c>
      <c r="B661" s="4">
        <v>415</v>
      </c>
      <c r="C661" s="4" t="s">
        <v>2907</v>
      </c>
      <c r="D661" s="4">
        <v>19</v>
      </c>
      <c r="E661" s="4">
        <v>0.48009342799999999</v>
      </c>
      <c r="F661" s="4">
        <v>0.01</v>
      </c>
      <c r="G661" s="4">
        <v>0.114947518</v>
      </c>
      <c r="H661" s="4">
        <v>7.2311249760153837E-2</v>
      </c>
      <c r="I661" s="4">
        <v>7</v>
      </c>
    </row>
    <row r="662" spans="1:9">
      <c r="A662" s="4" t="s">
        <v>2926</v>
      </c>
      <c r="B662" s="4">
        <v>415</v>
      </c>
      <c r="C662" s="4" t="s">
        <v>2907</v>
      </c>
      <c r="D662" s="4">
        <v>20</v>
      </c>
      <c r="E662" s="4">
        <v>0.48009342799999999</v>
      </c>
      <c r="F662" s="4">
        <v>1</v>
      </c>
      <c r="G662" s="4">
        <v>0.147212751</v>
      </c>
      <c r="H662" s="4">
        <v>8.7894844664818575E-2</v>
      </c>
      <c r="I662" s="4">
        <v>7</v>
      </c>
    </row>
    <row r="663" spans="1:9">
      <c r="A663" s="4" t="s">
        <v>2927</v>
      </c>
      <c r="B663" s="4">
        <v>415</v>
      </c>
      <c r="C663" s="4" t="s">
        <v>2907</v>
      </c>
      <c r="D663" s="4">
        <v>21</v>
      </c>
      <c r="E663" s="4">
        <v>0.48009342799999999</v>
      </c>
      <c r="F663" s="106">
        <v>1.0000000000000001E-5</v>
      </c>
      <c r="G663" s="4">
        <v>8.6606987999999996E-2</v>
      </c>
      <c r="H663" s="4">
        <v>6.083281172907308E-2</v>
      </c>
      <c r="I663" s="4">
        <v>7</v>
      </c>
    </row>
    <row r="664" spans="1:9">
      <c r="A664" s="4" t="s">
        <v>2928</v>
      </c>
      <c r="B664" s="4">
        <v>415</v>
      </c>
      <c r="C664" s="4" t="s">
        <v>2907</v>
      </c>
      <c r="D664" s="4">
        <v>22</v>
      </c>
      <c r="E664" s="4">
        <v>0.48009342799999999</v>
      </c>
      <c r="F664" s="4">
        <v>1E-4</v>
      </c>
      <c r="G664" s="4">
        <v>6.0834487999999999E-2</v>
      </c>
      <c r="H664" s="4">
        <v>6.0837669866362062E-2</v>
      </c>
      <c r="I664" s="4">
        <v>7</v>
      </c>
    </row>
    <row r="665" spans="1:9">
      <c r="A665" s="4" t="s">
        <v>2929</v>
      </c>
      <c r="B665" s="4">
        <v>415</v>
      </c>
      <c r="C665" s="4" t="s">
        <v>2907</v>
      </c>
      <c r="D665" s="4">
        <v>23</v>
      </c>
      <c r="E665" s="4">
        <v>0.48009342799999999</v>
      </c>
      <c r="F665" s="4">
        <v>1E-3</v>
      </c>
      <c r="G665" s="4">
        <v>8.1179080000000001E-2</v>
      </c>
      <c r="H665" s="4">
        <v>6.146320886006798E-2</v>
      </c>
      <c r="I665" s="4">
        <v>7</v>
      </c>
    </row>
    <row r="666" spans="1:9">
      <c r="A666" s="4" t="s">
        <v>2930</v>
      </c>
      <c r="B666" s="4">
        <v>415</v>
      </c>
      <c r="C666" s="4" t="s">
        <v>2907</v>
      </c>
      <c r="D666" s="4">
        <v>24</v>
      </c>
      <c r="E666" s="4">
        <v>0.48009342799999999</v>
      </c>
      <c r="F666" s="4">
        <v>0.01</v>
      </c>
      <c r="G666" s="4">
        <v>9.1394344000000002E-2</v>
      </c>
      <c r="H666" s="4">
        <v>7.2311249760153837E-2</v>
      </c>
      <c r="I666" s="4">
        <v>7</v>
      </c>
    </row>
    <row r="667" spans="1:9">
      <c r="A667" s="4" t="s">
        <v>2931</v>
      </c>
      <c r="B667" s="4">
        <v>415</v>
      </c>
      <c r="C667" s="4" t="s">
        <v>2907</v>
      </c>
      <c r="D667" s="4">
        <v>25</v>
      </c>
      <c r="E667" s="4">
        <v>0.48009342799999999</v>
      </c>
      <c r="F667" s="4">
        <v>1</v>
      </c>
      <c r="G667" s="4">
        <v>0.14687313399999999</v>
      </c>
      <c r="H667" s="4">
        <v>8.7894844664818575E-2</v>
      </c>
      <c r="I667" s="4">
        <v>7</v>
      </c>
    </row>
    <row r="668" spans="1:9">
      <c r="A668" s="4" t="s">
        <v>2932</v>
      </c>
      <c r="B668" s="4">
        <v>415</v>
      </c>
      <c r="C668" s="4" t="s">
        <v>2907</v>
      </c>
      <c r="D668" s="4">
        <v>26</v>
      </c>
      <c r="E668" s="4">
        <v>0.48009342799999999</v>
      </c>
      <c r="F668" s="106">
        <v>1.0000000000000001E-5</v>
      </c>
      <c r="G668" s="4">
        <v>9.4331047000000001E-2</v>
      </c>
      <c r="H668" s="4">
        <v>6.083281172907308E-2</v>
      </c>
      <c r="I668" s="4">
        <v>7</v>
      </c>
    </row>
    <row r="669" spans="1:9">
      <c r="A669" s="4" t="s">
        <v>2933</v>
      </c>
      <c r="B669" s="4">
        <v>415</v>
      </c>
      <c r="C669" s="4" t="s">
        <v>2907</v>
      </c>
      <c r="D669" s="4">
        <v>27</v>
      </c>
      <c r="E669" s="4">
        <v>0.48009342799999999</v>
      </c>
      <c r="F669" s="4">
        <v>1E-4</v>
      </c>
      <c r="G669" s="4">
        <v>7.6318148000000002E-2</v>
      </c>
      <c r="H669" s="4">
        <v>6.0837669866362062E-2</v>
      </c>
      <c r="I669" s="4">
        <v>7</v>
      </c>
    </row>
    <row r="670" spans="1:9">
      <c r="A670" s="4" t="s">
        <v>2934</v>
      </c>
      <c r="B670" s="4">
        <v>415</v>
      </c>
      <c r="C670" s="4" t="s">
        <v>2907</v>
      </c>
      <c r="D670" s="4">
        <v>28</v>
      </c>
      <c r="E670" s="4">
        <v>0.48009342799999999</v>
      </c>
      <c r="F670" s="4">
        <v>1E-3</v>
      </c>
      <c r="G670" s="4">
        <v>7.7827784999999997E-2</v>
      </c>
      <c r="H670" s="4">
        <v>6.146320886006798E-2</v>
      </c>
      <c r="I670" s="4">
        <v>7</v>
      </c>
    </row>
    <row r="671" spans="1:9">
      <c r="A671" s="4" t="s">
        <v>2935</v>
      </c>
      <c r="B671" s="4">
        <v>415</v>
      </c>
      <c r="C671" s="4" t="s">
        <v>2907</v>
      </c>
      <c r="D671" s="4">
        <v>29</v>
      </c>
      <c r="E671" s="4">
        <v>0.48009342799999999</v>
      </c>
      <c r="F671" s="4">
        <v>0.01</v>
      </c>
      <c r="G671" s="4">
        <v>9.9562832000000004E-2</v>
      </c>
      <c r="H671" s="4">
        <v>7.2311249760153837E-2</v>
      </c>
      <c r="I671" s="4">
        <v>7</v>
      </c>
    </row>
    <row r="672" spans="1:9">
      <c r="A672" s="4" t="s">
        <v>2936</v>
      </c>
      <c r="B672" s="4">
        <v>415</v>
      </c>
      <c r="C672" s="4" t="s">
        <v>2907</v>
      </c>
      <c r="D672" s="4">
        <v>30</v>
      </c>
      <c r="E672" s="4">
        <v>0.48009342799999999</v>
      </c>
      <c r="F672" s="4">
        <v>1</v>
      </c>
      <c r="G672" s="4">
        <v>0.14056498100000001</v>
      </c>
      <c r="H672" s="4">
        <v>8.7894844664818575E-2</v>
      </c>
      <c r="I672" s="4">
        <v>7</v>
      </c>
    </row>
    <row r="673" spans="1:9">
      <c r="A673" s="4" t="s">
        <v>2937</v>
      </c>
      <c r="B673" s="4">
        <v>415</v>
      </c>
      <c r="C673" s="4" t="s">
        <v>2907</v>
      </c>
      <c r="D673" s="4">
        <v>31</v>
      </c>
      <c r="E673" s="4">
        <v>3.315980707</v>
      </c>
      <c r="F673" s="106">
        <v>1.0000000000000001E-5</v>
      </c>
      <c r="G673" s="4">
        <v>7.0185122000000003E-2</v>
      </c>
      <c r="H673" s="4">
        <v>6.6723144325293762E-2</v>
      </c>
      <c r="I673" s="4">
        <v>7</v>
      </c>
    </row>
    <row r="674" spans="1:9">
      <c r="A674" s="4" t="s">
        <v>2938</v>
      </c>
      <c r="B674" s="4">
        <v>415</v>
      </c>
      <c r="C674" s="4" t="s">
        <v>2907</v>
      </c>
      <c r="D674" s="4">
        <v>32</v>
      </c>
      <c r="E674" s="4">
        <v>3.315980707</v>
      </c>
      <c r="F674" s="4">
        <v>1E-4</v>
      </c>
      <c r="G674" s="4">
        <v>6.1148052000000001E-2</v>
      </c>
      <c r="H674" s="4">
        <v>6.6954576198324595E-2</v>
      </c>
      <c r="I674" s="4">
        <v>7</v>
      </c>
    </row>
    <row r="675" spans="1:9">
      <c r="A675" s="4" t="s">
        <v>2939</v>
      </c>
      <c r="B675" s="4">
        <v>415</v>
      </c>
      <c r="C675" s="4" t="s">
        <v>2907</v>
      </c>
      <c r="D675" s="4">
        <v>33</v>
      </c>
      <c r="E675" s="4">
        <v>3.315980707</v>
      </c>
      <c r="F675" s="4">
        <v>1E-3</v>
      </c>
      <c r="G675" s="4">
        <v>0.106037862</v>
      </c>
      <c r="H675" s="4">
        <v>9.6650353697273289E-2</v>
      </c>
      <c r="I675" s="4">
        <v>7</v>
      </c>
    </row>
    <row r="676" spans="1:9">
      <c r="A676" s="4" t="s">
        <v>2940</v>
      </c>
      <c r="B676" s="4">
        <v>415</v>
      </c>
      <c r="C676" s="4" t="s">
        <v>2907</v>
      </c>
      <c r="D676" s="4">
        <v>34</v>
      </c>
      <c r="E676" s="4">
        <v>3.315980707</v>
      </c>
      <c r="F676" s="4">
        <v>0.01</v>
      </c>
      <c r="G676" s="4">
        <v>0.27517190600000002</v>
      </c>
      <c r="H676" s="4">
        <v>0.58106232116469048</v>
      </c>
      <c r="I676" s="4">
        <v>7</v>
      </c>
    </row>
    <row r="677" spans="1:9">
      <c r="A677" s="4" t="s">
        <v>2941</v>
      </c>
      <c r="B677" s="4">
        <v>415</v>
      </c>
      <c r="C677" s="4" t="s">
        <v>2907</v>
      </c>
      <c r="D677" s="4">
        <v>35</v>
      </c>
      <c r="E677" s="4">
        <v>3.315980707</v>
      </c>
      <c r="F677" s="4">
        <v>1</v>
      </c>
      <c r="G677" s="4">
        <v>1.0528919329999999</v>
      </c>
      <c r="H677" s="4">
        <v>1.1900289497184782</v>
      </c>
      <c r="I677" s="4">
        <v>7</v>
      </c>
    </row>
    <row r="678" spans="1:9">
      <c r="A678" s="4" t="s">
        <v>2942</v>
      </c>
      <c r="B678" s="4">
        <v>415</v>
      </c>
      <c r="C678" s="4" t="s">
        <v>2907</v>
      </c>
      <c r="D678" s="4">
        <v>36</v>
      </c>
      <c r="E678" s="4">
        <v>3.315980707</v>
      </c>
      <c r="F678" s="106">
        <v>1.0000000000000001E-5</v>
      </c>
      <c r="G678" s="4">
        <v>6.4736289000000002E-2</v>
      </c>
      <c r="H678" s="4">
        <v>6.6723144325293762E-2</v>
      </c>
      <c r="I678" s="4">
        <v>7</v>
      </c>
    </row>
    <row r="679" spans="1:9">
      <c r="A679" s="4" t="s">
        <v>2943</v>
      </c>
      <c r="B679" s="4">
        <v>415</v>
      </c>
      <c r="C679" s="4" t="s">
        <v>2907</v>
      </c>
      <c r="D679" s="4">
        <v>37</v>
      </c>
      <c r="E679" s="4">
        <v>3.315980707</v>
      </c>
      <c r="F679" s="4">
        <v>1E-4</v>
      </c>
      <c r="G679" s="4">
        <v>7.637265E-2</v>
      </c>
      <c r="H679" s="4">
        <v>6.6954576198324595E-2</v>
      </c>
      <c r="I679" s="4">
        <v>7</v>
      </c>
    </row>
    <row r="680" spans="1:9">
      <c r="A680" s="4" t="s">
        <v>2944</v>
      </c>
      <c r="B680" s="4">
        <v>415</v>
      </c>
      <c r="C680" s="4" t="s">
        <v>2907</v>
      </c>
      <c r="D680" s="4">
        <v>38</v>
      </c>
      <c r="E680" s="4">
        <v>3.315980707</v>
      </c>
      <c r="F680" s="4">
        <v>1E-3</v>
      </c>
      <c r="G680" s="4">
        <v>8.5677854999999997E-2</v>
      </c>
      <c r="H680" s="4">
        <v>9.6650353697273289E-2</v>
      </c>
      <c r="I680" s="4">
        <v>7</v>
      </c>
    </row>
    <row r="681" spans="1:9">
      <c r="A681" s="4" t="s">
        <v>2945</v>
      </c>
      <c r="B681" s="4">
        <v>415</v>
      </c>
      <c r="C681" s="4" t="s">
        <v>2907</v>
      </c>
      <c r="D681" s="4">
        <v>39</v>
      </c>
      <c r="E681" s="4">
        <v>3.315980707</v>
      </c>
      <c r="F681" s="4">
        <v>0.01</v>
      </c>
      <c r="G681" s="4">
        <v>0.31569253400000002</v>
      </c>
      <c r="H681" s="4">
        <v>0.58106232116469048</v>
      </c>
      <c r="I681" s="4">
        <v>7</v>
      </c>
    </row>
    <row r="682" spans="1:9">
      <c r="A682" s="4" t="s">
        <v>2946</v>
      </c>
      <c r="B682" s="4">
        <v>415</v>
      </c>
      <c r="C682" s="4" t="s">
        <v>2907</v>
      </c>
      <c r="D682" s="4">
        <v>40</v>
      </c>
      <c r="E682" s="4">
        <v>3.315980707</v>
      </c>
      <c r="F682" s="4">
        <v>1</v>
      </c>
      <c r="G682" s="4">
        <v>0.89454590899999997</v>
      </c>
      <c r="H682" s="4">
        <v>1.1900289497184782</v>
      </c>
      <c r="I682" s="4">
        <v>7</v>
      </c>
    </row>
    <row r="683" spans="1:9">
      <c r="A683" s="4" t="s">
        <v>2947</v>
      </c>
      <c r="B683" s="4">
        <v>415</v>
      </c>
      <c r="C683" s="4" t="s">
        <v>2907</v>
      </c>
      <c r="D683" s="4">
        <v>41</v>
      </c>
      <c r="E683" s="4">
        <v>3.315980707</v>
      </c>
      <c r="F683" s="106">
        <v>1.0000000000000001E-5</v>
      </c>
      <c r="G683" s="4">
        <v>6.7453550000000001E-2</v>
      </c>
      <c r="H683" s="4">
        <v>6.6723144325293762E-2</v>
      </c>
      <c r="I683" s="4">
        <v>7</v>
      </c>
    </row>
    <row r="684" spans="1:9">
      <c r="A684" s="4" t="s">
        <v>2948</v>
      </c>
      <c r="B684" s="4">
        <v>415</v>
      </c>
      <c r="C684" s="4" t="s">
        <v>2907</v>
      </c>
      <c r="D684" s="4">
        <v>42</v>
      </c>
      <c r="E684" s="4">
        <v>3.315980707</v>
      </c>
      <c r="F684" s="4">
        <v>1E-4</v>
      </c>
      <c r="G684" s="4">
        <v>7.1043891999999997E-2</v>
      </c>
      <c r="H684" s="4">
        <v>6.6954576198324595E-2</v>
      </c>
      <c r="I684" s="4">
        <v>7</v>
      </c>
    </row>
    <row r="685" spans="1:9">
      <c r="A685" s="4" t="s">
        <v>2949</v>
      </c>
      <c r="B685" s="4">
        <v>415</v>
      </c>
      <c r="C685" s="4" t="s">
        <v>2907</v>
      </c>
      <c r="D685" s="4">
        <v>43</v>
      </c>
      <c r="E685" s="4">
        <v>3.315980707</v>
      </c>
      <c r="F685" s="4">
        <v>1E-3</v>
      </c>
      <c r="G685" s="4">
        <v>0.11666375700000001</v>
      </c>
      <c r="H685" s="4">
        <v>9.6650353697273289E-2</v>
      </c>
      <c r="I685" s="4">
        <v>7</v>
      </c>
    </row>
    <row r="686" spans="1:9">
      <c r="A686" s="4" t="s">
        <v>2950</v>
      </c>
      <c r="B686" s="4">
        <v>415</v>
      </c>
      <c r="C686" s="4" t="s">
        <v>2907</v>
      </c>
      <c r="D686" s="4">
        <v>44</v>
      </c>
      <c r="E686" s="4">
        <v>3.315980707</v>
      </c>
      <c r="F686" s="4">
        <v>0.01</v>
      </c>
      <c r="G686" s="4">
        <v>0.39878028799999998</v>
      </c>
      <c r="H686" s="4">
        <v>0.58106232116469048</v>
      </c>
      <c r="I686" s="4">
        <v>7</v>
      </c>
    </row>
    <row r="687" spans="1:9">
      <c r="A687" s="4" t="s">
        <v>2951</v>
      </c>
      <c r="B687" s="4">
        <v>415</v>
      </c>
      <c r="C687" s="4" t="s">
        <v>2907</v>
      </c>
      <c r="D687" s="4">
        <v>45</v>
      </c>
      <c r="E687" s="4">
        <v>3.315980707</v>
      </c>
      <c r="F687" s="4">
        <v>1</v>
      </c>
      <c r="G687" s="4">
        <v>1.005799605</v>
      </c>
      <c r="H687" s="4">
        <v>1.1900289497184782</v>
      </c>
      <c r="I687" s="4">
        <v>7</v>
      </c>
    </row>
    <row r="688" spans="1:9">
      <c r="A688" s="4" t="s">
        <v>2952</v>
      </c>
      <c r="B688" s="4">
        <v>540</v>
      </c>
      <c r="C688" s="4" t="s">
        <v>2953</v>
      </c>
      <c r="D688" s="4">
        <v>1</v>
      </c>
      <c r="E688" s="4">
        <v>8.3908820000000005E-3</v>
      </c>
      <c r="F688" s="4">
        <v>1E-3</v>
      </c>
      <c r="G688" s="4">
        <v>1.1805127E-2</v>
      </c>
      <c r="H688" s="4">
        <v>5.044498477797596E-2</v>
      </c>
      <c r="I688" s="4">
        <v>7</v>
      </c>
    </row>
    <row r="689" spans="1:9">
      <c r="A689" s="4" t="s">
        <v>2954</v>
      </c>
      <c r="B689" s="4">
        <v>540</v>
      </c>
      <c r="C689" s="4" t="s">
        <v>2953</v>
      </c>
      <c r="D689" s="4">
        <v>2</v>
      </c>
      <c r="E689" s="4">
        <v>8.3908820000000005E-3</v>
      </c>
      <c r="F689" s="4">
        <v>1</v>
      </c>
      <c r="G689" s="4">
        <v>1.5455162999999999E-2</v>
      </c>
      <c r="H689" s="4">
        <v>5.0444985302077971E-2</v>
      </c>
      <c r="I689" s="4">
        <v>7</v>
      </c>
    </row>
    <row r="690" spans="1:9">
      <c r="A690" s="4" t="s">
        <v>2955</v>
      </c>
      <c r="B690" s="4">
        <v>540</v>
      </c>
      <c r="C690" s="4" t="s">
        <v>2953</v>
      </c>
      <c r="D690" s="4">
        <v>3</v>
      </c>
      <c r="E690" s="4">
        <v>8.3908820000000005E-3</v>
      </c>
      <c r="F690" s="4">
        <v>10</v>
      </c>
      <c r="G690" s="4">
        <v>1.3866161E-2</v>
      </c>
      <c r="H690" s="4">
        <v>5.0445057070227638E-2</v>
      </c>
      <c r="I690" s="4">
        <v>7</v>
      </c>
    </row>
    <row r="691" spans="1:9">
      <c r="A691" s="4" t="s">
        <v>2956</v>
      </c>
      <c r="B691" s="4">
        <v>540</v>
      </c>
      <c r="C691" s="4" t="s">
        <v>2953</v>
      </c>
      <c r="D691" s="4">
        <v>4</v>
      </c>
      <c r="E691" s="4">
        <v>8.3908820000000005E-3</v>
      </c>
      <c r="F691" s="4">
        <v>100</v>
      </c>
      <c r="G691" s="4">
        <v>2.2359857E-2</v>
      </c>
      <c r="H691" s="4">
        <v>5.0449411811387901E-2</v>
      </c>
      <c r="I691" s="4">
        <v>7</v>
      </c>
    </row>
    <row r="692" spans="1:9">
      <c r="A692" s="4" t="s">
        <v>2957</v>
      </c>
      <c r="B692" s="4">
        <v>540</v>
      </c>
      <c r="C692" s="4" t="s">
        <v>2953</v>
      </c>
      <c r="D692" s="4">
        <v>5</v>
      </c>
      <c r="E692" s="4">
        <v>8.3908820000000005E-3</v>
      </c>
      <c r="F692" s="4">
        <v>500</v>
      </c>
      <c r="G692" s="4">
        <v>3.2664153000000001E-2</v>
      </c>
      <c r="H692" s="4">
        <v>5.0472170330833524E-2</v>
      </c>
      <c r="I692" s="4">
        <v>7</v>
      </c>
    </row>
    <row r="693" spans="1:9">
      <c r="A693" s="4" t="s">
        <v>2958</v>
      </c>
      <c r="B693" s="4">
        <v>540</v>
      </c>
      <c r="C693" s="4" t="s">
        <v>2953</v>
      </c>
      <c r="D693" s="4">
        <v>6</v>
      </c>
      <c r="E693" s="4">
        <v>8.3908820000000005E-3</v>
      </c>
      <c r="F693" s="4">
        <v>2000</v>
      </c>
      <c r="G693" s="4">
        <v>5.9447687999999999E-2</v>
      </c>
      <c r="H693" s="4">
        <v>5.0496946490610019E-2</v>
      </c>
      <c r="I693" s="4">
        <v>7</v>
      </c>
    </row>
    <row r="694" spans="1:9">
      <c r="A694" s="4" t="s">
        <v>2959</v>
      </c>
      <c r="B694" s="4">
        <v>540</v>
      </c>
      <c r="C694" s="4" t="s">
        <v>2953</v>
      </c>
      <c r="D694" s="4">
        <v>7</v>
      </c>
      <c r="E694" s="4">
        <v>8.3908820000000005E-3</v>
      </c>
      <c r="F694" s="4">
        <v>1E-3</v>
      </c>
      <c r="G694" s="4">
        <v>1.5515172000000001E-2</v>
      </c>
      <c r="H694" s="4">
        <v>5.044498477797596E-2</v>
      </c>
      <c r="I694" s="4">
        <v>7</v>
      </c>
    </row>
    <row r="695" spans="1:9">
      <c r="A695" s="4" t="s">
        <v>2960</v>
      </c>
      <c r="B695" s="4">
        <v>540</v>
      </c>
      <c r="C695" s="4" t="s">
        <v>2953</v>
      </c>
      <c r="D695" s="4">
        <v>8</v>
      </c>
      <c r="E695" s="4">
        <v>8.3908820000000005E-3</v>
      </c>
      <c r="F695" s="4">
        <v>1</v>
      </c>
      <c r="G695" s="4">
        <v>1.7181983000000001E-2</v>
      </c>
      <c r="H695" s="4">
        <v>5.0444985302077971E-2</v>
      </c>
      <c r="I695" s="4">
        <v>7</v>
      </c>
    </row>
    <row r="696" spans="1:9">
      <c r="A696" s="4" t="s">
        <v>2961</v>
      </c>
      <c r="B696" s="4">
        <v>540</v>
      </c>
      <c r="C696" s="4" t="s">
        <v>2953</v>
      </c>
      <c r="D696" s="4">
        <v>9</v>
      </c>
      <c r="E696" s="4">
        <v>8.3908820000000005E-3</v>
      </c>
      <c r="F696" s="4">
        <v>10</v>
      </c>
      <c r="G696" s="4">
        <v>1.6665230999999999E-2</v>
      </c>
      <c r="H696" s="4">
        <v>5.0445057070227638E-2</v>
      </c>
      <c r="I696" s="4">
        <v>7</v>
      </c>
    </row>
    <row r="697" spans="1:9">
      <c r="A697" s="4" t="s">
        <v>2962</v>
      </c>
      <c r="B697" s="4">
        <v>540</v>
      </c>
      <c r="C697" s="4" t="s">
        <v>2953</v>
      </c>
      <c r="D697" s="4">
        <v>10</v>
      </c>
      <c r="E697" s="4">
        <v>8.3908820000000005E-3</v>
      </c>
      <c r="F697" s="4">
        <v>100</v>
      </c>
      <c r="G697" s="4">
        <v>2.2150581999999999E-2</v>
      </c>
      <c r="H697" s="4">
        <v>5.0449411811387901E-2</v>
      </c>
      <c r="I697" s="4">
        <v>7</v>
      </c>
    </row>
    <row r="698" spans="1:9">
      <c r="A698" s="4" t="s">
        <v>2963</v>
      </c>
      <c r="B698" s="4">
        <v>540</v>
      </c>
      <c r="C698" s="4" t="s">
        <v>2953</v>
      </c>
      <c r="D698" s="4">
        <v>11</v>
      </c>
      <c r="E698" s="4">
        <v>8.3908820000000005E-3</v>
      </c>
      <c r="F698" s="4">
        <v>500</v>
      </c>
      <c r="G698" s="4">
        <v>3.4667260999999998E-2</v>
      </c>
      <c r="H698" s="4">
        <v>5.0472170330833524E-2</v>
      </c>
      <c r="I698" s="4">
        <v>7</v>
      </c>
    </row>
    <row r="699" spans="1:9">
      <c r="A699" s="4" t="s">
        <v>2964</v>
      </c>
      <c r="B699" s="4">
        <v>540</v>
      </c>
      <c r="C699" s="4" t="s">
        <v>2953</v>
      </c>
      <c r="D699" s="4">
        <v>12</v>
      </c>
      <c r="E699" s="4">
        <v>8.3908820000000005E-3</v>
      </c>
      <c r="F699" s="4">
        <v>2000</v>
      </c>
      <c r="G699" s="4">
        <v>6.0003740999999999E-2</v>
      </c>
      <c r="H699" s="4">
        <v>5.0496946490610019E-2</v>
      </c>
      <c r="I699" s="4">
        <v>7</v>
      </c>
    </row>
    <row r="700" spans="1:9">
      <c r="A700" s="4" t="s">
        <v>2965</v>
      </c>
      <c r="B700" s="4">
        <v>540</v>
      </c>
      <c r="C700" s="4" t="s">
        <v>2953</v>
      </c>
      <c r="D700" s="4">
        <v>13</v>
      </c>
      <c r="E700" s="4">
        <v>8.3908820000000005E-3</v>
      </c>
      <c r="F700" s="4">
        <v>1E-3</v>
      </c>
      <c r="G700" s="4">
        <v>1.6002076E-2</v>
      </c>
      <c r="H700" s="4">
        <v>5.044498477797596E-2</v>
      </c>
      <c r="I700" s="4">
        <v>7</v>
      </c>
    </row>
    <row r="701" spans="1:9">
      <c r="A701" s="4" t="s">
        <v>2966</v>
      </c>
      <c r="B701" s="4">
        <v>540</v>
      </c>
      <c r="C701" s="4" t="s">
        <v>2953</v>
      </c>
      <c r="D701" s="4">
        <v>14</v>
      </c>
      <c r="E701" s="4">
        <v>8.3908820000000005E-3</v>
      </c>
      <c r="F701" s="4">
        <v>1</v>
      </c>
      <c r="G701" s="4">
        <v>1.5459478E-2</v>
      </c>
      <c r="H701" s="4">
        <v>5.0444985302077971E-2</v>
      </c>
      <c r="I701" s="4">
        <v>7</v>
      </c>
    </row>
    <row r="702" spans="1:9">
      <c r="A702" s="4" t="s">
        <v>2967</v>
      </c>
      <c r="B702" s="4">
        <v>540</v>
      </c>
      <c r="C702" s="4" t="s">
        <v>2953</v>
      </c>
      <c r="D702" s="4">
        <v>15</v>
      </c>
      <c r="E702" s="4">
        <v>8.3908820000000005E-3</v>
      </c>
      <c r="F702" s="4">
        <v>10</v>
      </c>
      <c r="G702" s="4">
        <v>1.470084E-2</v>
      </c>
      <c r="H702" s="4">
        <v>5.0445057070227638E-2</v>
      </c>
      <c r="I702" s="4">
        <v>7</v>
      </c>
    </row>
    <row r="703" spans="1:9">
      <c r="A703" s="4" t="s">
        <v>2968</v>
      </c>
      <c r="B703" s="4">
        <v>540</v>
      </c>
      <c r="C703" s="4" t="s">
        <v>2953</v>
      </c>
      <c r="D703" s="4">
        <v>16</v>
      </c>
      <c r="E703" s="4">
        <v>8.3908820000000005E-3</v>
      </c>
      <c r="F703" s="4">
        <v>100</v>
      </c>
      <c r="G703" s="4">
        <v>2.2826539E-2</v>
      </c>
      <c r="H703" s="4">
        <v>5.0449411811387901E-2</v>
      </c>
      <c r="I703" s="4">
        <v>7</v>
      </c>
    </row>
    <row r="704" spans="1:9">
      <c r="A704" s="4" t="s">
        <v>2969</v>
      </c>
      <c r="B704" s="4">
        <v>540</v>
      </c>
      <c r="C704" s="4" t="s">
        <v>2953</v>
      </c>
      <c r="D704" s="4">
        <v>17</v>
      </c>
      <c r="E704" s="4">
        <v>8.3908820000000005E-3</v>
      </c>
      <c r="F704" s="4">
        <v>500</v>
      </c>
      <c r="G704" s="4">
        <v>3.1998669E-2</v>
      </c>
      <c r="H704" s="4">
        <v>5.0472170330833524E-2</v>
      </c>
      <c r="I704" s="4">
        <v>7</v>
      </c>
    </row>
    <row r="705" spans="1:9">
      <c r="A705" s="4" t="s">
        <v>2970</v>
      </c>
      <c r="B705" s="4">
        <v>540</v>
      </c>
      <c r="C705" s="4" t="s">
        <v>2953</v>
      </c>
      <c r="D705" s="4">
        <v>18</v>
      </c>
      <c r="E705" s="4">
        <v>8.3908820000000005E-3</v>
      </c>
      <c r="F705" s="4">
        <v>2000</v>
      </c>
      <c r="G705" s="4">
        <v>5.9068374999999999E-2</v>
      </c>
      <c r="H705" s="4">
        <v>5.0496946490610019E-2</v>
      </c>
      <c r="I705" s="4">
        <v>7</v>
      </c>
    </row>
    <row r="706" spans="1:9">
      <c r="A706" s="4" t="s">
        <v>2971</v>
      </c>
      <c r="B706" s="4">
        <v>540</v>
      </c>
      <c r="C706" s="4" t="s">
        <v>2953</v>
      </c>
      <c r="D706" s="4">
        <v>19</v>
      </c>
      <c r="E706" s="4">
        <v>0.32411113699999999</v>
      </c>
      <c r="F706" s="4">
        <v>1E-3</v>
      </c>
      <c r="G706" s="4">
        <v>2.1883920000000001E-2</v>
      </c>
      <c r="H706" s="4">
        <v>5.0504447637790176E-2</v>
      </c>
      <c r="I706" s="4">
        <v>7</v>
      </c>
    </row>
    <row r="707" spans="1:9">
      <c r="A707" s="4" t="s">
        <v>2972</v>
      </c>
      <c r="B707" s="4">
        <v>540</v>
      </c>
      <c r="C707" s="4" t="s">
        <v>2953</v>
      </c>
      <c r="D707" s="4">
        <v>20</v>
      </c>
      <c r="E707" s="4">
        <v>0.32411113699999999</v>
      </c>
      <c r="F707" s="4">
        <v>1</v>
      </c>
      <c r="G707" s="4">
        <v>2.0295041999999999E-2</v>
      </c>
      <c r="H707" s="4">
        <v>5.0505229606504748E-2</v>
      </c>
      <c r="I707" s="4">
        <v>7</v>
      </c>
    </row>
    <row r="708" spans="1:9">
      <c r="A708" s="4" t="s">
        <v>2973</v>
      </c>
      <c r="B708" s="4">
        <v>540</v>
      </c>
      <c r="C708" s="4" t="s">
        <v>2953</v>
      </c>
      <c r="D708" s="4">
        <v>21</v>
      </c>
      <c r="E708" s="4">
        <v>0.32411113699999999</v>
      </c>
      <c r="F708" s="4">
        <v>10</v>
      </c>
      <c r="G708" s="4">
        <v>4.4621619000000001E-2</v>
      </c>
      <c r="H708" s="4">
        <v>5.061230726410839E-2</v>
      </c>
      <c r="I708" s="4">
        <v>7</v>
      </c>
    </row>
    <row r="709" spans="1:9">
      <c r="A709" s="4" t="s">
        <v>2974</v>
      </c>
      <c r="B709" s="4">
        <v>540</v>
      </c>
      <c r="C709" s="4" t="s">
        <v>2953</v>
      </c>
      <c r="D709" s="4">
        <v>22</v>
      </c>
      <c r="E709" s="4">
        <v>0.32411113699999999</v>
      </c>
      <c r="F709" s="4">
        <v>100</v>
      </c>
      <c r="G709" s="4">
        <v>0.21585736</v>
      </c>
      <c r="H709" s="4">
        <v>5.7107155710294732E-2</v>
      </c>
      <c r="I709" s="4">
        <v>7</v>
      </c>
    </row>
    <row r="710" spans="1:9">
      <c r="A710" s="4" t="s">
        <v>2975</v>
      </c>
      <c r="B710" s="4">
        <v>540</v>
      </c>
      <c r="C710" s="4" t="s">
        <v>2953</v>
      </c>
      <c r="D710" s="4">
        <v>23</v>
      </c>
      <c r="E710" s="4">
        <v>0.32411113699999999</v>
      </c>
      <c r="F710" s="4">
        <v>500</v>
      </c>
      <c r="G710" s="4">
        <v>0.75097161700000004</v>
      </c>
      <c r="H710" s="4">
        <v>9.0973506053756342E-2</v>
      </c>
      <c r="I710" s="4">
        <v>7</v>
      </c>
    </row>
    <row r="711" spans="1:9">
      <c r="A711" s="4" t="s">
        <v>2976</v>
      </c>
      <c r="B711" s="4">
        <v>540</v>
      </c>
      <c r="C711" s="4" t="s">
        <v>2953</v>
      </c>
      <c r="D711" s="4">
        <v>24</v>
      </c>
      <c r="E711" s="4">
        <v>0.32411113699999999</v>
      </c>
      <c r="F711" s="4">
        <v>2000</v>
      </c>
      <c r="G711" s="4">
        <v>1.7240625949999999</v>
      </c>
      <c r="H711" s="4">
        <v>0.12769644321488868</v>
      </c>
      <c r="I711" s="4">
        <v>7</v>
      </c>
    </row>
    <row r="712" spans="1:9">
      <c r="A712" s="4" t="s">
        <v>2977</v>
      </c>
      <c r="B712" s="4">
        <v>540</v>
      </c>
      <c r="C712" s="4" t="s">
        <v>2953</v>
      </c>
      <c r="D712" s="4">
        <v>25</v>
      </c>
      <c r="E712" s="4">
        <v>0.32411113699999999</v>
      </c>
      <c r="F712" s="4">
        <v>1E-3</v>
      </c>
      <c r="G712" s="4">
        <v>2.2118894E-2</v>
      </c>
      <c r="H712" s="4">
        <v>5.0504447637790176E-2</v>
      </c>
      <c r="I712" s="4">
        <v>7</v>
      </c>
    </row>
    <row r="713" spans="1:9">
      <c r="A713" s="4" t="s">
        <v>2978</v>
      </c>
      <c r="B713" s="4">
        <v>540</v>
      </c>
      <c r="C713" s="4" t="s">
        <v>2953</v>
      </c>
      <c r="D713" s="4">
        <v>26</v>
      </c>
      <c r="E713" s="4">
        <v>0.32411113699999999</v>
      </c>
      <c r="F713" s="4">
        <v>1</v>
      </c>
      <c r="G713" s="4">
        <v>2.2489404000000001E-2</v>
      </c>
      <c r="H713" s="4">
        <v>5.0505229606504748E-2</v>
      </c>
      <c r="I713" s="4">
        <v>7</v>
      </c>
    </row>
    <row r="714" spans="1:9">
      <c r="A714" s="4" t="s">
        <v>2979</v>
      </c>
      <c r="B714" s="4">
        <v>540</v>
      </c>
      <c r="C714" s="4" t="s">
        <v>2953</v>
      </c>
      <c r="D714" s="4">
        <v>27</v>
      </c>
      <c r="E714" s="4">
        <v>0.32411113699999999</v>
      </c>
      <c r="F714" s="4">
        <v>10</v>
      </c>
      <c r="G714" s="4">
        <v>4.2761174999999998E-2</v>
      </c>
      <c r="H714" s="4">
        <v>5.061230726410839E-2</v>
      </c>
      <c r="I714" s="4">
        <v>7</v>
      </c>
    </row>
    <row r="715" spans="1:9">
      <c r="A715" s="4" t="s">
        <v>2980</v>
      </c>
      <c r="B715" s="4">
        <v>540</v>
      </c>
      <c r="C715" s="4" t="s">
        <v>2953</v>
      </c>
      <c r="D715" s="4">
        <v>28</v>
      </c>
      <c r="E715" s="4">
        <v>0.32411113699999999</v>
      </c>
      <c r="F715" s="4">
        <v>100</v>
      </c>
      <c r="G715" s="4">
        <v>0.24064771300000001</v>
      </c>
      <c r="H715" s="4">
        <v>5.7107155710294732E-2</v>
      </c>
      <c r="I715" s="4">
        <v>7</v>
      </c>
    </row>
    <row r="716" spans="1:9">
      <c r="A716" s="4" t="s">
        <v>2981</v>
      </c>
      <c r="B716" s="4">
        <v>540</v>
      </c>
      <c r="C716" s="4" t="s">
        <v>2953</v>
      </c>
      <c r="D716" s="4">
        <v>29</v>
      </c>
      <c r="E716" s="4">
        <v>0.32411113699999999</v>
      </c>
      <c r="F716" s="4">
        <v>500</v>
      </c>
      <c r="G716" s="4">
        <v>0.73222170600000003</v>
      </c>
      <c r="H716" s="4">
        <v>9.0973506053756342E-2</v>
      </c>
      <c r="I716" s="4">
        <v>7</v>
      </c>
    </row>
    <row r="717" spans="1:9">
      <c r="A717" s="4" t="s">
        <v>2982</v>
      </c>
      <c r="B717" s="4">
        <v>540</v>
      </c>
      <c r="C717" s="4" t="s">
        <v>2953</v>
      </c>
      <c r="D717" s="4">
        <v>30</v>
      </c>
      <c r="E717" s="4">
        <v>0.32411113699999999</v>
      </c>
      <c r="F717" s="4">
        <v>2000</v>
      </c>
      <c r="G717" s="4">
        <v>1.751378114</v>
      </c>
      <c r="H717" s="4">
        <v>0.12769644321488868</v>
      </c>
      <c r="I717" s="4">
        <v>7</v>
      </c>
    </row>
    <row r="718" spans="1:9">
      <c r="A718" s="4" t="s">
        <v>2983</v>
      </c>
      <c r="B718" s="4">
        <v>540</v>
      </c>
      <c r="C718" s="4" t="s">
        <v>2953</v>
      </c>
      <c r="D718" s="4">
        <v>31</v>
      </c>
      <c r="E718" s="4">
        <v>0.32411113699999999</v>
      </c>
      <c r="F718" s="4">
        <v>1E-3</v>
      </c>
      <c r="G718" s="4">
        <v>2.0885366999999998E-2</v>
      </c>
      <c r="H718" s="4">
        <v>5.0504447637790176E-2</v>
      </c>
      <c r="I718" s="4">
        <v>7</v>
      </c>
    </row>
    <row r="719" spans="1:9">
      <c r="A719" s="4" t="s">
        <v>2984</v>
      </c>
      <c r="B719" s="4">
        <v>540</v>
      </c>
      <c r="C719" s="4" t="s">
        <v>2953</v>
      </c>
      <c r="D719" s="4">
        <v>32</v>
      </c>
      <c r="E719" s="4">
        <v>0.32411113699999999</v>
      </c>
      <c r="F719" s="4">
        <v>1</v>
      </c>
      <c r="G719" s="4">
        <v>2.1710924999999999E-2</v>
      </c>
      <c r="H719" s="4">
        <v>5.0505229606504748E-2</v>
      </c>
      <c r="I719" s="4">
        <v>7</v>
      </c>
    </row>
    <row r="720" spans="1:9">
      <c r="A720" s="4" t="s">
        <v>2985</v>
      </c>
      <c r="B720" s="4">
        <v>540</v>
      </c>
      <c r="C720" s="4" t="s">
        <v>2953</v>
      </c>
      <c r="D720" s="4">
        <v>33</v>
      </c>
      <c r="E720" s="4">
        <v>0.32411113699999999</v>
      </c>
      <c r="F720" s="4">
        <v>10</v>
      </c>
      <c r="G720" s="4">
        <v>3.9703005999999999E-2</v>
      </c>
      <c r="H720" s="4">
        <v>5.061230726410839E-2</v>
      </c>
      <c r="I720" s="4">
        <v>7</v>
      </c>
    </row>
    <row r="721" spans="1:9">
      <c r="A721" s="4" t="s">
        <v>2986</v>
      </c>
      <c r="B721" s="4">
        <v>540</v>
      </c>
      <c r="C721" s="4" t="s">
        <v>2953</v>
      </c>
      <c r="D721" s="4">
        <v>34</v>
      </c>
      <c r="E721" s="4">
        <v>0.32411113699999999</v>
      </c>
      <c r="F721" s="4">
        <v>100</v>
      </c>
      <c r="G721" s="4">
        <v>0.207764008</v>
      </c>
      <c r="H721" s="4">
        <v>5.7107155710294732E-2</v>
      </c>
      <c r="I721" s="4">
        <v>7</v>
      </c>
    </row>
    <row r="722" spans="1:9">
      <c r="A722" s="4" t="s">
        <v>2987</v>
      </c>
      <c r="B722" s="4">
        <v>540</v>
      </c>
      <c r="C722" s="4" t="s">
        <v>2953</v>
      </c>
      <c r="D722" s="4">
        <v>35</v>
      </c>
      <c r="E722" s="4">
        <v>0.32411113699999999</v>
      </c>
      <c r="F722" s="4">
        <v>500</v>
      </c>
      <c r="G722" s="4">
        <v>0.84926792600000001</v>
      </c>
      <c r="H722" s="4">
        <v>9.0973506053756342E-2</v>
      </c>
      <c r="I722" s="4">
        <v>7</v>
      </c>
    </row>
    <row r="723" spans="1:9">
      <c r="A723" s="4" t="s">
        <v>2988</v>
      </c>
      <c r="B723" s="4">
        <v>540</v>
      </c>
      <c r="C723" s="4" t="s">
        <v>2953</v>
      </c>
      <c r="D723" s="4">
        <v>36</v>
      </c>
      <c r="E723" s="4">
        <v>0.32411113699999999</v>
      </c>
      <c r="F723" s="4">
        <v>2000</v>
      </c>
      <c r="G723" s="4">
        <v>1.7125867699999999</v>
      </c>
      <c r="H723" s="4">
        <v>0.12769644321488868</v>
      </c>
      <c r="I723" s="4">
        <v>7</v>
      </c>
    </row>
    <row r="724" spans="1:9">
      <c r="A724" s="4" t="s">
        <v>2989</v>
      </c>
      <c r="B724" s="4">
        <v>540</v>
      </c>
      <c r="C724" s="4" t="s">
        <v>2953</v>
      </c>
      <c r="D724" s="4">
        <v>37</v>
      </c>
      <c r="E724" s="4">
        <v>2.7170036230000001</v>
      </c>
      <c r="F724" s="4">
        <v>1E-3</v>
      </c>
      <c r="G724" s="4">
        <v>4.6809084000000001E-2</v>
      </c>
      <c r="H724" s="4">
        <v>5.4625667463136879E-2</v>
      </c>
      <c r="I724" s="4">
        <v>7</v>
      </c>
    </row>
    <row r="725" spans="1:9">
      <c r="A725" s="4" t="s">
        <v>2990</v>
      </c>
      <c r="B725" s="4">
        <v>540</v>
      </c>
      <c r="C725" s="4" t="s">
        <v>2953</v>
      </c>
      <c r="D725" s="4">
        <v>38</v>
      </c>
      <c r="E725" s="4">
        <v>2.7170036230000001</v>
      </c>
      <c r="F725" s="4">
        <v>1</v>
      </c>
      <c r="G725" s="4">
        <v>8.5822324000000005E-2</v>
      </c>
      <c r="H725" s="4">
        <v>5.4680599356495482E-2</v>
      </c>
      <c r="I725" s="4">
        <v>7</v>
      </c>
    </row>
    <row r="726" spans="1:9">
      <c r="A726" s="4" t="s">
        <v>2991</v>
      </c>
      <c r="B726" s="4">
        <v>540</v>
      </c>
      <c r="C726" s="4" t="s">
        <v>2953</v>
      </c>
      <c r="D726" s="4">
        <v>39</v>
      </c>
      <c r="E726" s="4">
        <v>2.7170036230000001</v>
      </c>
      <c r="F726" s="4">
        <v>10</v>
      </c>
      <c r="G726" s="4">
        <v>0.37635338000000002</v>
      </c>
      <c r="H726" s="4">
        <v>6.2200159136465406E-2</v>
      </c>
      <c r="I726" s="4">
        <v>7</v>
      </c>
    </row>
    <row r="727" spans="1:9">
      <c r="A727" s="4" t="s">
        <v>2992</v>
      </c>
      <c r="B727" s="4">
        <v>540</v>
      </c>
      <c r="C727" s="4" t="s">
        <v>2953</v>
      </c>
      <c r="D727" s="4">
        <v>40</v>
      </c>
      <c r="E727" s="4">
        <v>2.7170036230000001</v>
      </c>
      <c r="F727" s="4">
        <v>100</v>
      </c>
      <c r="G727" s="4">
        <v>1.1188932899999999</v>
      </c>
      <c r="H727" s="4">
        <v>0.50933261820839537</v>
      </c>
      <c r="I727" s="4">
        <v>7</v>
      </c>
    </row>
    <row r="728" spans="1:9">
      <c r="A728" s="4" t="s">
        <v>2993</v>
      </c>
      <c r="B728" s="4">
        <v>540</v>
      </c>
      <c r="C728" s="4" t="s">
        <v>2953</v>
      </c>
      <c r="D728" s="4">
        <v>41</v>
      </c>
      <c r="E728" s="4">
        <v>2.7170036230000001</v>
      </c>
      <c r="F728" s="4">
        <v>500</v>
      </c>
      <c r="G728" s="4">
        <v>2.506970146</v>
      </c>
      <c r="H728" s="4">
        <v>2.5796092642760797</v>
      </c>
      <c r="I728" s="4">
        <v>7</v>
      </c>
    </row>
    <row r="729" spans="1:9">
      <c r="A729" s="4" t="s">
        <v>2994</v>
      </c>
      <c r="B729" s="4">
        <v>540</v>
      </c>
      <c r="C729" s="4" t="s">
        <v>2953</v>
      </c>
      <c r="D729" s="4">
        <v>42</v>
      </c>
      <c r="E729" s="4">
        <v>2.7170036230000001</v>
      </c>
      <c r="F729" s="4">
        <v>2000</v>
      </c>
      <c r="G729" s="4">
        <v>3.3210583410000001</v>
      </c>
      <c r="H729" s="4">
        <v>4.4065531674705971</v>
      </c>
      <c r="I729" s="4">
        <v>7</v>
      </c>
    </row>
    <row r="730" spans="1:9">
      <c r="A730" s="4" t="s">
        <v>2995</v>
      </c>
      <c r="B730" s="4">
        <v>540</v>
      </c>
      <c r="C730" s="4" t="s">
        <v>2953</v>
      </c>
      <c r="D730" s="4">
        <v>43</v>
      </c>
      <c r="E730" s="4">
        <v>2.7170036230000001</v>
      </c>
      <c r="F730" s="4">
        <v>1E-3</v>
      </c>
      <c r="G730" s="4">
        <v>4.7057331000000001E-2</v>
      </c>
      <c r="H730" s="4">
        <v>5.4625667463136879E-2</v>
      </c>
      <c r="I730" s="4">
        <v>7</v>
      </c>
    </row>
    <row r="731" spans="1:9">
      <c r="A731" s="4" t="s">
        <v>2996</v>
      </c>
      <c r="B731" s="4">
        <v>540</v>
      </c>
      <c r="C731" s="4" t="s">
        <v>2953</v>
      </c>
      <c r="D731" s="4">
        <v>44</v>
      </c>
      <c r="E731" s="4">
        <v>2.7170036230000001</v>
      </c>
      <c r="F731" s="4">
        <v>1</v>
      </c>
      <c r="G731" s="4">
        <v>8.0973525000000005E-2</v>
      </c>
      <c r="H731" s="4">
        <v>5.4680599356495482E-2</v>
      </c>
      <c r="I731" s="4">
        <v>7</v>
      </c>
    </row>
    <row r="732" spans="1:9">
      <c r="A732" s="4" t="s">
        <v>2997</v>
      </c>
      <c r="B732" s="4">
        <v>540</v>
      </c>
      <c r="C732" s="4" t="s">
        <v>2953</v>
      </c>
      <c r="D732" s="4">
        <v>45</v>
      </c>
      <c r="E732" s="4">
        <v>2.7170036230000001</v>
      </c>
      <c r="F732" s="4">
        <v>10</v>
      </c>
      <c r="G732" s="4">
        <v>0.35919078199999999</v>
      </c>
      <c r="H732" s="4">
        <v>6.2200159136465406E-2</v>
      </c>
      <c r="I732" s="4">
        <v>7</v>
      </c>
    </row>
    <row r="733" spans="1:9">
      <c r="A733" s="4" t="s">
        <v>2998</v>
      </c>
      <c r="B733" s="4">
        <v>540</v>
      </c>
      <c r="C733" s="4" t="s">
        <v>2953</v>
      </c>
      <c r="D733" s="4">
        <v>46</v>
      </c>
      <c r="E733" s="4">
        <v>2.7170036230000001</v>
      </c>
      <c r="F733" s="4">
        <v>100</v>
      </c>
      <c r="G733" s="4">
        <v>1.12032303</v>
      </c>
      <c r="H733" s="4">
        <v>0.50933261820839537</v>
      </c>
      <c r="I733" s="4">
        <v>7</v>
      </c>
    </row>
    <row r="734" spans="1:9">
      <c r="A734" s="4" t="s">
        <v>2999</v>
      </c>
      <c r="B734" s="4">
        <v>540</v>
      </c>
      <c r="C734" s="4" t="s">
        <v>2953</v>
      </c>
      <c r="D734" s="4">
        <v>47</v>
      </c>
      <c r="E734" s="4">
        <v>2.7170036230000001</v>
      </c>
      <c r="F734" s="4">
        <v>500</v>
      </c>
      <c r="G734" s="4">
        <v>2.2828575099999999</v>
      </c>
      <c r="H734" s="4">
        <v>2.5796092642760797</v>
      </c>
      <c r="I734" s="4">
        <v>7</v>
      </c>
    </row>
    <row r="735" spans="1:9">
      <c r="A735" s="4" t="s">
        <v>3000</v>
      </c>
      <c r="B735" s="4">
        <v>540</v>
      </c>
      <c r="C735" s="4" t="s">
        <v>2953</v>
      </c>
      <c r="D735" s="4">
        <v>48</v>
      </c>
      <c r="E735" s="4">
        <v>2.7170036230000001</v>
      </c>
      <c r="F735" s="4">
        <v>2000</v>
      </c>
      <c r="G735" s="4">
        <v>3.3866886690000002</v>
      </c>
      <c r="H735" s="4">
        <v>4.4065531674705971</v>
      </c>
      <c r="I735" s="4">
        <v>7</v>
      </c>
    </row>
    <row r="736" spans="1:9">
      <c r="A736" s="4" t="s">
        <v>3001</v>
      </c>
      <c r="B736" s="4">
        <v>540</v>
      </c>
      <c r="C736" s="4" t="s">
        <v>2953</v>
      </c>
      <c r="D736" s="4">
        <v>49</v>
      </c>
      <c r="E736" s="4">
        <v>2.7170036230000001</v>
      </c>
      <c r="F736" s="4">
        <v>1E-3</v>
      </c>
      <c r="G736" s="4">
        <v>4.6204758999999998E-2</v>
      </c>
      <c r="H736" s="4">
        <v>5.4625667463136879E-2</v>
      </c>
      <c r="I736" s="4">
        <v>7</v>
      </c>
    </row>
    <row r="737" spans="1:9">
      <c r="A737" s="4" t="s">
        <v>3002</v>
      </c>
      <c r="B737" s="4">
        <v>540</v>
      </c>
      <c r="C737" s="4" t="s">
        <v>2953</v>
      </c>
      <c r="D737" s="4">
        <v>50</v>
      </c>
      <c r="E737" s="4">
        <v>2.7170036230000001</v>
      </c>
      <c r="F737" s="4">
        <v>1</v>
      </c>
      <c r="G737" s="4">
        <v>8.0234103000000001E-2</v>
      </c>
      <c r="H737" s="4">
        <v>5.4680599356495482E-2</v>
      </c>
      <c r="I737" s="4">
        <v>7</v>
      </c>
    </row>
    <row r="738" spans="1:9">
      <c r="A738" s="4" t="s">
        <v>3003</v>
      </c>
      <c r="B738" s="4">
        <v>540</v>
      </c>
      <c r="C738" s="4" t="s">
        <v>2953</v>
      </c>
      <c r="D738" s="4">
        <v>51</v>
      </c>
      <c r="E738" s="4">
        <v>2.7170036230000001</v>
      </c>
      <c r="F738" s="4">
        <v>10</v>
      </c>
      <c r="G738" s="4">
        <v>0.38152556100000001</v>
      </c>
      <c r="H738" s="4">
        <v>6.2200159136465406E-2</v>
      </c>
      <c r="I738" s="4">
        <v>7</v>
      </c>
    </row>
    <row r="739" spans="1:9">
      <c r="A739" s="4" t="s">
        <v>3004</v>
      </c>
      <c r="B739" s="4">
        <v>540</v>
      </c>
      <c r="C739" s="4" t="s">
        <v>2953</v>
      </c>
      <c r="D739" s="4">
        <v>52</v>
      </c>
      <c r="E739" s="4">
        <v>2.7170036230000001</v>
      </c>
      <c r="F739" s="4">
        <v>100</v>
      </c>
      <c r="G739" s="4">
        <v>1.156638517</v>
      </c>
      <c r="H739" s="4">
        <v>0.50933261820839537</v>
      </c>
      <c r="I739" s="4">
        <v>7</v>
      </c>
    </row>
    <row r="740" spans="1:9">
      <c r="A740" s="4" t="s">
        <v>3005</v>
      </c>
      <c r="B740" s="4">
        <v>540</v>
      </c>
      <c r="C740" s="4" t="s">
        <v>2953</v>
      </c>
      <c r="D740" s="4">
        <v>53</v>
      </c>
      <c r="E740" s="4">
        <v>2.7170036230000001</v>
      </c>
      <c r="F740" s="4">
        <v>500</v>
      </c>
      <c r="G740" s="4">
        <v>2.6349919530000001</v>
      </c>
      <c r="H740" s="4">
        <v>2.5796092642760797</v>
      </c>
      <c r="I740" s="4">
        <v>7</v>
      </c>
    </row>
    <row r="741" spans="1:9">
      <c r="A741" s="4" t="s">
        <v>3006</v>
      </c>
      <c r="B741" s="4">
        <v>540</v>
      </c>
      <c r="C741" s="4" t="s">
        <v>2953</v>
      </c>
      <c r="D741" s="4">
        <v>54</v>
      </c>
      <c r="E741" s="4">
        <v>2.7170036230000001</v>
      </c>
      <c r="F741" s="4">
        <v>2000</v>
      </c>
      <c r="G741" s="4">
        <v>3.36774233</v>
      </c>
      <c r="H741" s="4">
        <v>4.4065531674705971</v>
      </c>
      <c r="I741" s="4">
        <v>7</v>
      </c>
    </row>
    <row r="742" spans="1:9">
      <c r="A742" s="4" t="s">
        <v>3007</v>
      </c>
      <c r="B742" s="4">
        <v>541</v>
      </c>
      <c r="C742" s="4" t="s">
        <v>3008</v>
      </c>
      <c r="D742" s="4">
        <v>1</v>
      </c>
      <c r="E742" s="4">
        <v>8.3908820000000005E-3</v>
      </c>
      <c r="F742" s="4">
        <v>1E-3</v>
      </c>
      <c r="G742" s="4">
        <v>1.3971888E-2</v>
      </c>
      <c r="H742" s="4">
        <v>3.0914723107972747E-2</v>
      </c>
      <c r="I742" s="4">
        <v>7</v>
      </c>
    </row>
    <row r="743" spans="1:9">
      <c r="A743" s="4" t="s">
        <v>3009</v>
      </c>
      <c r="B743" s="4">
        <v>541</v>
      </c>
      <c r="C743" s="4" t="s">
        <v>3008</v>
      </c>
      <c r="D743" s="4">
        <v>2</v>
      </c>
      <c r="E743" s="4">
        <v>8.3908820000000005E-3</v>
      </c>
      <c r="F743" s="4">
        <v>1</v>
      </c>
      <c r="G743" s="4">
        <v>1.3106714E-2</v>
      </c>
      <c r="H743" s="4">
        <v>3.0914723338304036E-2</v>
      </c>
      <c r="I743" s="4">
        <v>7</v>
      </c>
    </row>
    <row r="744" spans="1:9">
      <c r="A744" s="4" t="s">
        <v>3010</v>
      </c>
      <c r="B744" s="4">
        <v>541</v>
      </c>
      <c r="C744" s="4" t="s">
        <v>3008</v>
      </c>
      <c r="D744" s="4">
        <v>3</v>
      </c>
      <c r="E744" s="4">
        <v>8.3908820000000005E-3</v>
      </c>
      <c r="F744" s="4">
        <v>10</v>
      </c>
      <c r="G744" s="4">
        <v>1.4077297000000001E-2</v>
      </c>
      <c r="H744" s="4">
        <v>3.0914754877554906E-2</v>
      </c>
      <c r="I744" s="4">
        <v>7</v>
      </c>
    </row>
    <row r="745" spans="1:9">
      <c r="A745" s="4" t="s">
        <v>3011</v>
      </c>
      <c r="B745" s="4">
        <v>541</v>
      </c>
      <c r="C745" s="4" t="s">
        <v>3008</v>
      </c>
      <c r="D745" s="4">
        <v>4</v>
      </c>
      <c r="E745" s="4">
        <v>8.3908820000000005E-3</v>
      </c>
      <c r="F745" s="4">
        <v>100</v>
      </c>
      <c r="G745" s="4">
        <v>1.8324034999999999E-2</v>
      </c>
      <c r="H745" s="4">
        <v>3.0916668614079702E-2</v>
      </c>
      <c r="I745" s="4">
        <v>7</v>
      </c>
    </row>
    <row r="746" spans="1:9">
      <c r="A746" s="4" t="s">
        <v>3012</v>
      </c>
      <c r="B746" s="4">
        <v>541</v>
      </c>
      <c r="C746" s="4" t="s">
        <v>3008</v>
      </c>
      <c r="D746" s="4">
        <v>5</v>
      </c>
      <c r="E746" s="4">
        <v>8.3908820000000005E-3</v>
      </c>
      <c r="F746" s="4">
        <v>500</v>
      </c>
      <c r="G746" s="4">
        <v>2.5058347000000002E-2</v>
      </c>
      <c r="H746" s="4">
        <v>3.0926670089746405E-2</v>
      </c>
      <c r="I746" s="4">
        <v>7</v>
      </c>
    </row>
    <row r="747" spans="1:9">
      <c r="A747" s="4" t="s">
        <v>3013</v>
      </c>
      <c r="B747" s="4">
        <v>541</v>
      </c>
      <c r="C747" s="4" t="s">
        <v>3008</v>
      </c>
      <c r="D747" s="4">
        <v>6</v>
      </c>
      <c r="E747" s="4">
        <v>8.3908820000000005E-3</v>
      </c>
      <c r="F747" s="4">
        <v>2000</v>
      </c>
      <c r="G747" s="4">
        <v>3.8382049000000001E-2</v>
      </c>
      <c r="H747" s="4">
        <v>3.0937558251350351E-2</v>
      </c>
      <c r="I747" s="4">
        <v>7</v>
      </c>
    </row>
    <row r="748" spans="1:9">
      <c r="A748" s="4" t="s">
        <v>3014</v>
      </c>
      <c r="B748" s="4">
        <v>541</v>
      </c>
      <c r="C748" s="4" t="s">
        <v>3008</v>
      </c>
      <c r="D748" s="4">
        <v>7</v>
      </c>
      <c r="E748" s="4">
        <v>8.3908820000000005E-3</v>
      </c>
      <c r="F748" s="4">
        <v>1E-3</v>
      </c>
      <c r="G748" s="4">
        <v>1.3887719999999999E-2</v>
      </c>
      <c r="H748" s="4">
        <v>3.0914723107972747E-2</v>
      </c>
      <c r="I748" s="4">
        <v>7</v>
      </c>
    </row>
    <row r="749" spans="1:9">
      <c r="A749" s="4" t="s">
        <v>3015</v>
      </c>
      <c r="B749" s="4">
        <v>541</v>
      </c>
      <c r="C749" s="4" t="s">
        <v>3008</v>
      </c>
      <c r="D749" s="4">
        <v>8</v>
      </c>
      <c r="E749" s="4">
        <v>8.3908820000000005E-3</v>
      </c>
      <c r="F749" s="4">
        <v>1</v>
      </c>
      <c r="G749" s="4">
        <v>1.3009757E-2</v>
      </c>
      <c r="H749" s="4">
        <v>3.0914723338304036E-2</v>
      </c>
      <c r="I749" s="4">
        <v>7</v>
      </c>
    </row>
    <row r="750" spans="1:9">
      <c r="A750" s="4" t="s">
        <v>3016</v>
      </c>
      <c r="B750" s="4">
        <v>541</v>
      </c>
      <c r="C750" s="4" t="s">
        <v>3008</v>
      </c>
      <c r="D750" s="4">
        <v>9</v>
      </c>
      <c r="E750" s="4">
        <v>8.3908820000000005E-3</v>
      </c>
      <c r="F750" s="4">
        <v>10</v>
      </c>
      <c r="G750" s="4">
        <v>1.3814577999999999E-2</v>
      </c>
      <c r="H750" s="4">
        <v>3.0914754877554906E-2</v>
      </c>
      <c r="I750" s="4">
        <v>7</v>
      </c>
    </row>
    <row r="751" spans="1:9">
      <c r="A751" s="4" t="s">
        <v>3017</v>
      </c>
      <c r="B751" s="4">
        <v>541</v>
      </c>
      <c r="C751" s="4" t="s">
        <v>3008</v>
      </c>
      <c r="D751" s="4">
        <v>10</v>
      </c>
      <c r="E751" s="4">
        <v>8.3908820000000005E-3</v>
      </c>
      <c r="F751" s="4">
        <v>100</v>
      </c>
      <c r="G751" s="4">
        <v>1.9569040999999999E-2</v>
      </c>
      <c r="H751" s="4">
        <v>3.0916668614079702E-2</v>
      </c>
      <c r="I751" s="4">
        <v>7</v>
      </c>
    </row>
    <row r="752" spans="1:9">
      <c r="A752" s="4" t="s">
        <v>3018</v>
      </c>
      <c r="B752" s="4">
        <v>541</v>
      </c>
      <c r="C752" s="4" t="s">
        <v>3008</v>
      </c>
      <c r="D752" s="4">
        <v>11</v>
      </c>
      <c r="E752" s="4">
        <v>8.3908820000000005E-3</v>
      </c>
      <c r="F752" s="4">
        <v>500</v>
      </c>
      <c r="G752" s="4">
        <v>2.4770974000000001E-2</v>
      </c>
      <c r="H752" s="4">
        <v>3.0926670089746405E-2</v>
      </c>
      <c r="I752" s="4">
        <v>7</v>
      </c>
    </row>
    <row r="753" spans="1:9">
      <c r="A753" s="4" t="s">
        <v>3019</v>
      </c>
      <c r="B753" s="4">
        <v>541</v>
      </c>
      <c r="C753" s="4" t="s">
        <v>3008</v>
      </c>
      <c r="D753" s="4">
        <v>12</v>
      </c>
      <c r="E753" s="4">
        <v>8.3908820000000005E-3</v>
      </c>
      <c r="F753" s="4">
        <v>2000</v>
      </c>
      <c r="G753" s="4">
        <v>3.8799921000000001E-2</v>
      </c>
      <c r="H753" s="4">
        <v>3.0937558251350351E-2</v>
      </c>
      <c r="I753" s="4">
        <v>7</v>
      </c>
    </row>
    <row r="754" spans="1:9">
      <c r="A754" s="4" t="s">
        <v>3020</v>
      </c>
      <c r="B754" s="4">
        <v>541</v>
      </c>
      <c r="C754" s="4" t="s">
        <v>3008</v>
      </c>
      <c r="D754" s="4">
        <v>13</v>
      </c>
      <c r="E754" s="4">
        <v>8.3908820000000005E-3</v>
      </c>
      <c r="F754" s="4">
        <v>1E-3</v>
      </c>
      <c r="G754" s="4">
        <v>1.3825469E-2</v>
      </c>
      <c r="H754" s="4">
        <v>3.0914723107972747E-2</v>
      </c>
      <c r="I754" s="4">
        <v>7</v>
      </c>
    </row>
    <row r="755" spans="1:9">
      <c r="A755" s="4" t="s">
        <v>3021</v>
      </c>
      <c r="B755" s="4">
        <v>541</v>
      </c>
      <c r="C755" s="4" t="s">
        <v>3008</v>
      </c>
      <c r="D755" s="4">
        <v>14</v>
      </c>
      <c r="E755" s="4">
        <v>8.3908820000000005E-3</v>
      </c>
      <c r="F755" s="4">
        <v>1</v>
      </c>
      <c r="G755" s="4">
        <v>1.3218247000000001E-2</v>
      </c>
      <c r="H755" s="4">
        <v>3.0914723338304036E-2</v>
      </c>
      <c r="I755" s="4">
        <v>7</v>
      </c>
    </row>
    <row r="756" spans="1:9">
      <c r="A756" s="4" t="s">
        <v>3022</v>
      </c>
      <c r="B756" s="4">
        <v>541</v>
      </c>
      <c r="C756" s="4" t="s">
        <v>3008</v>
      </c>
      <c r="D756" s="4">
        <v>15</v>
      </c>
      <c r="E756" s="4">
        <v>8.3908820000000005E-3</v>
      </c>
      <c r="F756" s="4">
        <v>10</v>
      </c>
      <c r="G756" s="4">
        <v>1.3466880000000001E-2</v>
      </c>
      <c r="H756" s="4">
        <v>3.0914754877554906E-2</v>
      </c>
      <c r="I756" s="4">
        <v>7</v>
      </c>
    </row>
    <row r="757" spans="1:9">
      <c r="A757" s="4" t="s">
        <v>3023</v>
      </c>
      <c r="B757" s="4">
        <v>541</v>
      </c>
      <c r="C757" s="4" t="s">
        <v>3008</v>
      </c>
      <c r="D757" s="4">
        <v>16</v>
      </c>
      <c r="E757" s="4">
        <v>8.3908820000000005E-3</v>
      </c>
      <c r="F757" s="4">
        <v>100</v>
      </c>
      <c r="G757" s="4">
        <v>1.8940212000000001E-2</v>
      </c>
      <c r="H757" s="4">
        <v>3.0916668614079702E-2</v>
      </c>
      <c r="I757" s="4">
        <v>7</v>
      </c>
    </row>
    <row r="758" spans="1:9">
      <c r="A758" s="4" t="s">
        <v>3024</v>
      </c>
      <c r="B758" s="4">
        <v>541</v>
      </c>
      <c r="C758" s="4" t="s">
        <v>3008</v>
      </c>
      <c r="D758" s="4">
        <v>17</v>
      </c>
      <c r="E758" s="4">
        <v>8.3908820000000005E-3</v>
      </c>
      <c r="F758" s="4">
        <v>500</v>
      </c>
      <c r="G758" s="4">
        <v>2.2795302999999999E-2</v>
      </c>
      <c r="H758" s="4">
        <v>3.0926670089746405E-2</v>
      </c>
      <c r="I758" s="4">
        <v>7</v>
      </c>
    </row>
    <row r="759" spans="1:9">
      <c r="A759" s="4" t="s">
        <v>3025</v>
      </c>
      <c r="B759" s="4">
        <v>541</v>
      </c>
      <c r="C759" s="4" t="s">
        <v>3008</v>
      </c>
      <c r="D759" s="4">
        <v>18</v>
      </c>
      <c r="E759" s="4">
        <v>8.3908820000000005E-3</v>
      </c>
      <c r="F759" s="4">
        <v>2000</v>
      </c>
      <c r="G759" s="4">
        <v>3.5008976999999997E-2</v>
      </c>
      <c r="H759" s="4">
        <v>3.0937558251350351E-2</v>
      </c>
      <c r="I759" s="4">
        <v>7</v>
      </c>
    </row>
    <row r="760" spans="1:9">
      <c r="A760" s="4" t="s">
        <v>3026</v>
      </c>
      <c r="B760" s="4">
        <v>541</v>
      </c>
      <c r="C760" s="4" t="s">
        <v>3008</v>
      </c>
      <c r="D760" s="4">
        <v>19</v>
      </c>
      <c r="E760" s="4">
        <v>0.32411113699999999</v>
      </c>
      <c r="F760" s="4">
        <v>1E-3</v>
      </c>
      <c r="G760" s="4">
        <v>1.8056927E-2</v>
      </c>
      <c r="H760" s="4">
        <v>3.0940854717216609E-2</v>
      </c>
      <c r="I760" s="4">
        <v>7</v>
      </c>
    </row>
    <row r="761" spans="1:9">
      <c r="A761" s="4" t="s">
        <v>3027</v>
      </c>
      <c r="B761" s="4">
        <v>541</v>
      </c>
      <c r="C761" s="4" t="s">
        <v>3008</v>
      </c>
      <c r="D761" s="4">
        <v>20</v>
      </c>
      <c r="E761" s="4">
        <v>0.32411113699999999</v>
      </c>
      <c r="F761" s="4">
        <v>1</v>
      </c>
      <c r="G761" s="4">
        <v>1.6187946000000002E-2</v>
      </c>
      <c r="H761" s="4">
        <v>3.0941198362474557E-2</v>
      </c>
      <c r="I761" s="4">
        <v>7</v>
      </c>
    </row>
    <row r="762" spans="1:9">
      <c r="A762" s="4" t="s">
        <v>3028</v>
      </c>
      <c r="B762" s="4">
        <v>541</v>
      </c>
      <c r="C762" s="4" t="s">
        <v>3008</v>
      </c>
      <c r="D762" s="4">
        <v>21</v>
      </c>
      <c r="E762" s="4">
        <v>0.32411113699999999</v>
      </c>
      <c r="F762" s="4">
        <v>10</v>
      </c>
      <c r="G762" s="4">
        <v>1.8515416E-2</v>
      </c>
      <c r="H762" s="4">
        <v>3.0988255006559638E-2</v>
      </c>
      <c r="I762" s="4">
        <v>7</v>
      </c>
    </row>
    <row r="763" spans="1:9">
      <c r="A763" s="4" t="s">
        <v>3029</v>
      </c>
      <c r="B763" s="4">
        <v>541</v>
      </c>
      <c r="C763" s="4" t="s">
        <v>3008</v>
      </c>
      <c r="D763" s="4">
        <v>22</v>
      </c>
      <c r="E763" s="4">
        <v>0.32411113699999999</v>
      </c>
      <c r="F763" s="4">
        <v>100</v>
      </c>
      <c r="G763" s="4">
        <v>2.5434854E-2</v>
      </c>
      <c r="H763" s="4">
        <v>3.3842944845820871E-2</v>
      </c>
      <c r="I763" s="4">
        <v>7</v>
      </c>
    </row>
    <row r="764" spans="1:9">
      <c r="A764" s="4" t="s">
        <v>3030</v>
      </c>
      <c r="B764" s="4">
        <v>541</v>
      </c>
      <c r="C764" s="4" t="s">
        <v>3008</v>
      </c>
      <c r="D764" s="4">
        <v>23</v>
      </c>
      <c r="E764" s="4">
        <v>0.32411113699999999</v>
      </c>
      <c r="F764" s="4">
        <v>500</v>
      </c>
      <c r="G764" s="4">
        <v>4.5975017E-2</v>
      </c>
      <c r="H764" s="4">
        <v>4.8742501190002022E-2</v>
      </c>
      <c r="I764" s="4">
        <v>7</v>
      </c>
    </row>
    <row r="765" spans="1:9">
      <c r="A765" s="4" t="s">
        <v>3031</v>
      </c>
      <c r="B765" s="4">
        <v>541</v>
      </c>
      <c r="C765" s="4" t="s">
        <v>3008</v>
      </c>
      <c r="D765" s="4">
        <v>24</v>
      </c>
      <c r="E765" s="4">
        <v>0.32411113699999999</v>
      </c>
      <c r="F765" s="4">
        <v>2000</v>
      </c>
      <c r="G765" s="4">
        <v>8.0649770999999995E-2</v>
      </c>
      <c r="H765" s="4">
        <v>6.4925888921307462E-2</v>
      </c>
      <c r="I765" s="4">
        <v>7</v>
      </c>
    </row>
    <row r="766" spans="1:9">
      <c r="A766" s="4" t="s">
        <v>3032</v>
      </c>
      <c r="B766" s="4">
        <v>541</v>
      </c>
      <c r="C766" s="4" t="s">
        <v>3008</v>
      </c>
      <c r="D766" s="4">
        <v>25</v>
      </c>
      <c r="E766" s="4">
        <v>0.32411113699999999</v>
      </c>
      <c r="F766" s="4">
        <v>1E-3</v>
      </c>
      <c r="G766" s="4">
        <v>1.8303718E-2</v>
      </c>
      <c r="H766" s="4">
        <v>3.0940854717216609E-2</v>
      </c>
      <c r="I766" s="4">
        <v>7</v>
      </c>
    </row>
    <row r="767" spans="1:9">
      <c r="A767" s="4" t="s">
        <v>3033</v>
      </c>
      <c r="B767" s="4">
        <v>541</v>
      </c>
      <c r="C767" s="4" t="s">
        <v>3008</v>
      </c>
      <c r="D767" s="4">
        <v>26</v>
      </c>
      <c r="E767" s="4">
        <v>0.32411113699999999</v>
      </c>
      <c r="F767" s="4">
        <v>1</v>
      </c>
      <c r="G767" s="4">
        <v>1.8305396000000002E-2</v>
      </c>
      <c r="H767" s="4">
        <v>3.0941198362474557E-2</v>
      </c>
      <c r="I767" s="4">
        <v>7</v>
      </c>
    </row>
    <row r="768" spans="1:9">
      <c r="A768" s="4" t="s">
        <v>3034</v>
      </c>
      <c r="B768" s="4">
        <v>541</v>
      </c>
      <c r="C768" s="4" t="s">
        <v>3008</v>
      </c>
      <c r="D768" s="4">
        <v>27</v>
      </c>
      <c r="E768" s="4">
        <v>0.32411113699999999</v>
      </c>
      <c r="F768" s="4">
        <v>10</v>
      </c>
      <c r="G768" s="4">
        <v>1.8904487000000001E-2</v>
      </c>
      <c r="H768" s="4">
        <v>3.0988255006559638E-2</v>
      </c>
      <c r="I768" s="4">
        <v>7</v>
      </c>
    </row>
    <row r="769" spans="1:9">
      <c r="A769" s="4" t="s">
        <v>3035</v>
      </c>
      <c r="B769" s="4">
        <v>541</v>
      </c>
      <c r="C769" s="4" t="s">
        <v>3008</v>
      </c>
      <c r="D769" s="4">
        <v>28</v>
      </c>
      <c r="E769" s="4">
        <v>0.32411113699999999</v>
      </c>
      <c r="F769" s="4">
        <v>100</v>
      </c>
      <c r="G769" s="4">
        <v>2.8419085E-2</v>
      </c>
      <c r="H769" s="4">
        <v>3.3842944845820871E-2</v>
      </c>
      <c r="I769" s="4">
        <v>7</v>
      </c>
    </row>
    <row r="770" spans="1:9">
      <c r="A770" s="4" t="s">
        <v>3036</v>
      </c>
      <c r="B770" s="4">
        <v>541</v>
      </c>
      <c r="C770" s="4" t="s">
        <v>3008</v>
      </c>
      <c r="D770" s="4">
        <v>29</v>
      </c>
      <c r="E770" s="4">
        <v>0.32411113699999999</v>
      </c>
      <c r="F770" s="4">
        <v>500</v>
      </c>
      <c r="G770" s="4">
        <v>4.8243135999999999E-2</v>
      </c>
      <c r="H770" s="4">
        <v>4.8742501190002022E-2</v>
      </c>
      <c r="I770" s="4">
        <v>7</v>
      </c>
    </row>
    <row r="771" spans="1:9">
      <c r="A771" s="4" t="s">
        <v>3037</v>
      </c>
      <c r="B771" s="4">
        <v>541</v>
      </c>
      <c r="C771" s="4" t="s">
        <v>3008</v>
      </c>
      <c r="D771" s="4">
        <v>30</v>
      </c>
      <c r="E771" s="4">
        <v>0.32411113699999999</v>
      </c>
      <c r="F771" s="4">
        <v>2000</v>
      </c>
      <c r="G771" s="4">
        <v>9.2889576000000001E-2</v>
      </c>
      <c r="H771" s="4">
        <v>6.4925888921307462E-2</v>
      </c>
      <c r="I771" s="4">
        <v>7</v>
      </c>
    </row>
    <row r="772" spans="1:9">
      <c r="A772" s="4" t="s">
        <v>3038</v>
      </c>
      <c r="B772" s="4">
        <v>541</v>
      </c>
      <c r="C772" s="4" t="s">
        <v>3008</v>
      </c>
      <c r="D772" s="4">
        <v>31</v>
      </c>
      <c r="E772" s="4">
        <v>0.32411113699999999</v>
      </c>
      <c r="F772" s="4">
        <v>1E-3</v>
      </c>
      <c r="G772" s="4">
        <v>1.8680677E-2</v>
      </c>
      <c r="H772" s="4">
        <v>3.0940854717216609E-2</v>
      </c>
      <c r="I772" s="4">
        <v>7</v>
      </c>
    </row>
    <row r="773" spans="1:9">
      <c r="A773" s="4" t="s">
        <v>3039</v>
      </c>
      <c r="B773" s="4">
        <v>541</v>
      </c>
      <c r="C773" s="4" t="s">
        <v>3008</v>
      </c>
      <c r="D773" s="4">
        <v>32</v>
      </c>
      <c r="E773" s="4">
        <v>0.32411113699999999</v>
      </c>
      <c r="F773" s="4">
        <v>1</v>
      </c>
      <c r="G773" s="4">
        <v>1.801351E-2</v>
      </c>
      <c r="H773" s="4">
        <v>3.0941198362474557E-2</v>
      </c>
      <c r="I773" s="4">
        <v>7</v>
      </c>
    </row>
    <row r="774" spans="1:9">
      <c r="A774" s="4" t="s">
        <v>3040</v>
      </c>
      <c r="B774" s="4">
        <v>541</v>
      </c>
      <c r="C774" s="4" t="s">
        <v>3008</v>
      </c>
      <c r="D774" s="4">
        <v>33</v>
      </c>
      <c r="E774" s="4">
        <v>0.32411113699999999</v>
      </c>
      <c r="F774" s="4">
        <v>10</v>
      </c>
      <c r="G774" s="4">
        <v>2.0543206000000001E-2</v>
      </c>
      <c r="H774" s="4">
        <v>3.0988255006559638E-2</v>
      </c>
      <c r="I774" s="4">
        <v>7</v>
      </c>
    </row>
    <row r="775" spans="1:9">
      <c r="A775" s="4" t="s">
        <v>3041</v>
      </c>
      <c r="B775" s="4">
        <v>541</v>
      </c>
      <c r="C775" s="4" t="s">
        <v>3008</v>
      </c>
      <c r="D775" s="4">
        <v>34</v>
      </c>
      <c r="E775" s="4">
        <v>0.32411113699999999</v>
      </c>
      <c r="F775" s="4">
        <v>100</v>
      </c>
      <c r="G775" s="4">
        <v>2.8710247000000001E-2</v>
      </c>
      <c r="H775" s="4">
        <v>3.3842944845820871E-2</v>
      </c>
      <c r="I775" s="4">
        <v>7</v>
      </c>
    </row>
    <row r="776" spans="1:9">
      <c r="A776" s="4" t="s">
        <v>3042</v>
      </c>
      <c r="B776" s="4">
        <v>541</v>
      </c>
      <c r="C776" s="4" t="s">
        <v>3008</v>
      </c>
      <c r="D776" s="4">
        <v>35</v>
      </c>
      <c r="E776" s="4">
        <v>0.32411113699999999</v>
      </c>
      <c r="F776" s="4">
        <v>500</v>
      </c>
      <c r="G776" s="4">
        <v>4.2650548000000003E-2</v>
      </c>
      <c r="H776" s="4">
        <v>4.8742501190002022E-2</v>
      </c>
      <c r="I776" s="4">
        <v>7</v>
      </c>
    </row>
    <row r="777" spans="1:9">
      <c r="A777" s="4" t="s">
        <v>3043</v>
      </c>
      <c r="B777" s="4">
        <v>541</v>
      </c>
      <c r="C777" s="4" t="s">
        <v>3008</v>
      </c>
      <c r="D777" s="4">
        <v>36</v>
      </c>
      <c r="E777" s="4">
        <v>0.32411113699999999</v>
      </c>
      <c r="F777" s="4">
        <v>2000</v>
      </c>
      <c r="G777" s="4">
        <v>8.0741513000000001E-2</v>
      </c>
      <c r="H777" s="4">
        <v>6.4925888921307462E-2</v>
      </c>
      <c r="I777" s="4">
        <v>7</v>
      </c>
    </row>
    <row r="778" spans="1:9">
      <c r="A778" s="4" t="s">
        <v>3044</v>
      </c>
      <c r="B778" s="4">
        <v>541</v>
      </c>
      <c r="C778" s="4" t="s">
        <v>3008</v>
      </c>
      <c r="D778" s="4">
        <v>37</v>
      </c>
      <c r="E778" s="4">
        <v>2.7170036230000001</v>
      </c>
      <c r="F778" s="4">
        <v>1E-3</v>
      </c>
      <c r="G778" s="4">
        <v>2.1127344999999999E-2</v>
      </c>
      <c r="H778" s="4">
        <v>3.2752149291950035E-2</v>
      </c>
      <c r="I778" s="4">
        <v>7</v>
      </c>
    </row>
    <row r="779" spans="1:9">
      <c r="A779" s="4" t="s">
        <v>3045</v>
      </c>
      <c r="B779" s="4">
        <v>541</v>
      </c>
      <c r="C779" s="4" t="s">
        <v>3008</v>
      </c>
      <c r="D779" s="4">
        <v>38</v>
      </c>
      <c r="E779" s="4">
        <v>2.7170036230000001</v>
      </c>
      <c r="F779" s="4">
        <v>1</v>
      </c>
      <c r="G779" s="4">
        <v>1.9158628E-2</v>
      </c>
      <c r="H779" s="4">
        <v>3.2776294490082132E-2</v>
      </c>
      <c r="I779" s="4">
        <v>7</v>
      </c>
    </row>
    <row r="780" spans="1:9">
      <c r="A780" s="4" t="s">
        <v>3046</v>
      </c>
      <c r="B780" s="4">
        <v>541</v>
      </c>
      <c r="C780" s="4" t="s">
        <v>3008</v>
      </c>
      <c r="D780" s="4">
        <v>39</v>
      </c>
      <c r="E780" s="4">
        <v>2.7170036230000001</v>
      </c>
      <c r="F780" s="4">
        <v>10</v>
      </c>
      <c r="G780" s="4">
        <v>2.6128868999999999E-2</v>
      </c>
      <c r="H780" s="4">
        <v>3.6082093572324059E-2</v>
      </c>
      <c r="I780" s="4">
        <v>7</v>
      </c>
    </row>
    <row r="781" spans="1:9">
      <c r="A781" s="4" t="s">
        <v>3047</v>
      </c>
      <c r="B781" s="4">
        <v>541</v>
      </c>
      <c r="C781" s="4" t="s">
        <v>3008</v>
      </c>
      <c r="D781" s="4">
        <v>40</v>
      </c>
      <c r="E781" s="4">
        <v>2.7170036230000001</v>
      </c>
      <c r="F781" s="4">
        <v>100</v>
      </c>
      <c r="G781" s="4">
        <v>8.8228976000000001E-2</v>
      </c>
      <c r="H781" s="4">
        <v>0.23480599427617638</v>
      </c>
      <c r="I781" s="4">
        <v>7</v>
      </c>
    </row>
    <row r="782" spans="1:9">
      <c r="A782" s="4" t="s">
        <v>3048</v>
      </c>
      <c r="B782" s="4">
        <v>541</v>
      </c>
      <c r="C782" s="4" t="s">
        <v>3008</v>
      </c>
      <c r="D782" s="4">
        <v>41</v>
      </c>
      <c r="E782" s="4">
        <v>2.7170036230000001</v>
      </c>
      <c r="F782" s="4">
        <v>500</v>
      </c>
      <c r="G782" s="4">
        <v>0.25458525599999998</v>
      </c>
      <c r="H782" s="4">
        <v>1.2162814940346607</v>
      </c>
      <c r="I782" s="4">
        <v>7</v>
      </c>
    </row>
    <row r="783" spans="1:9">
      <c r="A783" s="4" t="s">
        <v>3049</v>
      </c>
      <c r="B783" s="4">
        <v>541</v>
      </c>
      <c r="C783" s="4" t="s">
        <v>3008</v>
      </c>
      <c r="D783" s="4">
        <v>42</v>
      </c>
      <c r="E783" s="4">
        <v>2.7170036230000001</v>
      </c>
      <c r="F783" s="4">
        <v>2000</v>
      </c>
      <c r="G783" s="4">
        <v>1.279156094</v>
      </c>
      <c r="H783" s="4">
        <v>2.1846810954212854</v>
      </c>
      <c r="I783" s="4">
        <v>7</v>
      </c>
    </row>
    <row r="784" spans="1:9">
      <c r="A784" s="4" t="s">
        <v>3050</v>
      </c>
      <c r="B784" s="4">
        <v>541</v>
      </c>
      <c r="C784" s="4" t="s">
        <v>3008</v>
      </c>
      <c r="D784" s="4">
        <v>43</v>
      </c>
      <c r="E784" s="4">
        <v>2.7170036230000001</v>
      </c>
      <c r="F784" s="4">
        <v>1E-3</v>
      </c>
      <c r="G784" s="4">
        <v>2.0442359E-2</v>
      </c>
      <c r="H784" s="4">
        <v>3.2752149291950035E-2</v>
      </c>
      <c r="I784" s="4">
        <v>7</v>
      </c>
    </row>
    <row r="785" spans="1:9">
      <c r="A785" s="4" t="s">
        <v>3051</v>
      </c>
      <c r="B785" s="4">
        <v>541</v>
      </c>
      <c r="C785" s="4" t="s">
        <v>3008</v>
      </c>
      <c r="D785" s="4">
        <v>44</v>
      </c>
      <c r="E785" s="4">
        <v>2.7170036230000001</v>
      </c>
      <c r="F785" s="4">
        <v>1</v>
      </c>
      <c r="G785" s="4">
        <v>2.3039543999999999E-2</v>
      </c>
      <c r="H785" s="4">
        <v>3.2776294490082132E-2</v>
      </c>
      <c r="I785" s="4">
        <v>7</v>
      </c>
    </row>
    <row r="786" spans="1:9">
      <c r="A786" s="4" t="s">
        <v>3052</v>
      </c>
      <c r="B786" s="4">
        <v>541</v>
      </c>
      <c r="C786" s="4" t="s">
        <v>3008</v>
      </c>
      <c r="D786" s="4">
        <v>45</v>
      </c>
      <c r="E786" s="4">
        <v>2.7170036230000001</v>
      </c>
      <c r="F786" s="4">
        <v>10</v>
      </c>
      <c r="G786" s="4">
        <v>2.5124147999999999E-2</v>
      </c>
      <c r="H786" s="4">
        <v>3.6082093572324059E-2</v>
      </c>
      <c r="I786" s="4">
        <v>7</v>
      </c>
    </row>
    <row r="787" spans="1:9">
      <c r="A787" s="4" t="s">
        <v>3053</v>
      </c>
      <c r="B787" s="4">
        <v>541</v>
      </c>
      <c r="C787" s="4" t="s">
        <v>3008</v>
      </c>
      <c r="D787" s="4">
        <v>46</v>
      </c>
      <c r="E787" s="4">
        <v>2.7170036230000001</v>
      </c>
      <c r="F787" s="4">
        <v>100</v>
      </c>
      <c r="G787" s="4">
        <v>8.7565962999999997E-2</v>
      </c>
      <c r="H787" s="4">
        <v>0.23480599427617638</v>
      </c>
      <c r="I787" s="4">
        <v>7</v>
      </c>
    </row>
    <row r="788" spans="1:9">
      <c r="A788" s="4" t="s">
        <v>3054</v>
      </c>
      <c r="B788" s="4">
        <v>541</v>
      </c>
      <c r="C788" s="4" t="s">
        <v>3008</v>
      </c>
      <c r="D788" s="4">
        <v>47</v>
      </c>
      <c r="E788" s="4">
        <v>2.7170036230000001</v>
      </c>
      <c r="F788" s="4">
        <v>500</v>
      </c>
      <c r="G788" s="4">
        <v>0.25654887999999998</v>
      </c>
      <c r="H788" s="4">
        <v>1.2162814940346607</v>
      </c>
      <c r="I788" s="4">
        <v>7</v>
      </c>
    </row>
    <row r="789" spans="1:9">
      <c r="A789" s="4" t="s">
        <v>3055</v>
      </c>
      <c r="B789" s="4">
        <v>541</v>
      </c>
      <c r="C789" s="4" t="s">
        <v>3008</v>
      </c>
      <c r="D789" s="4">
        <v>48</v>
      </c>
      <c r="E789" s="4">
        <v>2.7170036230000001</v>
      </c>
      <c r="F789" s="4">
        <v>2000</v>
      </c>
      <c r="G789" s="4">
        <v>1.2650596750000001</v>
      </c>
      <c r="H789" s="4">
        <v>2.1846810954212854</v>
      </c>
      <c r="I789" s="4">
        <v>7</v>
      </c>
    </row>
    <row r="790" spans="1:9">
      <c r="A790" s="4" t="s">
        <v>3056</v>
      </c>
      <c r="B790" s="4">
        <v>541</v>
      </c>
      <c r="C790" s="4" t="s">
        <v>3008</v>
      </c>
      <c r="D790" s="4">
        <v>49</v>
      </c>
      <c r="E790" s="4">
        <v>2.7170036230000001</v>
      </c>
      <c r="F790" s="4">
        <v>1E-3</v>
      </c>
      <c r="G790" s="4">
        <v>2.2078804E-2</v>
      </c>
      <c r="H790" s="4">
        <v>3.2752149291950035E-2</v>
      </c>
      <c r="I790" s="4">
        <v>7</v>
      </c>
    </row>
    <row r="791" spans="1:9">
      <c r="A791" s="4" t="s">
        <v>3057</v>
      </c>
      <c r="B791" s="4">
        <v>541</v>
      </c>
      <c r="C791" s="4" t="s">
        <v>3008</v>
      </c>
      <c r="D791" s="4">
        <v>50</v>
      </c>
      <c r="E791" s="4">
        <v>2.7170036230000001</v>
      </c>
      <c r="F791" s="4">
        <v>1</v>
      </c>
      <c r="G791" s="4">
        <v>2.1386935999999999E-2</v>
      </c>
      <c r="H791" s="4">
        <v>3.2776294490082132E-2</v>
      </c>
      <c r="I791" s="4">
        <v>7</v>
      </c>
    </row>
    <row r="792" spans="1:9">
      <c r="A792" s="4" t="s">
        <v>3058</v>
      </c>
      <c r="B792" s="4">
        <v>541</v>
      </c>
      <c r="C792" s="4" t="s">
        <v>3008</v>
      </c>
      <c r="D792" s="4">
        <v>51</v>
      </c>
      <c r="E792" s="4">
        <v>2.7170036230000001</v>
      </c>
      <c r="F792" s="4">
        <v>10</v>
      </c>
      <c r="G792" s="4">
        <v>2.6917499000000001E-2</v>
      </c>
      <c r="H792" s="4">
        <v>3.6082093572324059E-2</v>
      </c>
      <c r="I792" s="4">
        <v>7</v>
      </c>
    </row>
    <row r="793" spans="1:9">
      <c r="A793" s="4" t="s">
        <v>3059</v>
      </c>
      <c r="B793" s="4">
        <v>541</v>
      </c>
      <c r="C793" s="4" t="s">
        <v>3008</v>
      </c>
      <c r="D793" s="4">
        <v>52</v>
      </c>
      <c r="E793" s="4">
        <v>2.7170036230000001</v>
      </c>
      <c r="F793" s="4">
        <v>100</v>
      </c>
      <c r="G793" s="4">
        <v>0.106527319</v>
      </c>
      <c r="H793" s="4">
        <v>0.23480599427617638</v>
      </c>
      <c r="I793" s="4">
        <v>7</v>
      </c>
    </row>
    <row r="794" spans="1:9">
      <c r="A794" s="4" t="s">
        <v>3060</v>
      </c>
      <c r="B794" s="4">
        <v>541</v>
      </c>
      <c r="C794" s="4" t="s">
        <v>3008</v>
      </c>
      <c r="D794" s="4">
        <v>53</v>
      </c>
      <c r="E794" s="4">
        <v>2.7170036230000001</v>
      </c>
      <c r="F794" s="4">
        <v>500</v>
      </c>
      <c r="G794" s="4">
        <v>0.238508682</v>
      </c>
      <c r="H794" s="4">
        <v>1.2162814940346607</v>
      </c>
      <c r="I794" s="4">
        <v>7</v>
      </c>
    </row>
    <row r="795" spans="1:9">
      <c r="A795" s="4" t="s">
        <v>3061</v>
      </c>
      <c r="B795" s="4">
        <v>542</v>
      </c>
      <c r="C795" s="4" t="s">
        <v>3062</v>
      </c>
      <c r="D795" s="4">
        <v>1</v>
      </c>
      <c r="E795" s="4">
        <v>8.3908820000000005E-3</v>
      </c>
      <c r="F795" s="4">
        <v>1E-3</v>
      </c>
      <c r="G795" s="4">
        <v>3.1064965E-2</v>
      </c>
      <c r="H795" s="4">
        <v>3.0915567939813392E-2</v>
      </c>
      <c r="I795" s="4">
        <v>7</v>
      </c>
    </row>
    <row r="796" spans="1:9">
      <c r="A796" s="4" t="s">
        <v>3063</v>
      </c>
      <c r="B796" s="4">
        <v>542</v>
      </c>
      <c r="C796" s="4" t="s">
        <v>3062</v>
      </c>
      <c r="D796" s="4">
        <v>2</v>
      </c>
      <c r="E796" s="4">
        <v>8.3908820000000005E-3</v>
      </c>
      <c r="F796" s="4">
        <v>0.1</v>
      </c>
      <c r="G796" s="4">
        <v>3.4803467999999997E-2</v>
      </c>
      <c r="H796" s="4">
        <v>3.0915606536871015E-2</v>
      </c>
      <c r="I796" s="4">
        <v>7</v>
      </c>
    </row>
    <row r="797" spans="1:9">
      <c r="A797" s="4" t="s">
        <v>3064</v>
      </c>
      <c r="B797" s="4">
        <v>542</v>
      </c>
      <c r="C797" s="4" t="s">
        <v>3062</v>
      </c>
      <c r="D797" s="4">
        <v>3</v>
      </c>
      <c r="E797" s="4">
        <v>8.3908820000000005E-3</v>
      </c>
      <c r="F797" s="4">
        <v>1</v>
      </c>
      <c r="G797" s="4">
        <v>3.1898924000000002E-2</v>
      </c>
      <c r="H797" s="4">
        <v>3.0920789961560544E-2</v>
      </c>
      <c r="I797" s="4">
        <v>7</v>
      </c>
    </row>
    <row r="798" spans="1:9">
      <c r="A798" s="4" t="s">
        <v>3065</v>
      </c>
      <c r="B798" s="4">
        <v>542</v>
      </c>
      <c r="C798" s="4" t="s">
        <v>3062</v>
      </c>
      <c r="D798" s="4">
        <v>4</v>
      </c>
      <c r="E798" s="4">
        <v>8.3908820000000005E-3</v>
      </c>
      <c r="F798" s="4">
        <v>10</v>
      </c>
      <c r="G798" s="4">
        <v>2.3765857000000001E-2</v>
      </c>
      <c r="H798" s="4">
        <v>3.0964650248899932E-2</v>
      </c>
      <c r="I798" s="4">
        <v>7</v>
      </c>
    </row>
    <row r="799" spans="1:9">
      <c r="A799" s="4" t="s">
        <v>3066</v>
      </c>
      <c r="B799" s="4">
        <v>542</v>
      </c>
      <c r="C799" s="4" t="s">
        <v>3062</v>
      </c>
      <c r="D799" s="4">
        <v>5</v>
      </c>
      <c r="E799" s="4">
        <v>8.3908820000000005E-3</v>
      </c>
      <c r="F799" s="4">
        <v>20</v>
      </c>
      <c r="G799" s="4">
        <v>2.9158527E-2</v>
      </c>
      <c r="H799" s="4">
        <v>3.097773082459554E-2</v>
      </c>
      <c r="I799" s="4">
        <v>7</v>
      </c>
    </row>
    <row r="800" spans="1:9">
      <c r="A800" s="4" t="s">
        <v>3067</v>
      </c>
      <c r="B800" s="4">
        <v>542</v>
      </c>
      <c r="C800" s="4" t="s">
        <v>3062</v>
      </c>
      <c r="D800" s="4">
        <v>6</v>
      </c>
      <c r="E800" s="4">
        <v>8.3908820000000005E-3</v>
      </c>
      <c r="F800" s="4">
        <v>1E-3</v>
      </c>
      <c r="G800" s="4">
        <v>3.5079745000000002E-2</v>
      </c>
      <c r="H800" s="4">
        <v>3.0915567939813392E-2</v>
      </c>
      <c r="I800" s="4">
        <v>7</v>
      </c>
    </row>
    <row r="801" spans="1:9">
      <c r="A801" s="4" t="s">
        <v>3068</v>
      </c>
      <c r="B801" s="4">
        <v>542</v>
      </c>
      <c r="C801" s="4" t="s">
        <v>3062</v>
      </c>
      <c r="D801" s="4">
        <v>7</v>
      </c>
      <c r="E801" s="4">
        <v>8.3908820000000005E-3</v>
      </c>
      <c r="F801" s="4">
        <v>0.1</v>
      </c>
      <c r="G801" s="4">
        <v>3.2420442000000001E-2</v>
      </c>
      <c r="H801" s="4">
        <v>3.0915606536871015E-2</v>
      </c>
      <c r="I801" s="4">
        <v>7</v>
      </c>
    </row>
    <row r="802" spans="1:9">
      <c r="A802" s="4" t="s">
        <v>3069</v>
      </c>
      <c r="B802" s="4">
        <v>542</v>
      </c>
      <c r="C802" s="4" t="s">
        <v>3062</v>
      </c>
      <c r="D802" s="4">
        <v>8</v>
      </c>
      <c r="E802" s="4">
        <v>8.3908820000000005E-3</v>
      </c>
      <c r="F802" s="4">
        <v>1</v>
      </c>
      <c r="G802" s="4">
        <v>2.8897966000000001E-2</v>
      </c>
      <c r="H802" s="4">
        <v>3.0920789961560544E-2</v>
      </c>
      <c r="I802" s="4">
        <v>7</v>
      </c>
    </row>
    <row r="803" spans="1:9">
      <c r="A803" s="4" t="s">
        <v>3070</v>
      </c>
      <c r="B803" s="4">
        <v>542</v>
      </c>
      <c r="C803" s="4" t="s">
        <v>3062</v>
      </c>
      <c r="D803" s="4">
        <v>9</v>
      </c>
      <c r="E803" s="4">
        <v>8.3908820000000005E-3</v>
      </c>
      <c r="F803" s="4">
        <v>10</v>
      </c>
      <c r="G803" s="4">
        <v>1.8494295000000001E-2</v>
      </c>
      <c r="H803" s="4">
        <v>3.0964650248899932E-2</v>
      </c>
      <c r="I803" s="4">
        <v>7</v>
      </c>
    </row>
    <row r="804" spans="1:9">
      <c r="A804" s="4" t="s">
        <v>3071</v>
      </c>
      <c r="B804" s="4">
        <v>542</v>
      </c>
      <c r="C804" s="4" t="s">
        <v>3062</v>
      </c>
      <c r="D804" s="4">
        <v>10</v>
      </c>
      <c r="E804" s="4">
        <v>8.3908820000000005E-3</v>
      </c>
      <c r="F804" s="4">
        <v>20</v>
      </c>
      <c r="G804" s="4">
        <v>2.8522636000000001E-2</v>
      </c>
      <c r="H804" s="4">
        <v>3.097773082459554E-2</v>
      </c>
      <c r="I804" s="4">
        <v>7</v>
      </c>
    </row>
    <row r="805" spans="1:9">
      <c r="A805" s="4" t="s">
        <v>3072</v>
      </c>
      <c r="B805" s="4">
        <v>542</v>
      </c>
      <c r="C805" s="4" t="s">
        <v>3062</v>
      </c>
      <c r="D805" s="4">
        <v>11</v>
      </c>
      <c r="E805" s="4">
        <v>8.3908820000000005E-3</v>
      </c>
      <c r="F805" s="4">
        <v>1E-3</v>
      </c>
      <c r="G805" s="4">
        <v>2.9304332999999998E-2</v>
      </c>
      <c r="H805" s="4">
        <v>3.0915567939813392E-2</v>
      </c>
      <c r="I805" s="4">
        <v>7</v>
      </c>
    </row>
    <row r="806" spans="1:9">
      <c r="A806" s="4" t="s">
        <v>3073</v>
      </c>
      <c r="B806" s="4">
        <v>542</v>
      </c>
      <c r="C806" s="4" t="s">
        <v>3062</v>
      </c>
      <c r="D806" s="4">
        <v>12</v>
      </c>
      <c r="E806" s="4">
        <v>8.3908820000000005E-3</v>
      </c>
      <c r="F806" s="4">
        <v>0.1</v>
      </c>
      <c r="G806" s="4">
        <v>3.4340544000000001E-2</v>
      </c>
      <c r="H806" s="4">
        <v>3.0915606536871015E-2</v>
      </c>
      <c r="I806" s="4">
        <v>7</v>
      </c>
    </row>
    <row r="807" spans="1:9">
      <c r="A807" s="4" t="s">
        <v>3074</v>
      </c>
      <c r="B807" s="4">
        <v>542</v>
      </c>
      <c r="C807" s="4" t="s">
        <v>3062</v>
      </c>
      <c r="D807" s="4">
        <v>13</v>
      </c>
      <c r="E807" s="4">
        <v>8.3908820000000005E-3</v>
      </c>
      <c r="F807" s="4">
        <v>1</v>
      </c>
      <c r="G807" s="4">
        <v>2.7908486E-2</v>
      </c>
      <c r="H807" s="4">
        <v>3.0920789961560544E-2</v>
      </c>
      <c r="I807" s="4">
        <v>7</v>
      </c>
    </row>
    <row r="808" spans="1:9">
      <c r="A808" s="4" t="s">
        <v>3075</v>
      </c>
      <c r="B808" s="4">
        <v>542</v>
      </c>
      <c r="C808" s="4" t="s">
        <v>3062</v>
      </c>
      <c r="D808" s="4">
        <v>14</v>
      </c>
      <c r="E808" s="4">
        <v>8.3908820000000005E-3</v>
      </c>
      <c r="F808" s="4">
        <v>10</v>
      </c>
      <c r="G808" s="4">
        <v>2.0383693000000001E-2</v>
      </c>
      <c r="H808" s="4">
        <v>3.0964650248899932E-2</v>
      </c>
      <c r="I808" s="4">
        <v>7</v>
      </c>
    </row>
    <row r="809" spans="1:9">
      <c r="A809" s="4" t="s">
        <v>3076</v>
      </c>
      <c r="B809" s="4">
        <v>542</v>
      </c>
      <c r="C809" s="4" t="s">
        <v>3062</v>
      </c>
      <c r="D809" s="4">
        <v>15</v>
      </c>
      <c r="E809" s="4">
        <v>8.3908820000000005E-3</v>
      </c>
      <c r="F809" s="4">
        <v>20</v>
      </c>
      <c r="G809" s="4">
        <v>2.8217928999999999E-2</v>
      </c>
      <c r="H809" s="4">
        <v>3.097773082459554E-2</v>
      </c>
      <c r="I809" s="4">
        <v>7</v>
      </c>
    </row>
    <row r="810" spans="1:9">
      <c r="A810" s="4" t="s">
        <v>3077</v>
      </c>
      <c r="B810" s="4">
        <v>542</v>
      </c>
      <c r="C810" s="4" t="s">
        <v>3062</v>
      </c>
      <c r="D810" s="4">
        <v>16</v>
      </c>
      <c r="E810" s="4">
        <v>0.32411113699999999</v>
      </c>
      <c r="F810" s="4">
        <v>1E-3</v>
      </c>
      <c r="G810" s="4">
        <v>4.4529155000000001E-2</v>
      </c>
      <c r="H810" s="4">
        <v>3.2201233314550187E-2</v>
      </c>
      <c r="I810" s="4">
        <v>7</v>
      </c>
    </row>
    <row r="811" spans="1:9">
      <c r="A811" s="4" t="s">
        <v>3078</v>
      </c>
      <c r="B811" s="4">
        <v>542</v>
      </c>
      <c r="C811" s="4" t="s">
        <v>3062</v>
      </c>
      <c r="D811" s="4">
        <v>17</v>
      </c>
      <c r="E811" s="4">
        <v>0.32411113699999999</v>
      </c>
      <c r="F811" s="4">
        <v>0.1</v>
      </c>
      <c r="G811" s="4">
        <v>4.9433440000000002E-2</v>
      </c>
      <c r="H811" s="4">
        <v>3.2258809493072908E-2</v>
      </c>
      <c r="I811" s="4">
        <v>7</v>
      </c>
    </row>
    <row r="812" spans="1:9">
      <c r="A812" s="4" t="s">
        <v>3079</v>
      </c>
      <c r="B812" s="4">
        <v>542</v>
      </c>
      <c r="C812" s="4" t="s">
        <v>3062</v>
      </c>
      <c r="D812" s="4">
        <v>18</v>
      </c>
      <c r="E812" s="4">
        <v>0.32411113699999999</v>
      </c>
      <c r="F812" s="4">
        <v>1</v>
      </c>
      <c r="G812" s="4">
        <v>5.7627261999999999E-2</v>
      </c>
      <c r="H812" s="4">
        <v>3.9986623264030241E-2</v>
      </c>
      <c r="I812" s="4">
        <v>7</v>
      </c>
    </row>
    <row r="813" spans="1:9">
      <c r="A813" s="4" t="s">
        <v>3080</v>
      </c>
      <c r="B813" s="4">
        <v>542</v>
      </c>
      <c r="C813" s="4" t="s">
        <v>3062</v>
      </c>
      <c r="D813" s="4">
        <v>19</v>
      </c>
      <c r="E813" s="4">
        <v>0.32411113699999999</v>
      </c>
      <c r="F813" s="4">
        <v>10</v>
      </c>
      <c r="G813" s="4">
        <v>8.6707127999999994E-2</v>
      </c>
      <c r="H813" s="4">
        <v>0.10502653359067426</v>
      </c>
      <c r="I813" s="4">
        <v>7</v>
      </c>
    </row>
    <row r="814" spans="1:9">
      <c r="A814" s="4" t="s">
        <v>3081</v>
      </c>
      <c r="B814" s="4">
        <v>542</v>
      </c>
      <c r="C814" s="4" t="s">
        <v>3062</v>
      </c>
      <c r="D814" s="4">
        <v>20</v>
      </c>
      <c r="E814" s="4">
        <v>0.32411113699999999</v>
      </c>
      <c r="F814" s="4">
        <v>20</v>
      </c>
      <c r="G814" s="4">
        <v>0.23401976399999999</v>
      </c>
      <c r="H814" s="4">
        <v>0.12430314111597537</v>
      </c>
      <c r="I814" s="4">
        <v>7</v>
      </c>
    </row>
    <row r="815" spans="1:9">
      <c r="A815" s="4" t="s">
        <v>3082</v>
      </c>
      <c r="B815" s="4">
        <v>542</v>
      </c>
      <c r="C815" s="4" t="s">
        <v>3062</v>
      </c>
      <c r="D815" s="4">
        <v>21</v>
      </c>
      <c r="E815" s="4">
        <v>0.32411113699999999</v>
      </c>
      <c r="F815" s="4">
        <v>1E-3</v>
      </c>
      <c r="G815" s="4">
        <v>4.5367757000000002E-2</v>
      </c>
      <c r="H815" s="4">
        <v>3.2201233314550187E-2</v>
      </c>
      <c r="I815" s="4">
        <v>7</v>
      </c>
    </row>
    <row r="816" spans="1:9">
      <c r="A816" s="4" t="s">
        <v>3083</v>
      </c>
      <c r="B816" s="4">
        <v>542</v>
      </c>
      <c r="C816" s="4" t="s">
        <v>3062</v>
      </c>
      <c r="D816" s="4">
        <v>22</v>
      </c>
      <c r="E816" s="4">
        <v>0.32411113699999999</v>
      </c>
      <c r="F816" s="4">
        <v>0.1</v>
      </c>
      <c r="G816" s="4">
        <v>4.4957222999999998E-2</v>
      </c>
      <c r="H816" s="4">
        <v>3.2258809493072908E-2</v>
      </c>
      <c r="I816" s="4">
        <v>7</v>
      </c>
    </row>
    <row r="817" spans="1:9">
      <c r="A817" s="4" t="s">
        <v>3084</v>
      </c>
      <c r="B817" s="4">
        <v>542</v>
      </c>
      <c r="C817" s="4" t="s">
        <v>3062</v>
      </c>
      <c r="D817" s="4">
        <v>23</v>
      </c>
      <c r="E817" s="4">
        <v>0.32411113699999999</v>
      </c>
      <c r="F817" s="4">
        <v>1</v>
      </c>
      <c r="G817" s="4">
        <v>5.9885531999999998E-2</v>
      </c>
      <c r="H817" s="4">
        <v>3.9986623264030241E-2</v>
      </c>
      <c r="I817" s="4">
        <v>7</v>
      </c>
    </row>
    <row r="818" spans="1:9">
      <c r="A818" s="4" t="s">
        <v>3085</v>
      </c>
      <c r="B818" s="4">
        <v>542</v>
      </c>
      <c r="C818" s="4" t="s">
        <v>3062</v>
      </c>
      <c r="D818" s="4">
        <v>24</v>
      </c>
      <c r="E818" s="4">
        <v>0.32411113699999999</v>
      </c>
      <c r="F818" s="4">
        <v>10</v>
      </c>
      <c r="G818" s="4">
        <v>8.4177797999999998E-2</v>
      </c>
      <c r="H818" s="4">
        <v>0.10502653359067426</v>
      </c>
      <c r="I818" s="4">
        <v>7</v>
      </c>
    </row>
    <row r="819" spans="1:9">
      <c r="A819" s="4" t="s">
        <v>3086</v>
      </c>
      <c r="B819" s="4">
        <v>542</v>
      </c>
      <c r="C819" s="4" t="s">
        <v>3062</v>
      </c>
      <c r="D819" s="4">
        <v>25</v>
      </c>
      <c r="E819" s="4">
        <v>0.32411113699999999</v>
      </c>
      <c r="F819" s="4">
        <v>20</v>
      </c>
      <c r="G819" s="4">
        <v>0.24688992000000001</v>
      </c>
      <c r="H819" s="4">
        <v>0.12430314111597537</v>
      </c>
      <c r="I819" s="4">
        <v>7</v>
      </c>
    </row>
    <row r="820" spans="1:9">
      <c r="A820" s="4" t="s">
        <v>3087</v>
      </c>
      <c r="B820" s="4">
        <v>542</v>
      </c>
      <c r="C820" s="4" t="s">
        <v>3062</v>
      </c>
      <c r="D820" s="4">
        <v>26</v>
      </c>
      <c r="E820" s="4">
        <v>0.32411113699999999</v>
      </c>
      <c r="F820" s="4">
        <v>1E-3</v>
      </c>
      <c r="G820" s="4">
        <v>4.3508801E-2</v>
      </c>
      <c r="H820" s="4">
        <v>3.2201233314550187E-2</v>
      </c>
      <c r="I820" s="4">
        <v>7</v>
      </c>
    </row>
    <row r="821" spans="1:9">
      <c r="A821" s="4" t="s">
        <v>3088</v>
      </c>
      <c r="B821" s="4">
        <v>542</v>
      </c>
      <c r="C821" s="4" t="s">
        <v>3062</v>
      </c>
      <c r="D821" s="4">
        <v>27</v>
      </c>
      <c r="E821" s="4">
        <v>0.32411113699999999</v>
      </c>
      <c r="F821" s="4">
        <v>0.1</v>
      </c>
      <c r="G821" s="4">
        <v>4.7640690999999999E-2</v>
      </c>
      <c r="H821" s="4">
        <v>3.2258809493072908E-2</v>
      </c>
      <c r="I821" s="4">
        <v>7</v>
      </c>
    </row>
    <row r="822" spans="1:9">
      <c r="A822" s="4" t="s">
        <v>3089</v>
      </c>
      <c r="B822" s="4">
        <v>542</v>
      </c>
      <c r="C822" s="4" t="s">
        <v>3062</v>
      </c>
      <c r="D822" s="4">
        <v>28</v>
      </c>
      <c r="E822" s="4">
        <v>0.32411113699999999</v>
      </c>
      <c r="F822" s="4">
        <v>1</v>
      </c>
      <c r="G822" s="4">
        <v>6.2831411000000004E-2</v>
      </c>
      <c r="H822" s="4">
        <v>3.9986623264030241E-2</v>
      </c>
      <c r="I822" s="4">
        <v>7</v>
      </c>
    </row>
    <row r="823" spans="1:9">
      <c r="A823" s="4" t="s">
        <v>3090</v>
      </c>
      <c r="B823" s="4">
        <v>542</v>
      </c>
      <c r="C823" s="4" t="s">
        <v>3062</v>
      </c>
      <c r="D823" s="4">
        <v>29</v>
      </c>
      <c r="E823" s="4">
        <v>0.32411113699999999</v>
      </c>
      <c r="F823" s="4">
        <v>10</v>
      </c>
      <c r="G823" s="4">
        <v>7.3232323000000002E-2</v>
      </c>
      <c r="H823" s="4">
        <v>0.10502653359067426</v>
      </c>
      <c r="I823" s="4">
        <v>7</v>
      </c>
    </row>
    <row r="824" spans="1:9">
      <c r="A824" s="4" t="s">
        <v>3091</v>
      </c>
      <c r="B824" s="4">
        <v>542</v>
      </c>
      <c r="C824" s="4" t="s">
        <v>3062</v>
      </c>
      <c r="D824" s="4">
        <v>30</v>
      </c>
      <c r="E824" s="4">
        <v>0.32411113699999999</v>
      </c>
      <c r="F824" s="4">
        <v>20</v>
      </c>
      <c r="G824" s="4">
        <v>0.24201721500000001</v>
      </c>
      <c r="H824" s="4">
        <v>0.12430314111597537</v>
      </c>
      <c r="I824" s="4">
        <v>7</v>
      </c>
    </row>
    <row r="825" spans="1:9">
      <c r="A825" s="4" t="s">
        <v>3092</v>
      </c>
      <c r="B825" s="4">
        <v>542</v>
      </c>
      <c r="C825" s="4" t="s">
        <v>3062</v>
      </c>
      <c r="D825" s="4">
        <v>31</v>
      </c>
      <c r="E825" s="4">
        <v>2.7170036230000001</v>
      </c>
      <c r="F825" s="4">
        <v>1E-3</v>
      </c>
      <c r="G825" s="4">
        <v>8.3161295999999996E-2</v>
      </c>
      <c r="H825" s="4">
        <v>0.12095803064116481</v>
      </c>
      <c r="I825" s="4">
        <v>7</v>
      </c>
    </row>
    <row r="826" spans="1:9">
      <c r="A826" s="4" t="s">
        <v>3093</v>
      </c>
      <c r="B826" s="4">
        <v>542</v>
      </c>
      <c r="C826" s="4" t="s">
        <v>3062</v>
      </c>
      <c r="D826" s="4">
        <v>32</v>
      </c>
      <c r="E826" s="4">
        <v>2.7170036230000001</v>
      </c>
      <c r="F826" s="4">
        <v>0.1</v>
      </c>
      <c r="G826" s="4">
        <v>0.182924537</v>
      </c>
      <c r="H826" s="4">
        <v>0.12497071269036855</v>
      </c>
      <c r="I826" s="4">
        <v>7</v>
      </c>
    </row>
    <row r="827" spans="1:9">
      <c r="A827" s="4" t="s">
        <v>3094</v>
      </c>
      <c r="B827" s="4">
        <v>542</v>
      </c>
      <c r="C827" s="4" t="s">
        <v>3062</v>
      </c>
      <c r="D827" s="4">
        <v>33</v>
      </c>
      <c r="E827" s="4">
        <v>2.7170036230000001</v>
      </c>
      <c r="F827" s="4">
        <v>1</v>
      </c>
      <c r="G827" s="4">
        <v>0.65725591299999997</v>
      </c>
      <c r="H827" s="4">
        <v>0.65059152264902731</v>
      </c>
      <c r="I827" s="4">
        <v>7</v>
      </c>
    </row>
    <row r="828" spans="1:9">
      <c r="A828" s="4" t="s">
        <v>3095</v>
      </c>
      <c r="B828" s="4">
        <v>542</v>
      </c>
      <c r="C828" s="4" t="s">
        <v>3062</v>
      </c>
      <c r="D828" s="4">
        <v>34</v>
      </c>
      <c r="E828" s="4">
        <v>2.7170036230000001</v>
      </c>
      <c r="F828" s="4">
        <v>10</v>
      </c>
      <c r="G828" s="4">
        <v>2.7238875679999999</v>
      </c>
      <c r="H828" s="4">
        <v>4.213661772790644</v>
      </c>
      <c r="I828" s="4">
        <v>7</v>
      </c>
    </row>
    <row r="829" spans="1:9">
      <c r="A829" s="4" t="s">
        <v>3096</v>
      </c>
      <c r="B829" s="4">
        <v>542</v>
      </c>
      <c r="C829" s="4" t="s">
        <v>3062</v>
      </c>
      <c r="D829" s="4">
        <v>35</v>
      </c>
      <c r="E829" s="4">
        <v>2.7170036230000001</v>
      </c>
      <c r="F829" s="4">
        <v>20</v>
      </c>
      <c r="G829" s="4">
        <v>4.2476868019999996</v>
      </c>
      <c r="H829" s="4">
        <v>5.0313667077843789</v>
      </c>
      <c r="I829" s="4">
        <v>7</v>
      </c>
    </row>
    <row r="830" spans="1:9">
      <c r="A830" s="4" t="s">
        <v>3097</v>
      </c>
      <c r="B830" s="4">
        <v>542</v>
      </c>
      <c r="C830" s="4" t="s">
        <v>3062</v>
      </c>
      <c r="D830" s="4">
        <v>36</v>
      </c>
      <c r="E830" s="4">
        <v>2.7170036230000001</v>
      </c>
      <c r="F830" s="4">
        <v>1E-3</v>
      </c>
      <c r="G830" s="4">
        <v>8.1282120999999999E-2</v>
      </c>
      <c r="H830" s="4">
        <v>0.12095803064116481</v>
      </c>
      <c r="I830" s="4">
        <v>7</v>
      </c>
    </row>
    <row r="831" spans="1:9">
      <c r="A831" s="4" t="s">
        <v>3098</v>
      </c>
      <c r="B831" s="4">
        <v>542</v>
      </c>
      <c r="C831" s="4" t="s">
        <v>3062</v>
      </c>
      <c r="D831" s="4">
        <v>37</v>
      </c>
      <c r="E831" s="4">
        <v>2.7170036230000001</v>
      </c>
      <c r="F831" s="4">
        <v>0.1</v>
      </c>
      <c r="G831" s="4">
        <v>0.21440269300000001</v>
      </c>
      <c r="H831" s="4">
        <v>0.12497071269036855</v>
      </c>
      <c r="I831" s="4">
        <v>7</v>
      </c>
    </row>
    <row r="832" spans="1:9">
      <c r="A832" s="4" t="s">
        <v>3099</v>
      </c>
      <c r="B832" s="4">
        <v>542</v>
      </c>
      <c r="C832" s="4" t="s">
        <v>3062</v>
      </c>
      <c r="D832" s="4">
        <v>38</v>
      </c>
      <c r="E832" s="4">
        <v>2.7170036230000001</v>
      </c>
      <c r="F832" s="4">
        <v>1</v>
      </c>
      <c r="G832" s="4">
        <v>0.71233179899999999</v>
      </c>
      <c r="H832" s="4">
        <v>0.65059152264902731</v>
      </c>
      <c r="I832" s="4">
        <v>7</v>
      </c>
    </row>
    <row r="833" spans="1:9">
      <c r="A833" s="4" t="s">
        <v>3100</v>
      </c>
      <c r="B833" s="4">
        <v>542</v>
      </c>
      <c r="C833" s="4" t="s">
        <v>3062</v>
      </c>
      <c r="D833" s="4">
        <v>39</v>
      </c>
      <c r="E833" s="4">
        <v>2.7170036230000001</v>
      </c>
      <c r="F833" s="4">
        <v>10</v>
      </c>
      <c r="G833" s="4">
        <v>2.8058092339999998</v>
      </c>
      <c r="H833" s="4">
        <v>4.213661772790644</v>
      </c>
      <c r="I833" s="4">
        <v>7</v>
      </c>
    </row>
    <row r="834" spans="1:9">
      <c r="A834" s="4" t="s">
        <v>3101</v>
      </c>
      <c r="B834" s="4">
        <v>542</v>
      </c>
      <c r="C834" s="4" t="s">
        <v>3062</v>
      </c>
      <c r="D834" s="4">
        <v>40</v>
      </c>
      <c r="E834" s="4">
        <v>2.7170036230000001</v>
      </c>
      <c r="F834" s="4">
        <v>20</v>
      </c>
      <c r="G834" s="4">
        <v>4.2419423969999999</v>
      </c>
      <c r="H834" s="4">
        <v>5.0313667077843789</v>
      </c>
      <c r="I834" s="4">
        <v>7</v>
      </c>
    </row>
    <row r="835" spans="1:9">
      <c r="A835" s="4" t="s">
        <v>3102</v>
      </c>
      <c r="B835" s="4">
        <v>542</v>
      </c>
      <c r="C835" s="4" t="s">
        <v>3062</v>
      </c>
      <c r="D835" s="4">
        <v>41</v>
      </c>
      <c r="E835" s="4">
        <v>2.7170036230000001</v>
      </c>
      <c r="F835" s="4">
        <v>1E-3</v>
      </c>
      <c r="G835" s="4">
        <v>8.7768656E-2</v>
      </c>
      <c r="H835" s="4">
        <v>0.12095803064116481</v>
      </c>
      <c r="I835" s="4">
        <v>7</v>
      </c>
    </row>
    <row r="836" spans="1:9">
      <c r="A836" s="4" t="s">
        <v>3103</v>
      </c>
      <c r="B836" s="4">
        <v>542</v>
      </c>
      <c r="C836" s="4" t="s">
        <v>3062</v>
      </c>
      <c r="D836" s="4">
        <v>42</v>
      </c>
      <c r="E836" s="4">
        <v>2.7170036230000001</v>
      </c>
      <c r="F836" s="4">
        <v>0.1</v>
      </c>
      <c r="G836" s="4">
        <v>0.189743825</v>
      </c>
      <c r="H836" s="4">
        <v>0.12497071269036855</v>
      </c>
      <c r="I836" s="4">
        <v>7</v>
      </c>
    </row>
    <row r="837" spans="1:9">
      <c r="A837" s="4" t="s">
        <v>3104</v>
      </c>
      <c r="B837" s="4">
        <v>542</v>
      </c>
      <c r="C837" s="4" t="s">
        <v>3062</v>
      </c>
      <c r="D837" s="4">
        <v>43</v>
      </c>
      <c r="E837" s="4">
        <v>2.7170036230000001</v>
      </c>
      <c r="F837" s="4">
        <v>1</v>
      </c>
      <c r="G837" s="4">
        <v>0.53778834900000005</v>
      </c>
      <c r="H837" s="4">
        <v>0.65059152264902731</v>
      </c>
      <c r="I837" s="4">
        <v>7</v>
      </c>
    </row>
    <row r="838" spans="1:9">
      <c r="A838" s="4" t="s">
        <v>3105</v>
      </c>
      <c r="B838" s="4">
        <v>542</v>
      </c>
      <c r="C838" s="4" t="s">
        <v>3062</v>
      </c>
      <c r="D838" s="4">
        <v>44</v>
      </c>
      <c r="E838" s="4">
        <v>2.7170036230000001</v>
      </c>
      <c r="F838" s="4">
        <v>10</v>
      </c>
      <c r="G838" s="4">
        <v>2.6539568939999998</v>
      </c>
      <c r="H838" s="4">
        <v>4.213661772790644</v>
      </c>
      <c r="I838" s="4">
        <v>7</v>
      </c>
    </row>
    <row r="839" spans="1:9">
      <c r="A839" s="4" t="s">
        <v>3106</v>
      </c>
      <c r="B839" s="4">
        <v>542</v>
      </c>
      <c r="C839" s="4" t="s">
        <v>3062</v>
      </c>
      <c r="D839" s="4">
        <v>45</v>
      </c>
      <c r="E839" s="4">
        <v>2.7170036230000001</v>
      </c>
      <c r="F839" s="4">
        <v>20</v>
      </c>
      <c r="G839" s="4">
        <v>4.1497675640000002</v>
      </c>
      <c r="H839" s="4">
        <v>5.0313667077843789</v>
      </c>
      <c r="I839" s="4">
        <v>7</v>
      </c>
    </row>
    <row r="840" spans="1:9">
      <c r="A840" s="4" t="s">
        <v>3107</v>
      </c>
      <c r="B840" s="4">
        <v>548</v>
      </c>
      <c r="C840" s="4" t="s">
        <v>3108</v>
      </c>
      <c r="D840" s="4">
        <v>1</v>
      </c>
      <c r="E840" s="4">
        <v>1.4354824E-2</v>
      </c>
      <c r="F840" s="4">
        <v>0</v>
      </c>
      <c r="G840" s="4">
        <v>5.8028902E-2</v>
      </c>
      <c r="H840" s="4">
        <v>5.7471042361458835E-2</v>
      </c>
      <c r="I840" s="4">
        <v>7</v>
      </c>
    </row>
    <row r="841" spans="1:9">
      <c r="A841" s="4" t="s">
        <v>3109</v>
      </c>
      <c r="B841" s="4">
        <v>548</v>
      </c>
      <c r="C841" s="4" t="s">
        <v>3108</v>
      </c>
      <c r="D841" s="4">
        <v>2</v>
      </c>
      <c r="E841" s="4">
        <v>1.4354824E-2</v>
      </c>
      <c r="F841" s="4">
        <v>0</v>
      </c>
      <c r="G841" s="4">
        <v>5.5123953000000003E-2</v>
      </c>
      <c r="H841" s="4">
        <v>5.7471042361458835E-2</v>
      </c>
      <c r="I841" s="4">
        <v>7</v>
      </c>
    </row>
    <row r="842" spans="1:9">
      <c r="A842" s="4" t="s">
        <v>3110</v>
      </c>
      <c r="B842" s="4">
        <v>548</v>
      </c>
      <c r="C842" s="4" t="s">
        <v>3108</v>
      </c>
      <c r="D842" s="4">
        <v>3</v>
      </c>
      <c r="E842" s="4">
        <v>1.4354824E-2</v>
      </c>
      <c r="F842" s="4">
        <v>0</v>
      </c>
      <c r="G842" s="4">
        <v>5.3650682999999998E-2</v>
      </c>
      <c r="H842" s="4">
        <v>5.7471042361458835E-2</v>
      </c>
      <c r="I842" s="4">
        <v>7</v>
      </c>
    </row>
    <row r="843" spans="1:9">
      <c r="A843" s="4" t="s">
        <v>3111</v>
      </c>
      <c r="B843" s="4">
        <v>548</v>
      </c>
      <c r="C843" s="4" t="s">
        <v>3108</v>
      </c>
      <c r="D843" s="4">
        <v>4</v>
      </c>
      <c r="E843" s="4">
        <v>1.4354824E-2</v>
      </c>
      <c r="F843" s="4">
        <v>100</v>
      </c>
      <c r="G843" s="4">
        <v>0.17648365299999999</v>
      </c>
      <c r="H843" s="4">
        <v>0.174543405353728</v>
      </c>
      <c r="I843" s="4">
        <v>7</v>
      </c>
    </row>
    <row r="844" spans="1:9">
      <c r="A844" s="4" t="s">
        <v>3112</v>
      </c>
      <c r="B844" s="4">
        <v>548</v>
      </c>
      <c r="C844" s="4" t="s">
        <v>3108</v>
      </c>
      <c r="D844" s="4">
        <v>5</v>
      </c>
      <c r="E844" s="4">
        <v>1.4354824E-2</v>
      </c>
      <c r="F844" s="4">
        <v>100</v>
      </c>
      <c r="G844" s="4">
        <v>0.176864575</v>
      </c>
      <c r="H844" s="4">
        <v>0.174543405353728</v>
      </c>
      <c r="I844" s="4">
        <v>7</v>
      </c>
    </row>
    <row r="845" spans="1:9">
      <c r="A845" s="4" t="s">
        <v>3113</v>
      </c>
      <c r="B845" s="4">
        <v>548</v>
      </c>
      <c r="C845" s="4" t="s">
        <v>3108</v>
      </c>
      <c r="D845" s="4">
        <v>6</v>
      </c>
      <c r="E845" s="4">
        <v>1.4354824E-2</v>
      </c>
      <c r="F845" s="4">
        <v>100</v>
      </c>
      <c r="G845" s="4">
        <v>0.19563345100000001</v>
      </c>
      <c r="H845" s="4">
        <v>0.174543405353728</v>
      </c>
      <c r="I845" s="4">
        <v>7</v>
      </c>
    </row>
    <row r="846" spans="1:9">
      <c r="A846" s="4" t="s">
        <v>3114</v>
      </c>
      <c r="B846" s="4">
        <v>548</v>
      </c>
      <c r="C846" s="4" t="s">
        <v>3108</v>
      </c>
      <c r="D846" s="4">
        <v>7</v>
      </c>
      <c r="E846" s="4">
        <v>0.48009342799999999</v>
      </c>
      <c r="F846" s="4">
        <v>0</v>
      </c>
      <c r="G846" s="4">
        <v>5.8032747059999998</v>
      </c>
      <c r="H846" s="4">
        <v>5.5568529643131175</v>
      </c>
      <c r="I846" s="4">
        <v>7</v>
      </c>
    </row>
    <row r="847" spans="1:9">
      <c r="A847" s="4" t="s">
        <v>3115</v>
      </c>
      <c r="B847" s="4">
        <v>548</v>
      </c>
      <c r="C847" s="4" t="s">
        <v>3108</v>
      </c>
      <c r="D847" s="4">
        <v>8</v>
      </c>
      <c r="E847" s="4">
        <v>0.48009342799999999</v>
      </c>
      <c r="F847" s="4">
        <v>0</v>
      </c>
      <c r="G847" s="4">
        <v>5.3917008879999999</v>
      </c>
      <c r="H847" s="4">
        <v>5.5568529643131175</v>
      </c>
      <c r="I847" s="4">
        <v>7</v>
      </c>
    </row>
    <row r="848" spans="1:9">
      <c r="A848" s="4" t="s">
        <v>3116</v>
      </c>
      <c r="B848" s="4">
        <v>548</v>
      </c>
      <c r="C848" s="4" t="s">
        <v>3108</v>
      </c>
      <c r="D848" s="4">
        <v>9</v>
      </c>
      <c r="E848" s="4">
        <v>0.48009342799999999</v>
      </c>
      <c r="F848" s="4">
        <v>0</v>
      </c>
      <c r="G848" s="4">
        <v>5.5940561420000003</v>
      </c>
      <c r="H848" s="4">
        <v>5.5568529643131175</v>
      </c>
      <c r="I848" s="4">
        <v>7</v>
      </c>
    </row>
    <row r="849" spans="1:9">
      <c r="A849" s="4" t="s">
        <v>3117</v>
      </c>
      <c r="B849" s="4">
        <v>548</v>
      </c>
      <c r="C849" s="4" t="s">
        <v>3108</v>
      </c>
      <c r="D849" s="4">
        <v>10</v>
      </c>
      <c r="E849" s="4">
        <v>0.48009342799999999</v>
      </c>
      <c r="F849" s="4">
        <v>100</v>
      </c>
      <c r="G849" s="4">
        <v>5.2837902149999998</v>
      </c>
      <c r="H849" s="4">
        <v>13.286829885846322</v>
      </c>
      <c r="I849" s="4">
        <v>7</v>
      </c>
    </row>
    <row r="850" spans="1:9">
      <c r="A850" s="4" t="s">
        <v>3118</v>
      </c>
      <c r="B850" s="4">
        <v>548</v>
      </c>
      <c r="C850" s="4" t="s">
        <v>3108</v>
      </c>
      <c r="D850" s="4">
        <v>11</v>
      </c>
      <c r="E850" s="4">
        <v>0.48009342799999999</v>
      </c>
      <c r="F850" s="4">
        <v>100</v>
      </c>
      <c r="G850" s="4">
        <v>5.4833826759999997</v>
      </c>
      <c r="H850" s="4">
        <v>13.286829885846322</v>
      </c>
      <c r="I850" s="4">
        <v>7</v>
      </c>
    </row>
    <row r="851" spans="1:9">
      <c r="A851" s="4" t="s">
        <v>3119</v>
      </c>
      <c r="B851" s="4">
        <v>548</v>
      </c>
      <c r="C851" s="4" t="s">
        <v>3108</v>
      </c>
      <c r="D851" s="4">
        <v>12</v>
      </c>
      <c r="E851" s="4">
        <v>0.48009342799999999</v>
      </c>
      <c r="F851" s="4">
        <v>100</v>
      </c>
      <c r="G851" s="4">
        <v>6.0265772719999999</v>
      </c>
      <c r="H851" s="4">
        <v>13.286829885846322</v>
      </c>
      <c r="I851" s="4">
        <v>7</v>
      </c>
    </row>
    <row r="852" spans="1:9">
      <c r="A852" s="4" t="s">
        <v>3120</v>
      </c>
      <c r="B852" s="4">
        <v>548</v>
      </c>
      <c r="C852" s="4" t="s">
        <v>3108</v>
      </c>
      <c r="D852" s="4">
        <v>13</v>
      </c>
      <c r="E852" s="4">
        <v>3.315980707</v>
      </c>
      <c r="F852" s="4">
        <v>0</v>
      </c>
      <c r="G852" s="4">
        <v>4.7857478560000004</v>
      </c>
      <c r="H852" s="4">
        <v>13.60852533601591</v>
      </c>
      <c r="I852" s="4">
        <v>7</v>
      </c>
    </row>
    <row r="853" spans="1:9">
      <c r="A853" s="4" t="s">
        <v>3121</v>
      </c>
      <c r="B853" s="4">
        <v>548</v>
      </c>
      <c r="C853" s="4" t="s">
        <v>3108</v>
      </c>
      <c r="D853" s="4">
        <v>14</v>
      </c>
      <c r="E853" s="4">
        <v>3.315980707</v>
      </c>
      <c r="F853" s="4">
        <v>0</v>
      </c>
      <c r="G853" s="4">
        <v>4.854189012</v>
      </c>
      <c r="H853" s="4">
        <v>13.60852533601591</v>
      </c>
      <c r="I853" s="4">
        <v>7</v>
      </c>
    </row>
    <row r="854" spans="1:9">
      <c r="A854" s="4" t="s">
        <v>3122</v>
      </c>
      <c r="B854" s="4">
        <v>548</v>
      </c>
      <c r="C854" s="4" t="s">
        <v>3108</v>
      </c>
      <c r="D854" s="4">
        <v>15</v>
      </c>
      <c r="E854" s="4">
        <v>3.315980707</v>
      </c>
      <c r="F854" s="4">
        <v>0</v>
      </c>
      <c r="G854" s="4">
        <v>4.9012912980000003</v>
      </c>
      <c r="H854" s="4">
        <v>13.60852533601591</v>
      </c>
      <c r="I854" s="4">
        <v>7</v>
      </c>
    </row>
    <row r="855" spans="1:9">
      <c r="A855" s="4" t="s">
        <v>3123</v>
      </c>
      <c r="B855" s="4">
        <v>548</v>
      </c>
      <c r="C855" s="4" t="s">
        <v>3108</v>
      </c>
      <c r="D855" s="4">
        <v>16</v>
      </c>
      <c r="E855" s="4">
        <v>3.315980707</v>
      </c>
      <c r="F855" s="4">
        <v>100</v>
      </c>
      <c r="G855" s="4">
        <v>5.2856870960000002</v>
      </c>
      <c r="H855" s="4">
        <v>13.609999130069875</v>
      </c>
      <c r="I855" s="4">
        <v>7</v>
      </c>
    </row>
    <row r="856" spans="1:9">
      <c r="A856" s="4" t="s">
        <v>3124</v>
      </c>
      <c r="B856" s="4">
        <v>548</v>
      </c>
      <c r="C856" s="4" t="s">
        <v>3108</v>
      </c>
      <c r="D856" s="4">
        <v>17</v>
      </c>
      <c r="E856" s="4">
        <v>3.315980707</v>
      </c>
      <c r="F856" s="4">
        <v>100</v>
      </c>
      <c r="G856" s="4">
        <v>5.6721937179999999</v>
      </c>
      <c r="H856" s="4">
        <v>13.609999130069875</v>
      </c>
      <c r="I856" s="4">
        <v>7</v>
      </c>
    </row>
    <row r="857" spans="1:9">
      <c r="A857" s="4" t="s">
        <v>3125</v>
      </c>
      <c r="B857" s="4">
        <v>548</v>
      </c>
      <c r="C857" s="4" t="s">
        <v>3108</v>
      </c>
      <c r="D857" s="4">
        <v>18</v>
      </c>
      <c r="E857" s="4">
        <v>3.315980707</v>
      </c>
      <c r="F857" s="4">
        <v>100</v>
      </c>
      <c r="G857" s="4">
        <v>5.4880510149999999</v>
      </c>
      <c r="H857" s="4">
        <v>13.609999130069875</v>
      </c>
      <c r="I857" s="4">
        <v>7</v>
      </c>
    </row>
    <row r="858" spans="1:9">
      <c r="A858" s="4" t="s">
        <v>3126</v>
      </c>
      <c r="B858" s="4">
        <v>549</v>
      </c>
      <c r="C858" s="4" t="s">
        <v>3127</v>
      </c>
      <c r="D858" s="4">
        <v>1</v>
      </c>
      <c r="E858" s="4">
        <v>1.4354824E-2</v>
      </c>
      <c r="F858" s="4">
        <v>0</v>
      </c>
      <c r="G858" s="4">
        <v>0.111972185</v>
      </c>
      <c r="H858" s="4">
        <v>6.1340072891860366E-2</v>
      </c>
      <c r="I858" s="4">
        <v>7</v>
      </c>
    </row>
    <row r="859" spans="1:9">
      <c r="A859" s="4" t="s">
        <v>3128</v>
      </c>
      <c r="B859" s="4">
        <v>549</v>
      </c>
      <c r="C859" s="4" t="s">
        <v>3127</v>
      </c>
      <c r="D859" s="4">
        <v>2</v>
      </c>
      <c r="E859" s="4">
        <v>1.4354824E-2</v>
      </c>
      <c r="F859" s="4">
        <v>0</v>
      </c>
      <c r="G859" s="4">
        <v>0.103110126</v>
      </c>
      <c r="H859" s="4">
        <v>6.1340072891860366E-2</v>
      </c>
      <c r="I859" s="4">
        <v>7</v>
      </c>
    </row>
    <row r="860" spans="1:9">
      <c r="A860" s="4" t="s">
        <v>3129</v>
      </c>
      <c r="B860" s="4">
        <v>549</v>
      </c>
      <c r="C860" s="4" t="s">
        <v>3127</v>
      </c>
      <c r="D860" s="4">
        <v>3</v>
      </c>
      <c r="E860" s="4">
        <v>1.4354824E-2</v>
      </c>
      <c r="F860" s="4">
        <v>0</v>
      </c>
      <c r="G860" s="4">
        <v>9.1099950999999998E-2</v>
      </c>
      <c r="H860" s="4">
        <v>6.1340072891860366E-2</v>
      </c>
      <c r="I860" s="4">
        <v>7</v>
      </c>
    </row>
    <row r="861" spans="1:9">
      <c r="A861" s="4" t="s">
        <v>3130</v>
      </c>
      <c r="B861" s="4">
        <v>549</v>
      </c>
      <c r="C861" s="4" t="s">
        <v>3127</v>
      </c>
      <c r="D861" s="4">
        <v>4</v>
      </c>
      <c r="E861" s="4">
        <v>1.4354824E-2</v>
      </c>
      <c r="F861" s="4">
        <v>10</v>
      </c>
      <c r="G861" s="4">
        <v>0.123254277</v>
      </c>
      <c r="H861" s="4">
        <v>0.15683322679867925</v>
      </c>
      <c r="I861" s="4">
        <v>7</v>
      </c>
    </row>
    <row r="862" spans="1:9">
      <c r="A862" s="4" t="s">
        <v>3131</v>
      </c>
      <c r="B862" s="4">
        <v>549</v>
      </c>
      <c r="C862" s="4" t="s">
        <v>3127</v>
      </c>
      <c r="D862" s="4">
        <v>5</v>
      </c>
      <c r="E862" s="4">
        <v>1.4354824E-2</v>
      </c>
      <c r="F862" s="4">
        <v>10</v>
      </c>
      <c r="G862" s="4">
        <v>0.121618236</v>
      </c>
      <c r="H862" s="4">
        <v>0.15683322679867925</v>
      </c>
      <c r="I862" s="4">
        <v>7</v>
      </c>
    </row>
    <row r="863" spans="1:9">
      <c r="A863" s="4" t="s">
        <v>3132</v>
      </c>
      <c r="B863" s="4">
        <v>549</v>
      </c>
      <c r="C863" s="4" t="s">
        <v>3127</v>
      </c>
      <c r="D863" s="4">
        <v>6</v>
      </c>
      <c r="E863" s="4">
        <v>1.4354824E-2</v>
      </c>
      <c r="F863" s="4">
        <v>10</v>
      </c>
      <c r="G863" s="4">
        <v>0.14433939600000001</v>
      </c>
      <c r="H863" s="4">
        <v>0.15683322679867925</v>
      </c>
      <c r="I863" s="4">
        <v>7</v>
      </c>
    </row>
    <row r="864" spans="1:9">
      <c r="A864" s="4" t="s">
        <v>3133</v>
      </c>
      <c r="B864" s="4">
        <v>549</v>
      </c>
      <c r="C864" s="4" t="s">
        <v>3127</v>
      </c>
      <c r="D864" s="4">
        <v>7</v>
      </c>
      <c r="E864" s="4">
        <v>0.48009342799999999</v>
      </c>
      <c r="F864" s="4">
        <v>0</v>
      </c>
      <c r="G864" s="4">
        <v>0.638193644</v>
      </c>
      <c r="H864" s="4">
        <v>0.56227706609001737</v>
      </c>
      <c r="I864" s="4">
        <v>7</v>
      </c>
    </row>
    <row r="865" spans="1:9">
      <c r="A865" s="4" t="s">
        <v>3134</v>
      </c>
      <c r="B865" s="4">
        <v>549</v>
      </c>
      <c r="C865" s="4" t="s">
        <v>3127</v>
      </c>
      <c r="D865" s="4">
        <v>8</v>
      </c>
      <c r="E865" s="4">
        <v>0.48009342799999999</v>
      </c>
      <c r="F865" s="4">
        <v>0</v>
      </c>
      <c r="G865" s="4">
        <v>0.66618461299999998</v>
      </c>
      <c r="H865" s="4">
        <v>0.56227706609001737</v>
      </c>
      <c r="I865" s="4">
        <v>7</v>
      </c>
    </row>
    <row r="866" spans="1:9">
      <c r="A866" s="4" t="s">
        <v>3135</v>
      </c>
      <c r="B866" s="4">
        <v>549</v>
      </c>
      <c r="C866" s="4" t="s">
        <v>3127</v>
      </c>
      <c r="D866" s="4">
        <v>9</v>
      </c>
      <c r="E866" s="4">
        <v>0.48009342799999999</v>
      </c>
      <c r="F866" s="4">
        <v>0</v>
      </c>
      <c r="G866" s="4">
        <v>0.65396095499999995</v>
      </c>
      <c r="H866" s="4">
        <v>0.56227706609001737</v>
      </c>
      <c r="I866" s="4">
        <v>7</v>
      </c>
    </row>
    <row r="867" spans="1:9">
      <c r="A867" s="4" t="s">
        <v>3136</v>
      </c>
      <c r="B867" s="4">
        <v>549</v>
      </c>
      <c r="C867" s="4" t="s">
        <v>3127</v>
      </c>
      <c r="D867" s="4">
        <v>10</v>
      </c>
      <c r="E867" s="4">
        <v>0.48009342799999999</v>
      </c>
      <c r="F867" s="4">
        <v>10</v>
      </c>
      <c r="G867" s="4">
        <v>6.8149911000000003</v>
      </c>
      <c r="H867" s="4">
        <v>2.9395862147896104</v>
      </c>
      <c r="I867" s="4">
        <v>7</v>
      </c>
    </row>
    <row r="868" spans="1:9">
      <c r="A868" s="4" t="s">
        <v>3137</v>
      </c>
      <c r="B868" s="4">
        <v>549</v>
      </c>
      <c r="C868" s="4" t="s">
        <v>3127</v>
      </c>
      <c r="D868" s="4">
        <v>11</v>
      </c>
      <c r="E868" s="4">
        <v>0.48009342799999999</v>
      </c>
      <c r="F868" s="4">
        <v>10</v>
      </c>
      <c r="G868" s="4">
        <v>6.9455884619999999</v>
      </c>
      <c r="H868" s="4">
        <v>2.9395862147896104</v>
      </c>
      <c r="I868" s="4">
        <v>7</v>
      </c>
    </row>
    <row r="869" spans="1:9">
      <c r="A869" s="4" t="s">
        <v>3138</v>
      </c>
      <c r="B869" s="4">
        <v>549</v>
      </c>
      <c r="C869" s="4" t="s">
        <v>3127</v>
      </c>
      <c r="D869" s="4">
        <v>12</v>
      </c>
      <c r="E869" s="4">
        <v>0.48009342799999999</v>
      </c>
      <c r="F869" s="4">
        <v>10</v>
      </c>
      <c r="G869" s="4">
        <v>6.9215663669999996</v>
      </c>
      <c r="H869" s="4">
        <v>2.9395862147896104</v>
      </c>
      <c r="I869" s="4">
        <v>7</v>
      </c>
    </row>
    <row r="870" spans="1:9">
      <c r="A870" s="4" t="s">
        <v>3139</v>
      </c>
      <c r="B870" s="4">
        <v>549</v>
      </c>
      <c r="C870" s="4" t="s">
        <v>3127</v>
      </c>
      <c r="D870" s="4">
        <v>13</v>
      </c>
      <c r="E870" s="4">
        <v>3.315980707</v>
      </c>
      <c r="F870" s="4">
        <v>0</v>
      </c>
      <c r="G870" s="4">
        <v>4.4981256619999996</v>
      </c>
      <c r="H870" s="4">
        <v>7.0286244338249615</v>
      </c>
      <c r="I870" s="4">
        <v>7</v>
      </c>
    </row>
    <row r="871" spans="1:9">
      <c r="A871" s="4" t="s">
        <v>3140</v>
      </c>
      <c r="B871" s="4">
        <v>549</v>
      </c>
      <c r="C871" s="4" t="s">
        <v>3127</v>
      </c>
      <c r="D871" s="4">
        <v>14</v>
      </c>
      <c r="E871" s="4">
        <v>3.315980707</v>
      </c>
      <c r="F871" s="4">
        <v>0</v>
      </c>
      <c r="G871" s="4">
        <v>4.6481557709999999</v>
      </c>
      <c r="H871" s="4">
        <v>7.0286244338249615</v>
      </c>
      <c r="I871" s="4">
        <v>7</v>
      </c>
    </row>
    <row r="872" spans="1:9">
      <c r="A872" s="4" t="s">
        <v>3141</v>
      </c>
      <c r="B872" s="4">
        <v>549</v>
      </c>
      <c r="C872" s="4" t="s">
        <v>3127</v>
      </c>
      <c r="D872" s="4">
        <v>15</v>
      </c>
      <c r="E872" s="4">
        <v>3.315980707</v>
      </c>
      <c r="F872" s="4">
        <v>0</v>
      </c>
      <c r="G872" s="4">
        <v>4.8062884429999997</v>
      </c>
      <c r="H872" s="4">
        <v>7.0286244338249615</v>
      </c>
      <c r="I872" s="4">
        <v>7</v>
      </c>
    </row>
    <row r="873" spans="1:9">
      <c r="A873" s="4" t="s">
        <v>3142</v>
      </c>
      <c r="B873" s="4">
        <v>549</v>
      </c>
      <c r="C873" s="4" t="s">
        <v>3127</v>
      </c>
      <c r="D873" s="4">
        <v>16</v>
      </c>
      <c r="E873" s="4">
        <v>3.315980707</v>
      </c>
      <c r="F873" s="4">
        <v>10</v>
      </c>
      <c r="G873" s="4">
        <v>7.75609473</v>
      </c>
      <c r="H873" s="4">
        <v>10.610334732311692</v>
      </c>
      <c r="I873" s="4">
        <v>7</v>
      </c>
    </row>
    <row r="874" spans="1:9">
      <c r="A874" s="4" t="s">
        <v>3143</v>
      </c>
      <c r="B874" s="4">
        <v>549</v>
      </c>
      <c r="C874" s="4" t="s">
        <v>3127</v>
      </c>
      <c r="D874" s="4">
        <v>17</v>
      </c>
      <c r="E874" s="4">
        <v>3.315980707</v>
      </c>
      <c r="F874" s="4">
        <v>10</v>
      </c>
      <c r="G874" s="4">
        <v>7.6495305699999996</v>
      </c>
      <c r="H874" s="4">
        <v>10.610334732311692</v>
      </c>
      <c r="I874" s="4">
        <v>7</v>
      </c>
    </row>
    <row r="875" spans="1:9">
      <c r="A875" s="4" t="s">
        <v>3144</v>
      </c>
      <c r="B875" s="4">
        <v>549</v>
      </c>
      <c r="C875" s="4" t="s">
        <v>3127</v>
      </c>
      <c r="D875" s="4">
        <v>18</v>
      </c>
      <c r="E875" s="4">
        <v>3.315980707</v>
      </c>
      <c r="F875" s="4">
        <v>10</v>
      </c>
      <c r="G875" s="4">
        <v>7.7896779650000001</v>
      </c>
      <c r="H875" s="4">
        <v>10.610334732311692</v>
      </c>
      <c r="I875" s="4">
        <v>7</v>
      </c>
    </row>
    <row r="876" spans="1:9">
      <c r="A876" s="4" t="s">
        <v>3145</v>
      </c>
      <c r="B876" s="4">
        <v>550</v>
      </c>
      <c r="C876" s="4" t="s">
        <v>3146</v>
      </c>
      <c r="D876" s="4">
        <v>1</v>
      </c>
      <c r="E876" s="4">
        <v>1.4354824E-2</v>
      </c>
      <c r="F876" s="4">
        <v>0</v>
      </c>
      <c r="G876" s="4">
        <v>6.7601832000000001E-2</v>
      </c>
      <c r="H876" s="4">
        <v>0.1463539621635368</v>
      </c>
      <c r="I876" s="4">
        <v>7</v>
      </c>
    </row>
    <row r="877" spans="1:9">
      <c r="A877" s="4" t="s">
        <v>3147</v>
      </c>
      <c r="B877" s="4">
        <v>550</v>
      </c>
      <c r="C877" s="4" t="s">
        <v>3146</v>
      </c>
      <c r="D877" s="4">
        <v>2</v>
      </c>
      <c r="E877" s="4">
        <v>1.4354824E-2</v>
      </c>
      <c r="F877" s="4">
        <v>0</v>
      </c>
      <c r="G877" s="4">
        <v>8.3886371000000001E-2</v>
      </c>
      <c r="H877" s="4">
        <v>0.1463539621635368</v>
      </c>
      <c r="I877" s="4">
        <v>7</v>
      </c>
    </row>
    <row r="878" spans="1:9">
      <c r="A878" s="4" t="s">
        <v>3148</v>
      </c>
      <c r="B878" s="4">
        <v>550</v>
      </c>
      <c r="C878" s="4" t="s">
        <v>3146</v>
      </c>
      <c r="D878" s="4">
        <v>3</v>
      </c>
      <c r="E878" s="4">
        <v>1.4354824E-2</v>
      </c>
      <c r="F878" s="4">
        <v>0</v>
      </c>
      <c r="G878" s="4">
        <v>9.8183426000000004E-2</v>
      </c>
      <c r="H878" s="4">
        <v>0.1463539621635368</v>
      </c>
      <c r="I878" s="4">
        <v>7</v>
      </c>
    </row>
    <row r="879" spans="1:9">
      <c r="A879" s="4" t="s">
        <v>3149</v>
      </c>
      <c r="B879" s="4">
        <v>550</v>
      </c>
      <c r="C879" s="4" t="s">
        <v>3146</v>
      </c>
      <c r="D879" s="4">
        <v>4</v>
      </c>
      <c r="E879" s="4">
        <v>1.4354824E-2</v>
      </c>
      <c r="F879" s="4">
        <v>10</v>
      </c>
      <c r="G879" s="4">
        <v>0.13455446300000001</v>
      </c>
      <c r="H879" s="4">
        <v>0.14727040235114899</v>
      </c>
      <c r="I879" s="4">
        <v>7</v>
      </c>
    </row>
    <row r="880" spans="1:9">
      <c r="A880" s="4" t="s">
        <v>3150</v>
      </c>
      <c r="B880" s="4">
        <v>550</v>
      </c>
      <c r="C880" s="4" t="s">
        <v>3146</v>
      </c>
      <c r="D880" s="4">
        <v>5</v>
      </c>
      <c r="E880" s="4">
        <v>1.4354824E-2</v>
      </c>
      <c r="F880" s="4">
        <v>10</v>
      </c>
      <c r="G880" s="4">
        <v>0.126028849</v>
      </c>
      <c r="H880" s="4">
        <v>0.14727040235114899</v>
      </c>
      <c r="I880" s="4">
        <v>7</v>
      </c>
    </row>
    <row r="881" spans="1:9">
      <c r="A881" s="4" t="s">
        <v>3151</v>
      </c>
      <c r="B881" s="4">
        <v>550</v>
      </c>
      <c r="C881" s="4" t="s">
        <v>3146</v>
      </c>
      <c r="D881" s="4">
        <v>6</v>
      </c>
      <c r="E881" s="4">
        <v>1.4354824E-2</v>
      </c>
      <c r="F881" s="4">
        <v>10</v>
      </c>
      <c r="G881" s="4">
        <v>0.14353817799999999</v>
      </c>
      <c r="H881" s="4">
        <v>0.14727040235114899</v>
      </c>
      <c r="I881" s="4">
        <v>7</v>
      </c>
    </row>
    <row r="882" spans="1:9">
      <c r="A882" s="4" t="s">
        <v>3152</v>
      </c>
      <c r="B882" s="4">
        <v>550</v>
      </c>
      <c r="C882" s="4" t="s">
        <v>3146</v>
      </c>
      <c r="D882" s="4">
        <v>7</v>
      </c>
      <c r="E882" s="4">
        <v>0.48009342799999999</v>
      </c>
      <c r="F882" s="4">
        <v>0</v>
      </c>
      <c r="G882" s="4">
        <v>9.3417841000000001E-2</v>
      </c>
      <c r="H882" s="4">
        <v>0.14635397648365289</v>
      </c>
      <c r="I882" s="4">
        <v>7</v>
      </c>
    </row>
    <row r="883" spans="1:9">
      <c r="A883" s="4" t="s">
        <v>3153</v>
      </c>
      <c r="B883" s="4">
        <v>550</v>
      </c>
      <c r="C883" s="4" t="s">
        <v>3146</v>
      </c>
      <c r="D883" s="4">
        <v>8</v>
      </c>
      <c r="E883" s="4">
        <v>0.48009342799999999</v>
      </c>
      <c r="F883" s="4">
        <v>0</v>
      </c>
      <c r="G883" s="4">
        <v>8.1863062E-2</v>
      </c>
      <c r="H883" s="4">
        <v>0.14635397648365289</v>
      </c>
      <c r="I883" s="4">
        <v>7</v>
      </c>
    </row>
    <row r="884" spans="1:9">
      <c r="A884" s="4" t="s">
        <v>3154</v>
      </c>
      <c r="B884" s="4">
        <v>550</v>
      </c>
      <c r="C884" s="4" t="s">
        <v>3146</v>
      </c>
      <c r="D884" s="4">
        <v>9</v>
      </c>
      <c r="E884" s="4">
        <v>0.48009342799999999</v>
      </c>
      <c r="F884" s="4">
        <v>0</v>
      </c>
      <c r="G884" s="4">
        <v>7.8225358999999994E-2</v>
      </c>
      <c r="H884" s="4">
        <v>0.14635397648365289</v>
      </c>
      <c r="I884" s="4">
        <v>7</v>
      </c>
    </row>
    <row r="885" spans="1:9">
      <c r="A885" s="4" t="s">
        <v>3155</v>
      </c>
      <c r="B885" s="4">
        <v>550</v>
      </c>
      <c r="C885" s="4" t="s">
        <v>3146</v>
      </c>
      <c r="D885" s="4">
        <v>10</v>
      </c>
      <c r="E885" s="4">
        <v>0.48009342799999999</v>
      </c>
      <c r="F885" s="4">
        <v>10</v>
      </c>
      <c r="G885" s="4">
        <v>1.322960505</v>
      </c>
      <c r="H885" s="4">
        <v>1.1280685871758158</v>
      </c>
      <c r="I885" s="4">
        <v>7</v>
      </c>
    </row>
    <row r="886" spans="1:9">
      <c r="A886" s="4" t="s">
        <v>3156</v>
      </c>
      <c r="B886" s="4">
        <v>550</v>
      </c>
      <c r="C886" s="4" t="s">
        <v>3146</v>
      </c>
      <c r="D886" s="4">
        <v>11</v>
      </c>
      <c r="E886" s="4">
        <v>0.48009342799999999</v>
      </c>
      <c r="F886" s="4">
        <v>10</v>
      </c>
      <c r="G886" s="4">
        <v>1.198088093</v>
      </c>
      <c r="H886" s="4">
        <v>1.1280685871758158</v>
      </c>
      <c r="I886" s="4">
        <v>7</v>
      </c>
    </row>
    <row r="887" spans="1:9">
      <c r="A887" s="4" t="s">
        <v>3157</v>
      </c>
      <c r="B887" s="4">
        <v>550</v>
      </c>
      <c r="C887" s="4" t="s">
        <v>3146</v>
      </c>
      <c r="D887" s="4">
        <v>12</v>
      </c>
      <c r="E887" s="4">
        <v>0.48009342799999999</v>
      </c>
      <c r="F887" s="4">
        <v>10</v>
      </c>
      <c r="G887" s="4">
        <v>1.2588334269999999</v>
      </c>
      <c r="H887" s="4">
        <v>1.1280685871758158</v>
      </c>
      <c r="I887" s="4">
        <v>7</v>
      </c>
    </row>
    <row r="888" spans="1:9">
      <c r="A888" s="4" t="s">
        <v>3158</v>
      </c>
      <c r="B888" s="4">
        <v>550</v>
      </c>
      <c r="C888" s="4" t="s">
        <v>3146</v>
      </c>
      <c r="D888" s="4">
        <v>13</v>
      </c>
      <c r="E888" s="4">
        <v>3.315980707</v>
      </c>
      <c r="F888" s="4">
        <v>0</v>
      </c>
      <c r="G888" s="4">
        <v>5.8167297999999999E-2</v>
      </c>
      <c r="H888" s="4">
        <v>0.14635464590660779</v>
      </c>
      <c r="I888" s="4">
        <v>7</v>
      </c>
    </row>
    <row r="889" spans="1:9">
      <c r="A889" s="4" t="s">
        <v>3159</v>
      </c>
      <c r="B889" s="4">
        <v>550</v>
      </c>
      <c r="C889" s="4" t="s">
        <v>3146</v>
      </c>
      <c r="D889" s="4">
        <v>14</v>
      </c>
      <c r="E889" s="4">
        <v>3.315980707</v>
      </c>
      <c r="F889" s="4">
        <v>0</v>
      </c>
      <c r="G889" s="4">
        <v>5.3000561000000002E-2</v>
      </c>
      <c r="H889" s="4">
        <v>0.14635464590660779</v>
      </c>
      <c r="I889" s="4">
        <v>7</v>
      </c>
    </row>
    <row r="890" spans="1:9">
      <c r="A890" s="4" t="s">
        <v>3160</v>
      </c>
      <c r="B890" s="4">
        <v>550</v>
      </c>
      <c r="C890" s="4" t="s">
        <v>3146</v>
      </c>
      <c r="D890" s="4">
        <v>15</v>
      </c>
      <c r="E890" s="4">
        <v>3.315980707</v>
      </c>
      <c r="F890" s="4">
        <v>0</v>
      </c>
      <c r="G890" s="4">
        <v>6.0011331000000001E-2</v>
      </c>
      <c r="H890" s="4">
        <v>0.14635464590660779</v>
      </c>
      <c r="I890" s="4">
        <v>7</v>
      </c>
    </row>
    <row r="891" spans="1:9">
      <c r="A891" s="4" t="s">
        <v>3161</v>
      </c>
      <c r="B891" s="4">
        <v>550</v>
      </c>
      <c r="C891" s="4" t="s">
        <v>3146</v>
      </c>
      <c r="D891" s="4">
        <v>16</v>
      </c>
      <c r="E891" s="4">
        <v>3.315980707</v>
      </c>
      <c r="F891" s="4">
        <v>10</v>
      </c>
      <c r="G891" s="4">
        <v>6.5708526269999998</v>
      </c>
      <c r="H891" s="4">
        <v>12.885216958802197</v>
      </c>
      <c r="I891" s="4">
        <v>7</v>
      </c>
    </row>
    <row r="892" spans="1:9">
      <c r="A892" s="4" t="s">
        <v>3162</v>
      </c>
      <c r="B892" s="4">
        <v>550</v>
      </c>
      <c r="C892" s="4" t="s">
        <v>3146</v>
      </c>
      <c r="D892" s="4">
        <v>17</v>
      </c>
      <c r="E892" s="4">
        <v>3.315980707</v>
      </c>
      <c r="F892" s="4">
        <v>10</v>
      </c>
      <c r="G892" s="4">
        <v>6.3832284609999999</v>
      </c>
      <c r="H892" s="4">
        <v>12.885216958802197</v>
      </c>
      <c r="I892" s="4">
        <v>7</v>
      </c>
    </row>
    <row r="893" spans="1:9">
      <c r="A893" s="4" t="s">
        <v>3163</v>
      </c>
      <c r="B893" s="4">
        <v>550</v>
      </c>
      <c r="C893" s="4" t="s">
        <v>3146</v>
      </c>
      <c r="D893" s="4">
        <v>18</v>
      </c>
      <c r="E893" s="4">
        <v>3.315980707</v>
      </c>
      <c r="F893" s="4">
        <v>10</v>
      </c>
      <c r="G893" s="4">
        <v>6.677274927</v>
      </c>
      <c r="H893" s="4">
        <v>12.885216958802197</v>
      </c>
      <c r="I893" s="4">
        <v>7</v>
      </c>
    </row>
    <row r="894" spans="1:9">
      <c r="A894" s="4" t="s">
        <v>3164</v>
      </c>
      <c r="B894" s="4">
        <v>552</v>
      </c>
      <c r="C894" s="4" t="s">
        <v>3165</v>
      </c>
      <c r="D894" s="4">
        <v>1</v>
      </c>
      <c r="E894" s="4">
        <v>1.4354824E-2</v>
      </c>
      <c r="F894" s="4">
        <v>0.1</v>
      </c>
      <c r="G894" s="4">
        <v>0.118580002</v>
      </c>
      <c r="H894" s="4">
        <v>7.5710989327485323E-2</v>
      </c>
      <c r="I894" s="4">
        <v>7</v>
      </c>
    </row>
    <row r="895" spans="1:9">
      <c r="A895" s="4" t="s">
        <v>3166</v>
      </c>
      <c r="B895" s="4">
        <v>552</v>
      </c>
      <c r="C895" s="4" t="s">
        <v>3165</v>
      </c>
      <c r="D895" s="4">
        <v>2</v>
      </c>
      <c r="E895" s="4">
        <v>1.4354824E-2</v>
      </c>
      <c r="F895" s="4">
        <v>0.1</v>
      </c>
      <c r="G895" s="4">
        <v>0.11698011</v>
      </c>
      <c r="H895" s="4">
        <v>7.5710989327485323E-2</v>
      </c>
      <c r="I895" s="4">
        <v>7</v>
      </c>
    </row>
    <row r="896" spans="1:9">
      <c r="A896" s="4" t="s">
        <v>3167</v>
      </c>
      <c r="B896" s="4">
        <v>552</v>
      </c>
      <c r="C896" s="4" t="s">
        <v>3165</v>
      </c>
      <c r="D896" s="4">
        <v>3</v>
      </c>
      <c r="E896" s="4">
        <v>1.4354824E-2</v>
      </c>
      <c r="F896" s="4">
        <v>0.1</v>
      </c>
      <c r="G896" s="4">
        <v>0.134698442</v>
      </c>
      <c r="H896" s="4">
        <v>7.5710989327485323E-2</v>
      </c>
      <c r="I896" s="4">
        <v>7</v>
      </c>
    </row>
    <row r="897" spans="1:9">
      <c r="A897" s="4" t="s">
        <v>3168</v>
      </c>
      <c r="B897" s="4">
        <v>552</v>
      </c>
      <c r="C897" s="4" t="s">
        <v>3165</v>
      </c>
      <c r="D897" s="4">
        <v>4</v>
      </c>
      <c r="E897" s="4">
        <v>1.4354824E-2</v>
      </c>
      <c r="F897" s="4">
        <v>10000</v>
      </c>
      <c r="G897" s="4">
        <v>0.145433326</v>
      </c>
      <c r="H897" s="4">
        <v>8.945082542302589E-2</v>
      </c>
      <c r="I897" s="4">
        <v>7</v>
      </c>
    </row>
    <row r="898" spans="1:9">
      <c r="A898" s="4" t="s">
        <v>3169</v>
      </c>
      <c r="B898" s="4">
        <v>552</v>
      </c>
      <c r="C898" s="4" t="s">
        <v>3165</v>
      </c>
      <c r="D898" s="4">
        <v>5</v>
      </c>
      <c r="E898" s="4">
        <v>1.4354824E-2</v>
      </c>
      <c r="F898" s="4">
        <v>10000</v>
      </c>
      <c r="G898" s="4">
        <v>0.144437865</v>
      </c>
      <c r="H898" s="4">
        <v>8.945082542302589E-2</v>
      </c>
      <c r="I898" s="4">
        <v>7</v>
      </c>
    </row>
    <row r="899" spans="1:9">
      <c r="A899" s="4" t="s">
        <v>3170</v>
      </c>
      <c r="B899" s="4">
        <v>552</v>
      </c>
      <c r="C899" s="4" t="s">
        <v>3165</v>
      </c>
      <c r="D899" s="4">
        <v>6</v>
      </c>
      <c r="E899" s="4">
        <v>1.4354824E-2</v>
      </c>
      <c r="F899" s="4">
        <v>10000</v>
      </c>
      <c r="G899" s="4">
        <v>0.11648093399999999</v>
      </c>
      <c r="H899" s="4">
        <v>8.945082542302589E-2</v>
      </c>
      <c r="I899" s="4">
        <v>7</v>
      </c>
    </row>
    <row r="900" spans="1:9">
      <c r="A900" s="4" t="s">
        <v>3171</v>
      </c>
      <c r="B900" s="4">
        <v>552</v>
      </c>
      <c r="C900" s="4" t="s">
        <v>3165</v>
      </c>
      <c r="D900" s="4">
        <v>7</v>
      </c>
      <c r="E900" s="4">
        <v>0.48009342799999999</v>
      </c>
      <c r="F900" s="4">
        <v>0.1</v>
      </c>
      <c r="G900" s="4">
        <v>0.15697274999999999</v>
      </c>
      <c r="H900" s="4">
        <v>8.0418021882207855E-2</v>
      </c>
      <c r="I900" s="4">
        <v>7</v>
      </c>
    </row>
    <row r="901" spans="1:9">
      <c r="A901" s="4" t="s">
        <v>3172</v>
      </c>
      <c r="B901" s="4">
        <v>552</v>
      </c>
      <c r="C901" s="4" t="s">
        <v>3165</v>
      </c>
      <c r="D901" s="4">
        <v>8</v>
      </c>
      <c r="E901" s="4">
        <v>0.48009342799999999</v>
      </c>
      <c r="F901" s="4">
        <v>0.1</v>
      </c>
      <c r="G901" s="4">
        <v>0.15751378699999999</v>
      </c>
      <c r="H901" s="4">
        <v>8.0418021882207855E-2</v>
      </c>
      <c r="I901" s="4">
        <v>7</v>
      </c>
    </row>
    <row r="902" spans="1:9">
      <c r="A902" s="4" t="s">
        <v>3173</v>
      </c>
      <c r="B902" s="4">
        <v>552</v>
      </c>
      <c r="C902" s="4" t="s">
        <v>3165</v>
      </c>
      <c r="D902" s="4">
        <v>9</v>
      </c>
      <c r="E902" s="4">
        <v>0.48009342799999999</v>
      </c>
      <c r="F902" s="4">
        <v>0.1</v>
      </c>
      <c r="G902" s="4">
        <v>0.15536524299999999</v>
      </c>
      <c r="H902" s="4">
        <v>8.0418021882207855E-2</v>
      </c>
      <c r="I902" s="4">
        <v>7</v>
      </c>
    </row>
    <row r="903" spans="1:9">
      <c r="A903" s="4" t="s">
        <v>3174</v>
      </c>
      <c r="B903" s="4">
        <v>552</v>
      </c>
      <c r="C903" s="4" t="s">
        <v>3165</v>
      </c>
      <c r="D903" s="4">
        <v>10</v>
      </c>
      <c r="E903" s="4">
        <v>0.48009342799999999</v>
      </c>
      <c r="F903" s="4">
        <v>10000</v>
      </c>
      <c r="G903" s="4">
        <v>7.8206329300000004</v>
      </c>
      <c r="H903" s="4">
        <v>8.8699176873266445</v>
      </c>
      <c r="I903" s="4">
        <v>7</v>
      </c>
    </row>
    <row r="904" spans="1:9">
      <c r="A904" s="4" t="s">
        <v>3175</v>
      </c>
      <c r="B904" s="4">
        <v>552</v>
      </c>
      <c r="C904" s="4" t="s">
        <v>3165</v>
      </c>
      <c r="D904" s="4">
        <v>11</v>
      </c>
      <c r="E904" s="4">
        <v>0.48009342799999999</v>
      </c>
      <c r="F904" s="4">
        <v>10000</v>
      </c>
      <c r="G904" s="4">
        <v>7.8907186740000004</v>
      </c>
      <c r="H904" s="4">
        <v>8.8699176873266445</v>
      </c>
      <c r="I904" s="4">
        <v>7</v>
      </c>
    </row>
    <row r="905" spans="1:9">
      <c r="A905" s="4" t="s">
        <v>3176</v>
      </c>
      <c r="B905" s="4">
        <v>552</v>
      </c>
      <c r="C905" s="4" t="s">
        <v>3165</v>
      </c>
      <c r="D905" s="4">
        <v>12</v>
      </c>
      <c r="E905" s="4">
        <v>0.48009342799999999</v>
      </c>
      <c r="F905" s="4">
        <v>10000</v>
      </c>
      <c r="G905" s="4">
        <v>7.8578935599999999</v>
      </c>
      <c r="H905" s="4">
        <v>8.8699176873266445</v>
      </c>
      <c r="I905" s="4">
        <v>7</v>
      </c>
    </row>
    <row r="906" spans="1:9">
      <c r="A906" s="4" t="s">
        <v>3177</v>
      </c>
      <c r="B906" s="4">
        <v>552</v>
      </c>
      <c r="C906" s="4" t="s">
        <v>3165</v>
      </c>
      <c r="D906" s="4">
        <v>13</v>
      </c>
      <c r="E906" s="4">
        <v>3.315980707</v>
      </c>
      <c r="F906" s="4">
        <v>0.1</v>
      </c>
      <c r="G906" s="4">
        <v>0.309453284</v>
      </c>
      <c r="H906" s="4">
        <v>0.29838567313854769</v>
      </c>
      <c r="I906" s="4">
        <v>7</v>
      </c>
    </row>
    <row r="907" spans="1:9">
      <c r="A907" s="4" t="s">
        <v>3178</v>
      </c>
      <c r="B907" s="4">
        <v>552</v>
      </c>
      <c r="C907" s="4" t="s">
        <v>3165</v>
      </c>
      <c r="D907" s="4">
        <v>14</v>
      </c>
      <c r="E907" s="4">
        <v>3.315980707</v>
      </c>
      <c r="F907" s="4">
        <v>0.1</v>
      </c>
      <c r="G907" s="4">
        <v>0.27844738699999999</v>
      </c>
      <c r="H907" s="4">
        <v>0.29838567313854769</v>
      </c>
      <c r="I907" s="4">
        <v>7</v>
      </c>
    </row>
    <row r="908" spans="1:9">
      <c r="A908" s="4" t="s">
        <v>3179</v>
      </c>
      <c r="B908" s="4">
        <v>552</v>
      </c>
      <c r="C908" s="4" t="s">
        <v>3165</v>
      </c>
      <c r="D908" s="4">
        <v>15</v>
      </c>
      <c r="E908" s="4">
        <v>3.315980707</v>
      </c>
      <c r="F908" s="4">
        <v>0.1</v>
      </c>
      <c r="G908" s="4">
        <v>0.26310906699999997</v>
      </c>
      <c r="H908" s="4">
        <v>0.29838567313854769</v>
      </c>
      <c r="I908" s="4">
        <v>7</v>
      </c>
    </row>
    <row r="909" spans="1:9">
      <c r="A909" s="4" t="s">
        <v>3180</v>
      </c>
      <c r="B909" s="4">
        <v>552</v>
      </c>
      <c r="C909" s="4" t="s">
        <v>3165</v>
      </c>
      <c r="D909" s="4">
        <v>16</v>
      </c>
      <c r="E909" s="4">
        <v>3.315980707</v>
      </c>
      <c r="F909" s="4">
        <v>10000</v>
      </c>
      <c r="G909" s="4">
        <v>9.033899109</v>
      </c>
      <c r="H909" s="4">
        <v>13.609995870823154</v>
      </c>
      <c r="I909" s="4">
        <v>7</v>
      </c>
    </row>
    <row r="910" spans="1:9">
      <c r="A910" s="4" t="s">
        <v>3181</v>
      </c>
      <c r="B910" s="4">
        <v>552</v>
      </c>
      <c r="C910" s="4" t="s">
        <v>3165</v>
      </c>
      <c r="D910" s="4">
        <v>17</v>
      </c>
      <c r="E910" s="4">
        <v>3.315980707</v>
      </c>
      <c r="F910" s="4">
        <v>10000</v>
      </c>
      <c r="G910" s="4">
        <v>9.4047015770000009</v>
      </c>
      <c r="H910" s="4">
        <v>13.609995870823154</v>
      </c>
      <c r="I910" s="4">
        <v>7</v>
      </c>
    </row>
    <row r="911" spans="1:9">
      <c r="A911" s="4" t="s">
        <v>3182</v>
      </c>
      <c r="B911" s="4">
        <v>552</v>
      </c>
      <c r="C911" s="4" t="s">
        <v>3165</v>
      </c>
      <c r="D911" s="4">
        <v>18</v>
      </c>
      <c r="E911" s="4">
        <v>3.315980707</v>
      </c>
      <c r="F911" s="4">
        <v>10000</v>
      </c>
      <c r="G911" s="4">
        <v>9.2913426890000004</v>
      </c>
      <c r="H911" s="4">
        <v>13.609995870823154</v>
      </c>
      <c r="I911" s="4">
        <v>7</v>
      </c>
    </row>
    <row r="912" spans="1:9">
      <c r="A912" s="4" t="s">
        <v>3183</v>
      </c>
      <c r="B912" s="4">
        <v>553</v>
      </c>
      <c r="C912" s="4" t="s">
        <v>3184</v>
      </c>
      <c r="D912" s="4">
        <v>1</v>
      </c>
      <c r="E912" s="4">
        <v>1.4354824E-2</v>
      </c>
      <c r="F912" s="4">
        <v>0</v>
      </c>
      <c r="G912" s="4">
        <v>1.3376005E-2</v>
      </c>
      <c r="H912" s="4">
        <v>2.0652328603605635E-2</v>
      </c>
      <c r="I912" s="4">
        <v>7</v>
      </c>
    </row>
    <row r="913" spans="1:9">
      <c r="A913" s="4" t="s">
        <v>3185</v>
      </c>
      <c r="B913" s="4">
        <v>553</v>
      </c>
      <c r="C913" s="4" t="s">
        <v>3184</v>
      </c>
      <c r="D913" s="4">
        <v>2</v>
      </c>
      <c r="E913" s="4">
        <v>1.4354824E-2</v>
      </c>
      <c r="F913" s="4">
        <v>0</v>
      </c>
      <c r="G913" s="4">
        <v>1.3514669E-2</v>
      </c>
      <c r="H913" s="4">
        <v>2.0652328603605635E-2</v>
      </c>
      <c r="I913" s="4">
        <v>7</v>
      </c>
    </row>
    <row r="914" spans="1:9">
      <c r="A914" s="4" t="s">
        <v>3186</v>
      </c>
      <c r="B914" s="4">
        <v>553</v>
      </c>
      <c r="C914" s="4" t="s">
        <v>3184</v>
      </c>
      <c r="D914" s="4">
        <v>3</v>
      </c>
      <c r="E914" s="4">
        <v>1.4354824E-2</v>
      </c>
      <c r="F914" s="4">
        <v>0</v>
      </c>
      <c r="G914" s="4">
        <v>1.2935696E-2</v>
      </c>
      <c r="H914" s="4">
        <v>2.0652328603605635E-2</v>
      </c>
      <c r="I914" s="4">
        <v>7</v>
      </c>
    </row>
    <row r="915" spans="1:9">
      <c r="A915" s="4" t="s">
        <v>3187</v>
      </c>
      <c r="B915" s="4">
        <v>553</v>
      </c>
      <c r="C915" s="4" t="s">
        <v>3184</v>
      </c>
      <c r="D915" s="4">
        <v>4</v>
      </c>
      <c r="E915" s="4">
        <v>1.4354824E-2</v>
      </c>
      <c r="F915" s="4">
        <v>10</v>
      </c>
      <c r="G915" s="4">
        <v>1.9778667E-2</v>
      </c>
      <c r="H915" s="4">
        <v>2.0700360137576573E-2</v>
      </c>
      <c r="I915" s="4">
        <v>7</v>
      </c>
    </row>
    <row r="916" spans="1:9">
      <c r="A916" s="4" t="s">
        <v>3188</v>
      </c>
      <c r="B916" s="4">
        <v>553</v>
      </c>
      <c r="C916" s="4" t="s">
        <v>3184</v>
      </c>
      <c r="D916" s="4">
        <v>5</v>
      </c>
      <c r="E916" s="4">
        <v>1.4354824E-2</v>
      </c>
      <c r="F916" s="4">
        <v>10</v>
      </c>
      <c r="G916" s="4">
        <v>2.016546E-2</v>
      </c>
      <c r="H916" s="4">
        <v>2.0700360137576573E-2</v>
      </c>
      <c r="I916" s="4">
        <v>7</v>
      </c>
    </row>
    <row r="917" spans="1:9">
      <c r="A917" s="4" t="s">
        <v>3189</v>
      </c>
      <c r="B917" s="4">
        <v>553</v>
      </c>
      <c r="C917" s="4" t="s">
        <v>3184</v>
      </c>
      <c r="D917" s="4">
        <v>6</v>
      </c>
      <c r="E917" s="4">
        <v>1.4354824E-2</v>
      </c>
      <c r="F917" s="4">
        <v>10</v>
      </c>
      <c r="G917" s="4">
        <v>1.8385111999999999E-2</v>
      </c>
      <c r="H917" s="4">
        <v>2.0700360137576573E-2</v>
      </c>
      <c r="I917" s="4">
        <v>7</v>
      </c>
    </row>
    <row r="918" spans="1:9">
      <c r="A918" s="4" t="s">
        <v>3190</v>
      </c>
      <c r="B918" s="4">
        <v>553</v>
      </c>
      <c r="C918" s="4" t="s">
        <v>3184</v>
      </c>
      <c r="D918" s="4">
        <v>7</v>
      </c>
      <c r="E918" s="4">
        <v>0.48009342799999999</v>
      </c>
      <c r="F918" s="4">
        <v>0</v>
      </c>
      <c r="G918" s="4">
        <v>1.5809632000000001E-2</v>
      </c>
      <c r="H918" s="4">
        <v>2.0791166722952163E-2</v>
      </c>
      <c r="I918" s="4">
        <v>7</v>
      </c>
    </row>
    <row r="919" spans="1:9">
      <c r="A919" s="4" t="s">
        <v>3191</v>
      </c>
      <c r="B919" s="4">
        <v>553</v>
      </c>
      <c r="C919" s="4" t="s">
        <v>3184</v>
      </c>
      <c r="D919" s="4">
        <v>8</v>
      </c>
      <c r="E919" s="4">
        <v>0.48009342799999999</v>
      </c>
      <c r="F919" s="4">
        <v>0</v>
      </c>
      <c r="G919" s="4">
        <v>1.6235890999999999E-2</v>
      </c>
      <c r="H919" s="4">
        <v>2.0791166722952163E-2</v>
      </c>
      <c r="I919" s="4">
        <v>7</v>
      </c>
    </row>
    <row r="920" spans="1:9">
      <c r="A920" s="4" t="s">
        <v>3192</v>
      </c>
      <c r="B920" s="4">
        <v>553</v>
      </c>
      <c r="C920" s="4" t="s">
        <v>3184</v>
      </c>
      <c r="D920" s="4">
        <v>9</v>
      </c>
      <c r="E920" s="4">
        <v>0.48009342799999999</v>
      </c>
      <c r="F920" s="4">
        <v>0</v>
      </c>
      <c r="G920" s="4">
        <v>1.6706741000000001E-2</v>
      </c>
      <c r="H920" s="4">
        <v>2.0791166722952163E-2</v>
      </c>
      <c r="I920" s="4">
        <v>7</v>
      </c>
    </row>
    <row r="921" spans="1:9">
      <c r="A921" s="4" t="s">
        <v>3193</v>
      </c>
      <c r="B921" s="4">
        <v>553</v>
      </c>
      <c r="C921" s="4" t="s">
        <v>3184</v>
      </c>
      <c r="D921" s="4">
        <v>10</v>
      </c>
      <c r="E921" s="4">
        <v>0.48009342799999999</v>
      </c>
      <c r="F921" s="4">
        <v>10</v>
      </c>
      <c r="G921" s="4">
        <v>0.19805832600000001</v>
      </c>
      <c r="H921" s="4">
        <v>7.4382506516706373E-2</v>
      </c>
      <c r="I921" s="4">
        <v>7</v>
      </c>
    </row>
    <row r="922" spans="1:9">
      <c r="A922" s="4" t="s">
        <v>3194</v>
      </c>
      <c r="B922" s="4">
        <v>553</v>
      </c>
      <c r="C922" s="4" t="s">
        <v>3184</v>
      </c>
      <c r="D922" s="4">
        <v>11</v>
      </c>
      <c r="E922" s="4">
        <v>0.48009342799999999</v>
      </c>
      <c r="F922" s="4">
        <v>10</v>
      </c>
      <c r="G922" s="4">
        <v>0.170456251</v>
      </c>
      <c r="H922" s="4">
        <v>7.4382506516706373E-2</v>
      </c>
      <c r="I922" s="4">
        <v>7</v>
      </c>
    </row>
    <row r="923" spans="1:9">
      <c r="A923" s="4" t="s">
        <v>3195</v>
      </c>
      <c r="B923" s="4">
        <v>553</v>
      </c>
      <c r="C923" s="4" t="s">
        <v>3184</v>
      </c>
      <c r="D923" s="4">
        <v>12</v>
      </c>
      <c r="E923" s="4">
        <v>0.48009342799999999</v>
      </c>
      <c r="F923" s="4">
        <v>10</v>
      </c>
      <c r="G923" s="4">
        <v>0.208505459</v>
      </c>
      <c r="H923" s="4">
        <v>7.4382506516706373E-2</v>
      </c>
      <c r="I923" s="4">
        <v>7</v>
      </c>
    </row>
    <row r="924" spans="1:9">
      <c r="A924" s="4" t="s">
        <v>3196</v>
      </c>
      <c r="B924" s="4">
        <v>553</v>
      </c>
      <c r="C924" s="4" t="s">
        <v>3184</v>
      </c>
      <c r="D924" s="4">
        <v>13</v>
      </c>
      <c r="E924" s="4">
        <v>3.315980707</v>
      </c>
      <c r="F924" s="4">
        <v>0</v>
      </c>
      <c r="G924" s="4">
        <v>2.7850482999999999E-2</v>
      </c>
      <c r="H924" s="4">
        <v>2.7279700728534299E-2</v>
      </c>
      <c r="I924" s="4">
        <v>7</v>
      </c>
    </row>
    <row r="925" spans="1:9">
      <c r="A925" s="4" t="s">
        <v>3197</v>
      </c>
      <c r="B925" s="4">
        <v>553</v>
      </c>
      <c r="C925" s="4" t="s">
        <v>3184</v>
      </c>
      <c r="D925" s="4">
        <v>14</v>
      </c>
      <c r="E925" s="4">
        <v>3.315980707</v>
      </c>
      <c r="F925" s="4">
        <v>0</v>
      </c>
      <c r="G925" s="4">
        <v>2.6909863999999999E-2</v>
      </c>
      <c r="H925" s="4">
        <v>2.7279700728534299E-2</v>
      </c>
      <c r="I925" s="4">
        <v>7</v>
      </c>
    </row>
    <row r="926" spans="1:9">
      <c r="A926" s="4" t="s">
        <v>3198</v>
      </c>
      <c r="B926" s="4">
        <v>553</v>
      </c>
      <c r="C926" s="4" t="s">
        <v>3184</v>
      </c>
      <c r="D926" s="4">
        <v>15</v>
      </c>
      <c r="E926" s="4">
        <v>3.315980707</v>
      </c>
      <c r="F926" s="4">
        <v>0</v>
      </c>
      <c r="G926" s="4">
        <v>2.7646E-2</v>
      </c>
      <c r="H926" s="4">
        <v>2.7279700728534299E-2</v>
      </c>
      <c r="I926" s="4">
        <v>7</v>
      </c>
    </row>
    <row r="927" spans="1:9">
      <c r="A927" s="4" t="s">
        <v>3199</v>
      </c>
      <c r="B927" s="4">
        <v>553</v>
      </c>
      <c r="C927" s="4" t="s">
        <v>3184</v>
      </c>
      <c r="D927" s="4">
        <v>16</v>
      </c>
      <c r="E927" s="4">
        <v>3.315980707</v>
      </c>
      <c r="F927" s="4">
        <v>10</v>
      </c>
      <c r="G927" s="4">
        <v>1.1411060200000001</v>
      </c>
      <c r="H927" s="4">
        <v>2.3302494752832676</v>
      </c>
      <c r="I927" s="4">
        <v>7</v>
      </c>
    </row>
    <row r="928" spans="1:9">
      <c r="A928" s="4" t="s">
        <v>3200</v>
      </c>
      <c r="B928" s="4">
        <v>553</v>
      </c>
      <c r="C928" s="4" t="s">
        <v>3184</v>
      </c>
      <c r="D928" s="4">
        <v>17</v>
      </c>
      <c r="E928" s="4">
        <v>3.315980707</v>
      </c>
      <c r="F928" s="4">
        <v>10</v>
      </c>
      <c r="G928" s="4">
        <v>1.0294717840000001</v>
      </c>
      <c r="H928" s="4">
        <v>2.3302494752832676</v>
      </c>
      <c r="I928" s="4">
        <v>7</v>
      </c>
    </row>
    <row r="929" spans="1:9">
      <c r="A929" s="4" t="s">
        <v>3201</v>
      </c>
      <c r="B929" s="4">
        <v>553</v>
      </c>
      <c r="C929" s="4" t="s">
        <v>3184</v>
      </c>
      <c r="D929" s="4">
        <v>18</v>
      </c>
      <c r="E929" s="4">
        <v>3.315980707</v>
      </c>
      <c r="F929" s="4">
        <v>10</v>
      </c>
      <c r="G929" s="4">
        <v>1.0770796739999999</v>
      </c>
      <c r="H929" s="4">
        <v>2.3302494752832676</v>
      </c>
      <c r="I929" s="4">
        <v>7</v>
      </c>
    </row>
    <row r="930" spans="1:9">
      <c r="A930" s="4" t="s">
        <v>3202</v>
      </c>
      <c r="B930" s="4">
        <v>554</v>
      </c>
      <c r="C930" s="4" t="s">
        <v>3203</v>
      </c>
      <c r="D930" s="4">
        <v>1</v>
      </c>
      <c r="E930" s="4">
        <v>1.4354824E-2</v>
      </c>
      <c r="F930" s="4">
        <v>0</v>
      </c>
      <c r="G930" s="4">
        <v>4.4358685000000002E-2</v>
      </c>
      <c r="H930" s="4">
        <v>5.3090574109903838E-2</v>
      </c>
      <c r="I930" s="4">
        <v>7</v>
      </c>
    </row>
    <row r="931" spans="1:9">
      <c r="A931" s="4" t="s">
        <v>3204</v>
      </c>
      <c r="B931" s="4">
        <v>554</v>
      </c>
      <c r="C931" s="4" t="s">
        <v>3203</v>
      </c>
      <c r="D931" s="4">
        <v>2</v>
      </c>
      <c r="E931" s="4">
        <v>1.4354824E-2</v>
      </c>
      <c r="F931" s="4">
        <v>0</v>
      </c>
      <c r="G931" s="4">
        <v>5.1927648999999999E-2</v>
      </c>
      <c r="H931" s="4">
        <v>5.3090574109903838E-2</v>
      </c>
      <c r="I931" s="4">
        <v>7</v>
      </c>
    </row>
    <row r="932" spans="1:9">
      <c r="A932" s="4" t="s">
        <v>3205</v>
      </c>
      <c r="B932" s="4">
        <v>554</v>
      </c>
      <c r="C932" s="4" t="s">
        <v>3203</v>
      </c>
      <c r="D932" s="4">
        <v>3</v>
      </c>
      <c r="E932" s="4">
        <v>1.4354824E-2</v>
      </c>
      <c r="F932" s="4">
        <v>0</v>
      </c>
      <c r="G932" s="4">
        <v>5.2780436999999999E-2</v>
      </c>
      <c r="H932" s="4">
        <v>5.3090574109903838E-2</v>
      </c>
      <c r="I932" s="4">
        <v>7</v>
      </c>
    </row>
    <row r="933" spans="1:9">
      <c r="A933" s="4" t="s">
        <v>3206</v>
      </c>
      <c r="B933" s="4">
        <v>554</v>
      </c>
      <c r="C933" s="4" t="s">
        <v>3203</v>
      </c>
      <c r="D933" s="4">
        <v>4</v>
      </c>
      <c r="E933" s="4">
        <v>1.4354824E-2</v>
      </c>
      <c r="F933" s="4">
        <v>10</v>
      </c>
      <c r="G933" s="4">
        <v>9.1438723999999999E-2</v>
      </c>
      <c r="H933" s="4">
        <v>6.2275720448852358E-2</v>
      </c>
      <c r="I933" s="4">
        <v>7</v>
      </c>
    </row>
    <row r="934" spans="1:9">
      <c r="A934" s="4" t="s">
        <v>3207</v>
      </c>
      <c r="B934" s="4">
        <v>554</v>
      </c>
      <c r="C934" s="4" t="s">
        <v>3203</v>
      </c>
      <c r="D934" s="4">
        <v>5</v>
      </c>
      <c r="E934" s="4">
        <v>1.4354824E-2</v>
      </c>
      <c r="F934" s="4">
        <v>10</v>
      </c>
      <c r="G934" s="4">
        <v>7.7515231000000004E-2</v>
      </c>
      <c r="H934" s="4">
        <v>6.2275720448852358E-2</v>
      </c>
      <c r="I934" s="4">
        <v>7</v>
      </c>
    </row>
    <row r="935" spans="1:9">
      <c r="A935" s="4" t="s">
        <v>3208</v>
      </c>
      <c r="B935" s="4">
        <v>554</v>
      </c>
      <c r="C935" s="4" t="s">
        <v>3203</v>
      </c>
      <c r="D935" s="4">
        <v>6</v>
      </c>
      <c r="E935" s="4">
        <v>1.4354824E-2</v>
      </c>
      <c r="F935" s="4">
        <v>10</v>
      </c>
      <c r="G935" s="4">
        <v>0.100528882</v>
      </c>
      <c r="H935" s="4">
        <v>6.2275720448852358E-2</v>
      </c>
      <c r="I935" s="4">
        <v>7</v>
      </c>
    </row>
    <row r="936" spans="1:9">
      <c r="A936" s="4" t="s">
        <v>3209</v>
      </c>
      <c r="B936" s="4">
        <v>554</v>
      </c>
      <c r="C936" s="4" t="s">
        <v>3203</v>
      </c>
      <c r="D936" s="4">
        <v>7</v>
      </c>
      <c r="E936" s="4">
        <v>0.48009342799999999</v>
      </c>
      <c r="F936" s="4">
        <v>0</v>
      </c>
      <c r="G936" s="4">
        <v>5.084818E-2</v>
      </c>
      <c r="H936" s="4">
        <v>5.309071768515277E-2</v>
      </c>
      <c r="I936" s="4">
        <v>7</v>
      </c>
    </row>
    <row r="937" spans="1:9">
      <c r="A937" s="4" t="s">
        <v>3210</v>
      </c>
      <c r="B937" s="4">
        <v>554</v>
      </c>
      <c r="C937" s="4" t="s">
        <v>3203</v>
      </c>
      <c r="D937" s="4">
        <v>8</v>
      </c>
      <c r="E937" s="4">
        <v>0.48009342799999999</v>
      </c>
      <c r="F937" s="4">
        <v>0</v>
      </c>
      <c r="G937" s="4">
        <v>4.7880362000000003E-2</v>
      </c>
      <c r="H937" s="4">
        <v>5.309071768515277E-2</v>
      </c>
      <c r="I937" s="4">
        <v>7</v>
      </c>
    </row>
    <row r="938" spans="1:9">
      <c r="A938" s="4" t="s">
        <v>3211</v>
      </c>
      <c r="B938" s="4">
        <v>554</v>
      </c>
      <c r="C938" s="4" t="s">
        <v>3203</v>
      </c>
      <c r="D938" s="4">
        <v>9</v>
      </c>
      <c r="E938" s="4">
        <v>0.48009342799999999</v>
      </c>
      <c r="F938" s="4">
        <v>0</v>
      </c>
      <c r="G938" s="4">
        <v>4.5404536000000002E-2</v>
      </c>
      <c r="H938" s="4">
        <v>5.309071768515277E-2</v>
      </c>
      <c r="I938" s="4">
        <v>7</v>
      </c>
    </row>
    <row r="939" spans="1:9">
      <c r="A939" s="4" t="s">
        <v>3212</v>
      </c>
      <c r="B939" s="4">
        <v>554</v>
      </c>
      <c r="C939" s="4" t="s">
        <v>3203</v>
      </c>
      <c r="D939" s="4">
        <v>10</v>
      </c>
      <c r="E939" s="4">
        <v>0.48009342799999999</v>
      </c>
      <c r="F939" s="4">
        <v>10</v>
      </c>
      <c r="G939" s="4">
        <v>6.411987613</v>
      </c>
      <c r="H939" s="4">
        <v>7.0089214382428313</v>
      </c>
      <c r="I939" s="4">
        <v>7</v>
      </c>
    </row>
    <row r="940" spans="1:9">
      <c r="A940" s="4" t="s">
        <v>3213</v>
      </c>
      <c r="B940" s="4">
        <v>554</v>
      </c>
      <c r="C940" s="4" t="s">
        <v>3203</v>
      </c>
      <c r="D940" s="4">
        <v>11</v>
      </c>
      <c r="E940" s="4">
        <v>0.48009342799999999</v>
      </c>
      <c r="F940" s="4">
        <v>10</v>
      </c>
      <c r="G940" s="4">
        <v>6.4038928459999998</v>
      </c>
      <c r="H940" s="4">
        <v>7.0089214382428313</v>
      </c>
      <c r="I940" s="4">
        <v>7</v>
      </c>
    </row>
    <row r="941" spans="1:9">
      <c r="A941" s="4" t="s">
        <v>3214</v>
      </c>
      <c r="B941" s="4">
        <v>554</v>
      </c>
      <c r="C941" s="4" t="s">
        <v>3203</v>
      </c>
      <c r="D941" s="4">
        <v>12</v>
      </c>
      <c r="E941" s="4">
        <v>0.48009342799999999</v>
      </c>
      <c r="F941" s="4">
        <v>10</v>
      </c>
      <c r="G941" s="4">
        <v>6.5473311589999996</v>
      </c>
      <c r="H941" s="4">
        <v>7.0089214382428313</v>
      </c>
      <c r="I941" s="4">
        <v>7</v>
      </c>
    </row>
    <row r="942" spans="1:9">
      <c r="A942" s="4" t="s">
        <v>3215</v>
      </c>
      <c r="B942" s="4">
        <v>554</v>
      </c>
      <c r="C942" s="4" t="s">
        <v>3203</v>
      </c>
      <c r="D942" s="4">
        <v>13</v>
      </c>
      <c r="E942" s="4">
        <v>3.315980707</v>
      </c>
      <c r="F942" s="4">
        <v>0</v>
      </c>
      <c r="G942" s="4">
        <v>5.0499298999999997E-2</v>
      </c>
      <c r="H942" s="4">
        <v>5.3097429403765044E-2</v>
      </c>
      <c r="I942" s="4">
        <v>7</v>
      </c>
    </row>
    <row r="943" spans="1:9">
      <c r="A943" s="4" t="s">
        <v>3216</v>
      </c>
      <c r="B943" s="4">
        <v>554</v>
      </c>
      <c r="C943" s="4" t="s">
        <v>3203</v>
      </c>
      <c r="D943" s="4">
        <v>14</v>
      </c>
      <c r="E943" s="4">
        <v>3.315980707</v>
      </c>
      <c r="F943" s="4">
        <v>0</v>
      </c>
      <c r="G943" s="4">
        <v>4.5085544999999998E-2</v>
      </c>
      <c r="H943" s="4">
        <v>5.3097429403765044E-2</v>
      </c>
      <c r="I943" s="4">
        <v>7</v>
      </c>
    </row>
    <row r="944" spans="1:9">
      <c r="A944" s="4" t="s">
        <v>3217</v>
      </c>
      <c r="B944" s="4">
        <v>554</v>
      </c>
      <c r="C944" s="4" t="s">
        <v>3203</v>
      </c>
      <c r="D944" s="4">
        <v>15</v>
      </c>
      <c r="E944" s="4">
        <v>3.315980707</v>
      </c>
      <c r="F944" s="4">
        <v>0</v>
      </c>
      <c r="G944" s="4">
        <v>4.3622426999999998E-2</v>
      </c>
      <c r="H944" s="4">
        <v>5.3097429403765044E-2</v>
      </c>
      <c r="I944" s="4">
        <v>7</v>
      </c>
    </row>
    <row r="945" spans="1:9">
      <c r="A945" s="4" t="s">
        <v>3218</v>
      </c>
      <c r="B945" s="4">
        <v>554</v>
      </c>
      <c r="C945" s="4" t="s">
        <v>3203</v>
      </c>
      <c r="D945" s="4">
        <v>16</v>
      </c>
      <c r="E945" s="4">
        <v>3.315980707</v>
      </c>
      <c r="F945" s="4">
        <v>10</v>
      </c>
      <c r="G945" s="4">
        <v>5.3092187009999998</v>
      </c>
      <c r="H945" s="4">
        <v>13.609959630775405</v>
      </c>
      <c r="I945" s="4">
        <v>7</v>
      </c>
    </row>
    <row r="946" spans="1:9">
      <c r="A946" s="4" t="s">
        <v>3219</v>
      </c>
      <c r="B946" s="4">
        <v>554</v>
      </c>
      <c r="C946" s="4" t="s">
        <v>3203</v>
      </c>
      <c r="D946" s="4">
        <v>17</v>
      </c>
      <c r="E946" s="4">
        <v>3.315980707</v>
      </c>
      <c r="F946" s="4">
        <v>10</v>
      </c>
      <c r="G946" s="4">
        <v>5.2457813360000003</v>
      </c>
      <c r="H946" s="4">
        <v>13.609959630775405</v>
      </c>
      <c r="I946" s="4">
        <v>7</v>
      </c>
    </row>
    <row r="947" spans="1:9">
      <c r="A947" s="4" t="s">
        <v>3220</v>
      </c>
      <c r="B947" s="4">
        <v>554</v>
      </c>
      <c r="C947" s="4" t="s">
        <v>3203</v>
      </c>
      <c r="D947" s="4">
        <v>18</v>
      </c>
      <c r="E947" s="4">
        <v>3.315980707</v>
      </c>
      <c r="F947" s="4">
        <v>10</v>
      </c>
      <c r="G947" s="4">
        <v>5.1547508869999996</v>
      </c>
      <c r="H947" s="4">
        <v>13.609959630775405</v>
      </c>
      <c r="I947" s="4">
        <v>7</v>
      </c>
    </row>
    <row r="948" spans="1:9">
      <c r="A948" s="4" t="s">
        <v>3221</v>
      </c>
      <c r="B948" s="4">
        <v>555</v>
      </c>
      <c r="C948" s="4" t="s">
        <v>3222</v>
      </c>
      <c r="D948" s="4">
        <v>1</v>
      </c>
      <c r="E948" s="4">
        <v>1.4354824E-2</v>
      </c>
      <c r="F948" s="4">
        <v>0</v>
      </c>
      <c r="G948" s="4">
        <v>0.115355711</v>
      </c>
      <c r="H948" s="4">
        <v>0.1100371681527573</v>
      </c>
      <c r="I948" s="4">
        <v>7</v>
      </c>
    </row>
    <row r="949" spans="1:9">
      <c r="A949" s="4" t="s">
        <v>3223</v>
      </c>
      <c r="B949" s="4">
        <v>555</v>
      </c>
      <c r="C949" s="4" t="s">
        <v>3222</v>
      </c>
      <c r="D949" s="4">
        <v>2</v>
      </c>
      <c r="E949" s="4">
        <v>1.4354824E-2</v>
      </c>
      <c r="F949" s="4">
        <v>0</v>
      </c>
      <c r="G949" s="4">
        <v>0.11830429200000001</v>
      </c>
      <c r="H949" s="4">
        <v>0.1100371681527573</v>
      </c>
      <c r="I949" s="4">
        <v>7</v>
      </c>
    </row>
    <row r="950" spans="1:9">
      <c r="A950" s="4" t="s">
        <v>3224</v>
      </c>
      <c r="B950" s="4">
        <v>555</v>
      </c>
      <c r="C950" s="4" t="s">
        <v>3222</v>
      </c>
      <c r="D950" s="4">
        <v>3</v>
      </c>
      <c r="E950" s="4">
        <v>1.4354824E-2</v>
      </c>
      <c r="F950" s="4">
        <v>0</v>
      </c>
      <c r="G950" s="4">
        <v>0.118273775</v>
      </c>
      <c r="H950" s="4">
        <v>0.1100371681527573</v>
      </c>
      <c r="I950" s="4">
        <v>7</v>
      </c>
    </row>
    <row r="951" spans="1:9">
      <c r="A951" s="4" t="s">
        <v>3225</v>
      </c>
      <c r="B951" s="4">
        <v>555</v>
      </c>
      <c r="C951" s="4" t="s">
        <v>3222</v>
      </c>
      <c r="D951" s="4">
        <v>4</v>
      </c>
      <c r="E951" s="4">
        <v>1.4354824E-2</v>
      </c>
      <c r="F951" s="4">
        <v>100</v>
      </c>
      <c r="G951" s="4">
        <v>7.1282513000000006E-2</v>
      </c>
      <c r="H951" s="4">
        <v>0.11104718369473961</v>
      </c>
      <c r="I951" s="4">
        <v>7</v>
      </c>
    </row>
    <row r="952" spans="1:9">
      <c r="A952" s="4" t="s">
        <v>3226</v>
      </c>
      <c r="B952" s="4">
        <v>555</v>
      </c>
      <c r="C952" s="4" t="s">
        <v>3222</v>
      </c>
      <c r="D952" s="4">
        <v>5</v>
      </c>
      <c r="E952" s="4">
        <v>1.4354824E-2</v>
      </c>
      <c r="F952" s="4">
        <v>100</v>
      </c>
      <c r="G952" s="4">
        <v>7.0127872999999993E-2</v>
      </c>
      <c r="H952" s="4">
        <v>0.11104718369473961</v>
      </c>
      <c r="I952" s="4">
        <v>7</v>
      </c>
    </row>
    <row r="953" spans="1:9">
      <c r="A953" s="4" t="s">
        <v>3227</v>
      </c>
      <c r="B953" s="4">
        <v>555</v>
      </c>
      <c r="C953" s="4" t="s">
        <v>3222</v>
      </c>
      <c r="D953" s="4">
        <v>6</v>
      </c>
      <c r="E953" s="4">
        <v>1.4354824E-2</v>
      </c>
      <c r="F953" s="4">
        <v>100</v>
      </c>
      <c r="G953" s="4">
        <v>6.9665694E-2</v>
      </c>
      <c r="H953" s="4">
        <v>0.11104718369473961</v>
      </c>
      <c r="I953" s="4">
        <v>7</v>
      </c>
    </row>
    <row r="954" spans="1:9">
      <c r="A954" s="4" t="s">
        <v>3228</v>
      </c>
      <c r="B954" s="4">
        <v>555</v>
      </c>
      <c r="C954" s="4" t="s">
        <v>3222</v>
      </c>
      <c r="D954" s="4">
        <v>7</v>
      </c>
      <c r="E954" s="4">
        <v>0.48009342799999999</v>
      </c>
      <c r="F954" s="4">
        <v>0</v>
      </c>
      <c r="G954" s="4">
        <v>0.21043715399999999</v>
      </c>
      <c r="H954" s="4">
        <v>0.12272225039438402</v>
      </c>
      <c r="I954" s="4">
        <v>7</v>
      </c>
    </row>
    <row r="955" spans="1:9">
      <c r="A955" s="4" t="s">
        <v>3229</v>
      </c>
      <c r="B955" s="4">
        <v>555</v>
      </c>
      <c r="C955" s="4" t="s">
        <v>3222</v>
      </c>
      <c r="D955" s="4">
        <v>8</v>
      </c>
      <c r="E955" s="4">
        <v>0.48009342799999999</v>
      </c>
      <c r="F955" s="4">
        <v>0</v>
      </c>
      <c r="G955" s="4">
        <v>0.17548296199999999</v>
      </c>
      <c r="H955" s="4">
        <v>0.12272225039438402</v>
      </c>
      <c r="I955" s="4">
        <v>7</v>
      </c>
    </row>
    <row r="956" spans="1:9">
      <c r="A956" s="4" t="s">
        <v>3230</v>
      </c>
      <c r="B956" s="4">
        <v>555</v>
      </c>
      <c r="C956" s="4" t="s">
        <v>3222</v>
      </c>
      <c r="D956" s="4">
        <v>9</v>
      </c>
      <c r="E956" s="4">
        <v>0.48009342799999999</v>
      </c>
      <c r="F956" s="4">
        <v>0</v>
      </c>
      <c r="G956" s="4">
        <v>0.18596027600000001</v>
      </c>
      <c r="H956" s="4">
        <v>0.12272225039438402</v>
      </c>
      <c r="I956" s="4">
        <v>7</v>
      </c>
    </row>
    <row r="957" spans="1:9">
      <c r="A957" s="4" t="s">
        <v>3231</v>
      </c>
      <c r="B957" s="4">
        <v>555</v>
      </c>
      <c r="C957" s="4" t="s">
        <v>3222</v>
      </c>
      <c r="D957" s="4">
        <v>10</v>
      </c>
      <c r="E957" s="4">
        <v>0.48009342799999999</v>
      </c>
      <c r="F957" s="4">
        <v>100</v>
      </c>
      <c r="G957" s="4">
        <v>1.593071355</v>
      </c>
      <c r="H957" s="4">
        <v>1.1936789090052669</v>
      </c>
      <c r="I957" s="4">
        <v>7</v>
      </c>
    </row>
    <row r="958" spans="1:9">
      <c r="A958" s="4" t="s">
        <v>3232</v>
      </c>
      <c r="B958" s="4">
        <v>555</v>
      </c>
      <c r="C958" s="4" t="s">
        <v>3222</v>
      </c>
      <c r="D958" s="4">
        <v>11</v>
      </c>
      <c r="E958" s="4">
        <v>0.48009342799999999</v>
      </c>
      <c r="F958" s="4">
        <v>100</v>
      </c>
      <c r="G958" s="4">
        <v>1.3496978260000001</v>
      </c>
      <c r="H958" s="4">
        <v>1.1936789090052669</v>
      </c>
      <c r="I958" s="4">
        <v>7</v>
      </c>
    </row>
    <row r="959" spans="1:9">
      <c r="A959" s="4" t="s">
        <v>3233</v>
      </c>
      <c r="B959" s="4">
        <v>555</v>
      </c>
      <c r="C959" s="4" t="s">
        <v>3222</v>
      </c>
      <c r="D959" s="4">
        <v>12</v>
      </c>
      <c r="E959" s="4">
        <v>0.48009342799999999</v>
      </c>
      <c r="F959" s="4">
        <v>100</v>
      </c>
      <c r="G959" s="4">
        <v>1.3934380260000001</v>
      </c>
      <c r="H959" s="4">
        <v>1.1936789090052669</v>
      </c>
      <c r="I959" s="4">
        <v>7</v>
      </c>
    </row>
    <row r="960" spans="1:9">
      <c r="A960" s="4" t="s">
        <v>3234</v>
      </c>
      <c r="B960" s="4">
        <v>555</v>
      </c>
      <c r="C960" s="4" t="s">
        <v>3222</v>
      </c>
      <c r="D960" s="4">
        <v>13</v>
      </c>
      <c r="E960" s="4">
        <v>3.315980707</v>
      </c>
      <c r="F960" s="4">
        <v>0</v>
      </c>
      <c r="G960" s="4">
        <v>0.57847175500000003</v>
      </c>
      <c r="H960" s="4">
        <v>0.7005863494567347</v>
      </c>
      <c r="I960" s="4">
        <v>7</v>
      </c>
    </row>
    <row r="961" spans="1:9">
      <c r="A961" s="4" t="s">
        <v>3235</v>
      </c>
      <c r="B961" s="4">
        <v>555</v>
      </c>
      <c r="C961" s="4" t="s">
        <v>3222</v>
      </c>
      <c r="D961" s="4">
        <v>14</v>
      </c>
      <c r="E961" s="4">
        <v>3.315980707</v>
      </c>
      <c r="F961" s="4">
        <v>0</v>
      </c>
      <c r="G961" s="4">
        <v>0.61962593099999996</v>
      </c>
      <c r="H961" s="4">
        <v>0.7005863494567347</v>
      </c>
      <c r="I961" s="4">
        <v>7</v>
      </c>
    </row>
    <row r="962" spans="1:9">
      <c r="A962" s="4" t="s">
        <v>3236</v>
      </c>
      <c r="B962" s="4">
        <v>555</v>
      </c>
      <c r="C962" s="4" t="s">
        <v>3222</v>
      </c>
      <c r="D962" s="4">
        <v>15</v>
      </c>
      <c r="E962" s="4">
        <v>3.315980707</v>
      </c>
      <c r="F962" s="4">
        <v>0</v>
      </c>
      <c r="G962" s="4">
        <v>0.65220886899999997</v>
      </c>
      <c r="H962" s="4">
        <v>0.7005863494567347</v>
      </c>
      <c r="I962" s="4">
        <v>7</v>
      </c>
    </row>
    <row r="963" spans="1:9">
      <c r="A963" s="4" t="s">
        <v>3237</v>
      </c>
      <c r="B963" s="4">
        <v>555</v>
      </c>
      <c r="C963" s="4" t="s">
        <v>3222</v>
      </c>
      <c r="D963" s="4">
        <v>16</v>
      </c>
      <c r="E963" s="4">
        <v>3.315980707</v>
      </c>
      <c r="F963" s="4">
        <v>100</v>
      </c>
      <c r="G963" s="4">
        <v>6.0384519040000004</v>
      </c>
      <c r="H963" s="4">
        <v>12.998039785354367</v>
      </c>
      <c r="I963" s="4">
        <v>7</v>
      </c>
    </row>
    <row r="964" spans="1:9">
      <c r="A964" s="4" t="s">
        <v>3238</v>
      </c>
      <c r="B964" s="4">
        <v>555</v>
      </c>
      <c r="C964" s="4" t="s">
        <v>3222</v>
      </c>
      <c r="D964" s="4">
        <v>17</v>
      </c>
      <c r="E964" s="4">
        <v>3.315980707</v>
      </c>
      <c r="F964" s="4">
        <v>100</v>
      </c>
      <c r="G964" s="4">
        <v>5.6760604539999999</v>
      </c>
      <c r="H964" s="4">
        <v>12.998039785354367</v>
      </c>
      <c r="I964" s="4">
        <v>7</v>
      </c>
    </row>
    <row r="965" spans="1:9">
      <c r="A965" s="4" t="s">
        <v>3239</v>
      </c>
      <c r="B965" s="4">
        <v>555</v>
      </c>
      <c r="C965" s="4" t="s">
        <v>3222</v>
      </c>
      <c r="D965" s="4">
        <v>18</v>
      </c>
      <c r="E965" s="4">
        <v>3.315980707</v>
      </c>
      <c r="F965" s="4">
        <v>100</v>
      </c>
      <c r="G965" s="4">
        <v>5.1873086879999999</v>
      </c>
      <c r="H965" s="4">
        <v>12.998039785354367</v>
      </c>
      <c r="I965" s="4">
        <v>7</v>
      </c>
    </row>
    <row r="966" spans="1:9">
      <c r="A966" s="4" t="s">
        <v>3240</v>
      </c>
      <c r="B966" s="4">
        <v>556</v>
      </c>
      <c r="C966" s="4" t="s">
        <v>3241</v>
      </c>
      <c r="D966" s="4">
        <v>1</v>
      </c>
      <c r="E966" s="4">
        <v>1.4354824E-2</v>
      </c>
      <c r="F966" s="4">
        <v>0</v>
      </c>
      <c r="G966" s="4">
        <v>1.7098530000000001E-2</v>
      </c>
      <c r="H966" s="4">
        <v>2.4461236829449975E-2</v>
      </c>
      <c r="I966" s="4">
        <v>7</v>
      </c>
    </row>
    <row r="967" spans="1:9">
      <c r="A967" s="4" t="s">
        <v>3242</v>
      </c>
      <c r="B967" s="4">
        <v>556</v>
      </c>
      <c r="C967" s="4" t="s">
        <v>3241</v>
      </c>
      <c r="D967" s="4">
        <v>2</v>
      </c>
      <c r="E967" s="4">
        <v>1.4354824E-2</v>
      </c>
      <c r="F967" s="4">
        <v>0</v>
      </c>
      <c r="G967" s="4">
        <v>1.7223298000000001E-2</v>
      </c>
      <c r="H967" s="4">
        <v>2.4461236829449975E-2</v>
      </c>
      <c r="I967" s="4">
        <v>7</v>
      </c>
    </row>
    <row r="968" spans="1:9">
      <c r="A968" s="4" t="s">
        <v>3243</v>
      </c>
      <c r="B968" s="4">
        <v>556</v>
      </c>
      <c r="C968" s="4" t="s">
        <v>3241</v>
      </c>
      <c r="D968" s="4">
        <v>3</v>
      </c>
      <c r="E968" s="4">
        <v>1.4354824E-2</v>
      </c>
      <c r="F968" s="4">
        <v>0</v>
      </c>
      <c r="G968" s="4">
        <v>1.5745133000000001E-2</v>
      </c>
      <c r="H968" s="4">
        <v>2.4461236829449975E-2</v>
      </c>
      <c r="I968" s="4">
        <v>7</v>
      </c>
    </row>
    <row r="969" spans="1:9">
      <c r="A969" s="4" t="s">
        <v>3244</v>
      </c>
      <c r="B969" s="4">
        <v>556</v>
      </c>
      <c r="C969" s="4" t="s">
        <v>3241</v>
      </c>
      <c r="D969" s="4">
        <v>4</v>
      </c>
      <c r="E969" s="4">
        <v>1.4354824E-2</v>
      </c>
      <c r="F969" s="4">
        <v>100</v>
      </c>
      <c r="G969" s="4">
        <v>1.9813520000000001E-2</v>
      </c>
      <c r="H969" s="4">
        <v>2.6128916613971331E-2</v>
      </c>
      <c r="I969" s="4">
        <v>7</v>
      </c>
    </row>
    <row r="970" spans="1:9">
      <c r="A970" s="4" t="s">
        <v>3245</v>
      </c>
      <c r="B970" s="4">
        <v>556</v>
      </c>
      <c r="C970" s="4" t="s">
        <v>3241</v>
      </c>
      <c r="D970" s="4">
        <v>5</v>
      </c>
      <c r="E970" s="4">
        <v>1.4354824E-2</v>
      </c>
      <c r="F970" s="4">
        <v>100</v>
      </c>
      <c r="G970" s="4">
        <v>2.1308349000000001E-2</v>
      </c>
      <c r="H970" s="4">
        <v>2.6128916613971331E-2</v>
      </c>
      <c r="I970" s="4">
        <v>7</v>
      </c>
    </row>
    <row r="971" spans="1:9">
      <c r="A971" s="4" t="s">
        <v>3246</v>
      </c>
      <c r="B971" s="4">
        <v>556</v>
      </c>
      <c r="C971" s="4" t="s">
        <v>3241</v>
      </c>
      <c r="D971" s="4">
        <v>6</v>
      </c>
      <c r="E971" s="4">
        <v>1.4354824E-2</v>
      </c>
      <c r="F971" s="4">
        <v>100</v>
      </c>
      <c r="G971" s="4">
        <v>2.2944319000000001E-2</v>
      </c>
      <c r="H971" s="4">
        <v>2.6128916613971331E-2</v>
      </c>
      <c r="I971" s="4">
        <v>7</v>
      </c>
    </row>
    <row r="972" spans="1:9">
      <c r="A972" s="4" t="s">
        <v>3247</v>
      </c>
      <c r="B972" s="4">
        <v>556</v>
      </c>
      <c r="C972" s="4" t="s">
        <v>3241</v>
      </c>
      <c r="D972" s="4">
        <v>7</v>
      </c>
      <c r="E972" s="4">
        <v>0.48009342799999999</v>
      </c>
      <c r="F972" s="4">
        <v>0</v>
      </c>
      <c r="G972" s="4">
        <v>2.9617001E-2</v>
      </c>
      <c r="H972" s="4">
        <v>2.4461236855802954E-2</v>
      </c>
      <c r="I972" s="4">
        <v>7</v>
      </c>
    </row>
    <row r="973" spans="1:9">
      <c r="A973" s="4" t="s">
        <v>3248</v>
      </c>
      <c r="B973" s="4">
        <v>556</v>
      </c>
      <c r="C973" s="4" t="s">
        <v>3241</v>
      </c>
      <c r="D973" s="4">
        <v>8</v>
      </c>
      <c r="E973" s="4">
        <v>0.48009342799999999</v>
      </c>
      <c r="F973" s="4">
        <v>0</v>
      </c>
      <c r="G973" s="4">
        <v>2.8293545999999999E-2</v>
      </c>
      <c r="H973" s="4">
        <v>2.4461236855802954E-2</v>
      </c>
      <c r="I973" s="4">
        <v>7</v>
      </c>
    </row>
    <row r="974" spans="1:9">
      <c r="A974" s="4" t="s">
        <v>3249</v>
      </c>
      <c r="B974" s="4">
        <v>556</v>
      </c>
      <c r="C974" s="4" t="s">
        <v>3241</v>
      </c>
      <c r="D974" s="4">
        <v>9</v>
      </c>
      <c r="E974" s="4">
        <v>0.48009342799999999</v>
      </c>
      <c r="F974" s="4">
        <v>0</v>
      </c>
      <c r="G974" s="4">
        <v>2.8389245E-2</v>
      </c>
      <c r="H974" s="4">
        <v>2.4461236855802954E-2</v>
      </c>
      <c r="I974" s="4">
        <v>7</v>
      </c>
    </row>
    <row r="975" spans="1:9">
      <c r="A975" s="4" t="s">
        <v>3250</v>
      </c>
      <c r="B975" s="4">
        <v>556</v>
      </c>
      <c r="C975" s="4" t="s">
        <v>3241</v>
      </c>
      <c r="D975" s="4">
        <v>10</v>
      </c>
      <c r="E975" s="4">
        <v>0.48009342799999999</v>
      </c>
      <c r="F975" s="4">
        <v>100</v>
      </c>
      <c r="G975" s="4">
        <v>1.9234398539999999</v>
      </c>
      <c r="H975" s="4">
        <v>1.6819630092452031</v>
      </c>
      <c r="I975" s="4">
        <v>7</v>
      </c>
    </row>
    <row r="976" spans="1:9">
      <c r="A976" s="4" t="s">
        <v>3251</v>
      </c>
      <c r="B976" s="4">
        <v>556</v>
      </c>
      <c r="C976" s="4" t="s">
        <v>3241</v>
      </c>
      <c r="D976" s="4">
        <v>11</v>
      </c>
      <c r="E976" s="4">
        <v>0.48009342799999999</v>
      </c>
      <c r="F976" s="4">
        <v>100</v>
      </c>
      <c r="G976" s="4">
        <v>1.9337152209999999</v>
      </c>
      <c r="H976" s="4">
        <v>1.6819630092452031</v>
      </c>
      <c r="I976" s="4">
        <v>7</v>
      </c>
    </row>
    <row r="977" spans="1:9">
      <c r="A977" s="4" t="s">
        <v>3252</v>
      </c>
      <c r="B977" s="4">
        <v>556</v>
      </c>
      <c r="C977" s="4" t="s">
        <v>3241</v>
      </c>
      <c r="D977" s="4">
        <v>12</v>
      </c>
      <c r="E977" s="4">
        <v>0.48009342799999999</v>
      </c>
      <c r="F977" s="4">
        <v>100</v>
      </c>
      <c r="G977" s="4">
        <v>1.7452562789999999</v>
      </c>
      <c r="H977" s="4">
        <v>1.6819630092452031</v>
      </c>
      <c r="I977" s="4">
        <v>7</v>
      </c>
    </row>
    <row r="978" spans="1:9">
      <c r="A978" s="4" t="s">
        <v>3253</v>
      </c>
      <c r="B978" s="4">
        <v>556</v>
      </c>
      <c r="C978" s="4" t="s">
        <v>3241</v>
      </c>
      <c r="D978" s="4">
        <v>13</v>
      </c>
      <c r="E978" s="4">
        <v>3.315980707</v>
      </c>
      <c r="F978" s="4">
        <v>0</v>
      </c>
      <c r="G978" s="4">
        <v>3.5484933000000003E-2</v>
      </c>
      <c r="H978" s="4">
        <v>2.4461238087540773E-2</v>
      </c>
      <c r="I978" s="4">
        <v>7</v>
      </c>
    </row>
    <row r="979" spans="1:9">
      <c r="A979" s="4" t="s">
        <v>3254</v>
      </c>
      <c r="B979" s="4">
        <v>556</v>
      </c>
      <c r="C979" s="4" t="s">
        <v>3241</v>
      </c>
      <c r="D979" s="4">
        <v>14</v>
      </c>
      <c r="E979" s="4">
        <v>3.315980707</v>
      </c>
      <c r="F979" s="4">
        <v>0</v>
      </c>
      <c r="G979" s="4">
        <v>3.7700401000000001E-2</v>
      </c>
      <c r="H979" s="4">
        <v>2.4461238087540773E-2</v>
      </c>
      <c r="I979" s="4">
        <v>7</v>
      </c>
    </row>
    <row r="980" spans="1:9">
      <c r="A980" s="4" t="s">
        <v>3255</v>
      </c>
      <c r="B980" s="4">
        <v>556</v>
      </c>
      <c r="C980" s="4" t="s">
        <v>3241</v>
      </c>
      <c r="D980" s="4">
        <v>15</v>
      </c>
      <c r="E980" s="4">
        <v>3.315980707</v>
      </c>
      <c r="F980" s="4">
        <v>0</v>
      </c>
      <c r="G980" s="4">
        <v>3.7486800000000001E-2</v>
      </c>
      <c r="H980" s="4">
        <v>2.4461238087540773E-2</v>
      </c>
      <c r="I980" s="4">
        <v>7</v>
      </c>
    </row>
    <row r="981" spans="1:9">
      <c r="A981" s="4" t="s">
        <v>3256</v>
      </c>
      <c r="B981" s="4">
        <v>556</v>
      </c>
      <c r="C981" s="4" t="s">
        <v>3241</v>
      </c>
      <c r="D981" s="4">
        <v>16</v>
      </c>
      <c r="E981" s="4">
        <v>3.315980707</v>
      </c>
      <c r="F981" s="4">
        <v>100</v>
      </c>
      <c r="G981" s="4">
        <v>4.0408478280000004</v>
      </c>
      <c r="H981" s="4">
        <v>13.300454355900882</v>
      </c>
      <c r="I981" s="4">
        <v>7</v>
      </c>
    </row>
    <row r="982" spans="1:9">
      <c r="A982" s="4" t="s">
        <v>3257</v>
      </c>
      <c r="B982" s="4">
        <v>556</v>
      </c>
      <c r="C982" s="4" t="s">
        <v>3241</v>
      </c>
      <c r="D982" s="4">
        <v>17</v>
      </c>
      <c r="E982" s="4">
        <v>3.315980707</v>
      </c>
      <c r="F982" s="4">
        <v>100</v>
      </c>
      <c r="G982" s="4">
        <v>3.9690019780000001</v>
      </c>
      <c r="H982" s="4">
        <v>13.300454355900882</v>
      </c>
      <c r="I982" s="4">
        <v>7</v>
      </c>
    </row>
    <row r="983" spans="1:9">
      <c r="A983" s="4" t="s">
        <v>3258</v>
      </c>
      <c r="B983" s="4">
        <v>556</v>
      </c>
      <c r="C983" s="4" t="s">
        <v>3241</v>
      </c>
      <c r="D983" s="4">
        <v>18</v>
      </c>
      <c r="E983" s="4">
        <v>3.315980707</v>
      </c>
      <c r="F983" s="4">
        <v>100</v>
      </c>
      <c r="G983" s="4">
        <v>4.0046900799999996</v>
      </c>
      <c r="H983" s="4">
        <v>13.300454355900882</v>
      </c>
      <c r="I983" s="4">
        <v>7</v>
      </c>
    </row>
    <row r="984" spans="1:9">
      <c r="A984" s="4" t="s">
        <v>3259</v>
      </c>
      <c r="B984" s="4">
        <v>558</v>
      </c>
      <c r="C984" s="4" t="s">
        <v>3260</v>
      </c>
      <c r="D984" s="4">
        <v>1</v>
      </c>
      <c r="E984" s="4">
        <v>1.4354824E-2</v>
      </c>
      <c r="F984" s="4">
        <v>0</v>
      </c>
      <c r="G984" s="4">
        <v>0.12415533300000001</v>
      </c>
      <c r="H984" s="4">
        <v>0.2030325925239197</v>
      </c>
      <c r="I984" s="4">
        <v>7</v>
      </c>
    </row>
    <row r="985" spans="1:9">
      <c r="A985" s="4" t="s">
        <v>3261</v>
      </c>
      <c r="B985" s="4">
        <v>558</v>
      </c>
      <c r="C985" s="4" t="s">
        <v>3260</v>
      </c>
      <c r="D985" s="4">
        <v>2</v>
      </c>
      <c r="E985" s="4">
        <v>1.4354824E-2</v>
      </c>
      <c r="F985" s="4">
        <v>0</v>
      </c>
      <c r="G985" s="4">
        <v>9.4542882999999994E-2</v>
      </c>
      <c r="H985" s="4">
        <v>0.2030325925239197</v>
      </c>
      <c r="I985" s="4">
        <v>7</v>
      </c>
    </row>
    <row r="986" spans="1:9">
      <c r="A986" s="4" t="s">
        <v>3262</v>
      </c>
      <c r="B986" s="4">
        <v>558</v>
      </c>
      <c r="C986" s="4" t="s">
        <v>3260</v>
      </c>
      <c r="D986" s="4">
        <v>3</v>
      </c>
      <c r="E986" s="4">
        <v>1.4354824E-2</v>
      </c>
      <c r="F986" s="4">
        <v>0</v>
      </c>
      <c r="G986" s="4">
        <v>0.111226266</v>
      </c>
      <c r="H986" s="4">
        <v>0.2030325925239197</v>
      </c>
      <c r="I986" s="4">
        <v>7</v>
      </c>
    </row>
    <row r="987" spans="1:9">
      <c r="A987" s="4" t="s">
        <v>3263</v>
      </c>
      <c r="B987" s="4">
        <v>558</v>
      </c>
      <c r="C987" s="4" t="s">
        <v>3260</v>
      </c>
      <c r="D987" s="4">
        <v>4</v>
      </c>
      <c r="E987" s="4">
        <v>1.4354824E-2</v>
      </c>
      <c r="F987" s="4">
        <v>200</v>
      </c>
      <c r="G987" s="4">
        <v>0.145305088</v>
      </c>
      <c r="H987" s="4">
        <v>0.2141029614355906</v>
      </c>
      <c r="I987" s="4">
        <v>7</v>
      </c>
    </row>
    <row r="988" spans="1:9">
      <c r="A988" s="4" t="s">
        <v>3264</v>
      </c>
      <c r="B988" s="4">
        <v>558</v>
      </c>
      <c r="C988" s="4" t="s">
        <v>3260</v>
      </c>
      <c r="D988" s="4">
        <v>5</v>
      </c>
      <c r="E988" s="4">
        <v>1.4354824E-2</v>
      </c>
      <c r="F988" s="4">
        <v>200</v>
      </c>
      <c r="G988" s="4">
        <v>0.13242174900000001</v>
      </c>
      <c r="H988" s="4">
        <v>0.2141029614355906</v>
      </c>
      <c r="I988" s="4">
        <v>7</v>
      </c>
    </row>
    <row r="989" spans="1:9">
      <c r="A989" s="4" t="s">
        <v>3265</v>
      </c>
      <c r="B989" s="4">
        <v>558</v>
      </c>
      <c r="C989" s="4" t="s">
        <v>3260</v>
      </c>
      <c r="D989" s="4">
        <v>6</v>
      </c>
      <c r="E989" s="4">
        <v>1.4354824E-2</v>
      </c>
      <c r="F989" s="4">
        <v>200</v>
      </c>
      <c r="G989" s="4">
        <v>0.123138556</v>
      </c>
      <c r="H989" s="4">
        <v>0.2141029614355906</v>
      </c>
      <c r="I989" s="4">
        <v>7</v>
      </c>
    </row>
    <row r="990" spans="1:9">
      <c r="A990" s="4" t="s">
        <v>3266</v>
      </c>
      <c r="B990" s="4">
        <v>558</v>
      </c>
      <c r="C990" s="4" t="s">
        <v>3260</v>
      </c>
      <c r="D990" s="4">
        <v>7</v>
      </c>
      <c r="E990" s="4">
        <v>0.48009342799999999</v>
      </c>
      <c r="F990" s="4">
        <v>0</v>
      </c>
      <c r="G990" s="4">
        <v>0.25609448600000001</v>
      </c>
      <c r="H990" s="4">
        <v>0.20312642921229906</v>
      </c>
      <c r="I990" s="4">
        <v>7</v>
      </c>
    </row>
    <row r="991" spans="1:9">
      <c r="A991" s="4" t="s">
        <v>3267</v>
      </c>
      <c r="B991" s="4">
        <v>558</v>
      </c>
      <c r="C991" s="4" t="s">
        <v>3260</v>
      </c>
      <c r="D991" s="4">
        <v>8</v>
      </c>
      <c r="E991" s="4">
        <v>0.48009342799999999</v>
      </c>
      <c r="F991" s="4">
        <v>0</v>
      </c>
      <c r="G991" s="4">
        <v>0.27771665499999998</v>
      </c>
      <c r="H991" s="4">
        <v>0.20312642921229906</v>
      </c>
      <c r="I991" s="4">
        <v>7</v>
      </c>
    </row>
    <row r="992" spans="1:9">
      <c r="A992" s="4" t="s">
        <v>3268</v>
      </c>
      <c r="B992" s="4">
        <v>558</v>
      </c>
      <c r="C992" s="4" t="s">
        <v>3260</v>
      </c>
      <c r="D992" s="4">
        <v>9</v>
      </c>
      <c r="E992" s="4">
        <v>0.48009342799999999</v>
      </c>
      <c r="F992" s="4">
        <v>0</v>
      </c>
      <c r="G992" s="4">
        <v>0.26679346100000001</v>
      </c>
      <c r="H992" s="4">
        <v>0.20312642921229906</v>
      </c>
      <c r="I992" s="4">
        <v>7</v>
      </c>
    </row>
    <row r="993" spans="1:9">
      <c r="A993" s="4" t="s">
        <v>3269</v>
      </c>
      <c r="B993" s="4">
        <v>558</v>
      </c>
      <c r="C993" s="4" t="s">
        <v>3260</v>
      </c>
      <c r="D993" s="4">
        <v>10</v>
      </c>
      <c r="E993" s="4">
        <v>0.48009342799999999</v>
      </c>
      <c r="F993" s="4">
        <v>200</v>
      </c>
      <c r="G993" s="4">
        <v>7.2358895959999998</v>
      </c>
      <c r="H993" s="4">
        <v>7.0345478294362085</v>
      </c>
      <c r="I993" s="4">
        <v>7</v>
      </c>
    </row>
    <row r="994" spans="1:9">
      <c r="A994" s="4" t="s">
        <v>3270</v>
      </c>
      <c r="B994" s="4">
        <v>558</v>
      </c>
      <c r="C994" s="4" t="s">
        <v>3260</v>
      </c>
      <c r="D994" s="4">
        <v>11</v>
      </c>
      <c r="E994" s="4">
        <v>0.48009342799999999</v>
      </c>
      <c r="F994" s="4">
        <v>200</v>
      </c>
      <c r="G994" s="4">
        <v>7.0636899</v>
      </c>
      <c r="H994" s="4">
        <v>7.0345478294362085</v>
      </c>
      <c r="I994" s="4">
        <v>7</v>
      </c>
    </row>
    <row r="995" spans="1:9">
      <c r="A995" s="4" t="s">
        <v>3271</v>
      </c>
      <c r="B995" s="4">
        <v>558</v>
      </c>
      <c r="C995" s="4" t="s">
        <v>3260</v>
      </c>
      <c r="D995" s="4">
        <v>12</v>
      </c>
      <c r="E995" s="4">
        <v>0.48009342799999999</v>
      </c>
      <c r="F995" s="4">
        <v>200</v>
      </c>
      <c r="G995" s="4">
        <v>7.046900291</v>
      </c>
      <c r="H995" s="4">
        <v>7.0345478294362085</v>
      </c>
      <c r="I995" s="4">
        <v>7</v>
      </c>
    </row>
    <row r="996" spans="1:9">
      <c r="A996" s="4" t="s">
        <v>3272</v>
      </c>
      <c r="B996" s="4">
        <v>558</v>
      </c>
      <c r="C996" s="4" t="s">
        <v>3260</v>
      </c>
      <c r="D996" s="4">
        <v>13</v>
      </c>
      <c r="E996" s="4">
        <v>3.315980707</v>
      </c>
      <c r="F996" s="4">
        <v>0</v>
      </c>
      <c r="G996" s="4">
        <v>0.45741338300000001</v>
      </c>
      <c r="H996" s="4">
        <v>0.20751219353417164</v>
      </c>
      <c r="I996" s="4">
        <v>7</v>
      </c>
    </row>
    <row r="997" spans="1:9">
      <c r="A997" s="4" t="s">
        <v>3273</v>
      </c>
      <c r="B997" s="4">
        <v>558</v>
      </c>
      <c r="C997" s="4" t="s">
        <v>3260</v>
      </c>
      <c r="D997" s="4">
        <v>14</v>
      </c>
      <c r="E997" s="4">
        <v>3.315980707</v>
      </c>
      <c r="F997" s="4">
        <v>0</v>
      </c>
      <c r="G997" s="4">
        <v>0.47517701299999998</v>
      </c>
      <c r="H997" s="4">
        <v>0.20751219353417164</v>
      </c>
      <c r="I997" s="4">
        <v>7</v>
      </c>
    </row>
    <row r="998" spans="1:9">
      <c r="A998" s="4" t="s">
        <v>3274</v>
      </c>
      <c r="B998" s="4">
        <v>558</v>
      </c>
      <c r="C998" s="4" t="s">
        <v>3260</v>
      </c>
      <c r="D998" s="4">
        <v>15</v>
      </c>
      <c r="E998" s="4">
        <v>3.315980707</v>
      </c>
      <c r="F998" s="4">
        <v>0</v>
      </c>
      <c r="G998" s="4">
        <v>0.47206772499999999</v>
      </c>
      <c r="H998" s="4">
        <v>0.20751219353417164</v>
      </c>
      <c r="I998" s="4">
        <v>7</v>
      </c>
    </row>
    <row r="999" spans="1:9">
      <c r="A999" s="4" t="s">
        <v>3275</v>
      </c>
      <c r="B999" s="4">
        <v>558</v>
      </c>
      <c r="C999" s="4" t="s">
        <v>3260</v>
      </c>
      <c r="D999" s="4">
        <v>16</v>
      </c>
      <c r="E999" s="4">
        <v>3.315980707</v>
      </c>
      <c r="F999" s="4">
        <v>200</v>
      </c>
      <c r="G999" s="4">
        <v>7.0886659200000004</v>
      </c>
      <c r="H999" s="4">
        <v>13.608284863869034</v>
      </c>
      <c r="I999" s="4">
        <v>7</v>
      </c>
    </row>
    <row r="1000" spans="1:9">
      <c r="A1000" s="4" t="s">
        <v>3276</v>
      </c>
      <c r="B1000" s="4">
        <v>558</v>
      </c>
      <c r="C1000" s="4" t="s">
        <v>3260</v>
      </c>
      <c r="D1000" s="4">
        <v>17</v>
      </c>
      <c r="E1000" s="4">
        <v>3.315980707</v>
      </c>
      <c r="F1000" s="4">
        <v>200</v>
      </c>
      <c r="G1000" s="4">
        <v>7.3854166670000003</v>
      </c>
      <c r="H1000" s="4">
        <v>13.608284863869034</v>
      </c>
      <c r="I1000" s="4">
        <v>7</v>
      </c>
    </row>
    <row r="1001" spans="1:9">
      <c r="A1001" s="4" t="s">
        <v>3277</v>
      </c>
      <c r="B1001" s="4">
        <v>558</v>
      </c>
      <c r="C1001" s="4" t="s">
        <v>3260</v>
      </c>
      <c r="D1001" s="4">
        <v>18</v>
      </c>
      <c r="E1001" s="4">
        <v>3.315980707</v>
      </c>
      <c r="F1001" s="4">
        <v>200</v>
      </c>
      <c r="G1001" s="4">
        <v>7.1804571519999998</v>
      </c>
      <c r="H1001" s="4">
        <v>13.608284863869034</v>
      </c>
      <c r="I1001" s="4">
        <v>7</v>
      </c>
    </row>
    <row r="1002" spans="1:9">
      <c r="A1002" s="4" t="s">
        <v>3278</v>
      </c>
      <c r="B1002" s="4">
        <v>559</v>
      </c>
      <c r="C1002" s="4" t="s">
        <v>3279</v>
      </c>
      <c r="D1002" s="4">
        <v>1</v>
      </c>
      <c r="E1002" s="4">
        <v>1.4354824E-2</v>
      </c>
      <c r="F1002" s="4">
        <v>0</v>
      </c>
      <c r="G1002" s="4">
        <v>1.9545131E-2</v>
      </c>
      <c r="H1002" s="4">
        <v>2.6155902746255871E-2</v>
      </c>
      <c r="I1002" s="4">
        <v>7</v>
      </c>
    </row>
    <row r="1003" spans="1:9">
      <c r="A1003" s="4" t="s">
        <v>3280</v>
      </c>
      <c r="B1003" s="4">
        <v>559</v>
      </c>
      <c r="C1003" s="4" t="s">
        <v>3279</v>
      </c>
      <c r="D1003" s="4">
        <v>2</v>
      </c>
      <c r="E1003" s="4">
        <v>1.4354824E-2</v>
      </c>
      <c r="F1003" s="4">
        <v>0</v>
      </c>
      <c r="G1003" s="4">
        <v>2.0007128999999998E-2</v>
      </c>
      <c r="H1003" s="4">
        <v>2.6155902746255871E-2</v>
      </c>
      <c r="I1003" s="4">
        <v>7</v>
      </c>
    </row>
    <row r="1004" spans="1:9">
      <c r="A1004" s="4" t="s">
        <v>3281</v>
      </c>
      <c r="B1004" s="4">
        <v>559</v>
      </c>
      <c r="C1004" s="4" t="s">
        <v>3279</v>
      </c>
      <c r="D1004" s="4">
        <v>3</v>
      </c>
      <c r="E1004" s="4">
        <v>1.4354824E-2</v>
      </c>
      <c r="F1004" s="4">
        <v>0</v>
      </c>
      <c r="G1004" s="4">
        <v>2.0278556E-2</v>
      </c>
      <c r="H1004" s="4">
        <v>2.6155902746255871E-2</v>
      </c>
      <c r="I1004" s="4">
        <v>7</v>
      </c>
    </row>
    <row r="1005" spans="1:9">
      <c r="A1005" s="4" t="s">
        <v>3282</v>
      </c>
      <c r="B1005" s="4">
        <v>559</v>
      </c>
      <c r="C1005" s="4" t="s">
        <v>3279</v>
      </c>
      <c r="D1005" s="4">
        <v>4</v>
      </c>
      <c r="E1005" s="4">
        <v>1.4354824E-2</v>
      </c>
      <c r="F1005" s="4">
        <v>0.1</v>
      </c>
      <c r="G1005" s="4">
        <v>2.0759560999999999E-2</v>
      </c>
      <c r="H1005" s="4">
        <v>2.6760686916797581E-2</v>
      </c>
      <c r="I1005" s="4">
        <v>7</v>
      </c>
    </row>
    <row r="1006" spans="1:9">
      <c r="A1006" s="4" t="s">
        <v>3283</v>
      </c>
      <c r="B1006" s="4">
        <v>559</v>
      </c>
      <c r="C1006" s="4" t="s">
        <v>3279</v>
      </c>
      <c r="D1006" s="4">
        <v>5</v>
      </c>
      <c r="E1006" s="4">
        <v>1.4354824E-2</v>
      </c>
      <c r="F1006" s="4">
        <v>0.1</v>
      </c>
      <c r="G1006" s="4">
        <v>1.9596717999999999E-2</v>
      </c>
      <c r="H1006" s="4">
        <v>2.6760686916797581E-2</v>
      </c>
      <c r="I1006" s="4">
        <v>7</v>
      </c>
    </row>
    <row r="1007" spans="1:9">
      <c r="A1007" s="4" t="s">
        <v>3284</v>
      </c>
      <c r="B1007" s="4">
        <v>559</v>
      </c>
      <c r="C1007" s="4" t="s">
        <v>3279</v>
      </c>
      <c r="D1007" s="4">
        <v>6</v>
      </c>
      <c r="E1007" s="4">
        <v>1.4354824E-2</v>
      </c>
      <c r="F1007" s="4">
        <v>0.1</v>
      </c>
      <c r="G1007" s="4">
        <v>2.0799241999999999E-2</v>
      </c>
      <c r="H1007" s="4">
        <v>2.6760686916797581E-2</v>
      </c>
      <c r="I1007" s="4">
        <v>7</v>
      </c>
    </row>
    <row r="1008" spans="1:9">
      <c r="A1008" s="4" t="s">
        <v>3285</v>
      </c>
      <c r="B1008" s="4">
        <v>559</v>
      </c>
      <c r="C1008" s="4" t="s">
        <v>3279</v>
      </c>
      <c r="D1008" s="4">
        <v>7</v>
      </c>
      <c r="E1008" s="4">
        <v>0.48009342799999999</v>
      </c>
      <c r="F1008" s="4">
        <v>0</v>
      </c>
      <c r="G1008" s="4">
        <v>2.9488009999999999E-2</v>
      </c>
      <c r="H1008" s="4">
        <v>2.6155902746424778E-2</v>
      </c>
      <c r="I1008" s="4">
        <v>7</v>
      </c>
    </row>
    <row r="1009" spans="1:9">
      <c r="A1009" s="4" t="s">
        <v>3286</v>
      </c>
      <c r="B1009" s="4">
        <v>559</v>
      </c>
      <c r="C1009" s="4" t="s">
        <v>3279</v>
      </c>
      <c r="D1009" s="4">
        <v>8</v>
      </c>
      <c r="E1009" s="4">
        <v>0.48009342799999999</v>
      </c>
      <c r="F1009" s="4">
        <v>0</v>
      </c>
      <c r="G1009" s="4">
        <v>2.7896996E-2</v>
      </c>
      <c r="H1009" s="4">
        <v>2.6155902746424778E-2</v>
      </c>
      <c r="I1009" s="4">
        <v>7</v>
      </c>
    </row>
    <row r="1010" spans="1:9">
      <c r="A1010" s="4" t="s">
        <v>3287</v>
      </c>
      <c r="B1010" s="4">
        <v>559</v>
      </c>
      <c r="C1010" s="4" t="s">
        <v>3279</v>
      </c>
      <c r="D1010" s="4">
        <v>9</v>
      </c>
      <c r="E1010" s="4">
        <v>0.48009342799999999</v>
      </c>
      <c r="F1010" s="4">
        <v>0</v>
      </c>
      <c r="G1010" s="4">
        <v>2.7746050000000001E-2</v>
      </c>
      <c r="H1010" s="4">
        <v>2.6155902746424778E-2</v>
      </c>
      <c r="I1010" s="4">
        <v>7</v>
      </c>
    </row>
    <row r="1011" spans="1:9">
      <c r="A1011" s="4" t="s">
        <v>3288</v>
      </c>
      <c r="B1011" s="4">
        <v>559</v>
      </c>
      <c r="C1011" s="4" t="s">
        <v>3279</v>
      </c>
      <c r="D1011" s="4">
        <v>10</v>
      </c>
      <c r="E1011" s="4">
        <v>0.48009342799999999</v>
      </c>
      <c r="F1011" s="4">
        <v>0.1</v>
      </c>
      <c r="G1011" s="4">
        <v>0.223193523</v>
      </c>
      <c r="H1011" s="4">
        <v>0.27448045360572371</v>
      </c>
      <c r="I1011" s="4">
        <v>7</v>
      </c>
    </row>
    <row r="1012" spans="1:9">
      <c r="A1012" s="4" t="s">
        <v>3289</v>
      </c>
      <c r="B1012" s="4">
        <v>559</v>
      </c>
      <c r="C1012" s="4" t="s">
        <v>3279</v>
      </c>
      <c r="D1012" s="4">
        <v>11</v>
      </c>
      <c r="E1012" s="4">
        <v>0.48009342799999999</v>
      </c>
      <c r="F1012" s="4">
        <v>0.1</v>
      </c>
      <c r="G1012" s="4">
        <v>0.24388464500000001</v>
      </c>
      <c r="H1012" s="4">
        <v>0.27448045360572371</v>
      </c>
      <c r="I1012" s="4">
        <v>7</v>
      </c>
    </row>
    <row r="1013" spans="1:9">
      <c r="A1013" s="4" t="s">
        <v>3290</v>
      </c>
      <c r="B1013" s="4">
        <v>559</v>
      </c>
      <c r="C1013" s="4" t="s">
        <v>3279</v>
      </c>
      <c r="D1013" s="4">
        <v>12</v>
      </c>
      <c r="E1013" s="4">
        <v>0.48009342799999999</v>
      </c>
      <c r="F1013" s="4">
        <v>0.1</v>
      </c>
      <c r="G1013" s="4">
        <v>0.24946722399999999</v>
      </c>
      <c r="H1013" s="4">
        <v>0.27448045360572371</v>
      </c>
      <c r="I1013" s="4">
        <v>7</v>
      </c>
    </row>
    <row r="1014" spans="1:9">
      <c r="A1014" s="4" t="s">
        <v>3291</v>
      </c>
      <c r="B1014" s="4">
        <v>559</v>
      </c>
      <c r="C1014" s="4" t="s">
        <v>3279</v>
      </c>
      <c r="D1014" s="4">
        <v>13</v>
      </c>
      <c r="E1014" s="4">
        <v>3.315980707</v>
      </c>
      <c r="F1014" s="4">
        <v>0</v>
      </c>
      <c r="G1014" s="4">
        <v>4.6871351999999998E-2</v>
      </c>
      <c r="H1014" s="4">
        <v>2.6155902754131221E-2</v>
      </c>
      <c r="I1014" s="4">
        <v>7</v>
      </c>
    </row>
    <row r="1015" spans="1:9">
      <c r="A1015" s="4" t="s">
        <v>3292</v>
      </c>
      <c r="B1015" s="4">
        <v>559</v>
      </c>
      <c r="C1015" s="4" t="s">
        <v>3279</v>
      </c>
      <c r="D1015" s="4">
        <v>14</v>
      </c>
      <c r="E1015" s="4">
        <v>3.315980707</v>
      </c>
      <c r="F1015" s="4">
        <v>0</v>
      </c>
      <c r="G1015" s="4">
        <v>3.8190623E-2</v>
      </c>
      <c r="H1015" s="4">
        <v>2.6155902754131221E-2</v>
      </c>
      <c r="I1015" s="4">
        <v>7</v>
      </c>
    </row>
    <row r="1016" spans="1:9">
      <c r="A1016" s="4" t="s">
        <v>3293</v>
      </c>
      <c r="B1016" s="4">
        <v>559</v>
      </c>
      <c r="C1016" s="4" t="s">
        <v>3279</v>
      </c>
      <c r="D1016" s="4">
        <v>15</v>
      </c>
      <c r="E1016" s="4">
        <v>3.315980707</v>
      </c>
      <c r="F1016" s="4">
        <v>0</v>
      </c>
      <c r="G1016" s="4">
        <v>4.0750761000000003E-2</v>
      </c>
      <c r="H1016" s="4">
        <v>2.6155902754131221E-2</v>
      </c>
      <c r="I1016" s="4">
        <v>7</v>
      </c>
    </row>
    <row r="1017" spans="1:9">
      <c r="A1017" s="4" t="s">
        <v>3294</v>
      </c>
      <c r="B1017" s="4">
        <v>559</v>
      </c>
      <c r="C1017" s="4" t="s">
        <v>3279</v>
      </c>
      <c r="D1017" s="4">
        <v>16</v>
      </c>
      <c r="E1017" s="4">
        <v>3.315980707</v>
      </c>
      <c r="F1017" s="4">
        <v>0.1</v>
      </c>
      <c r="G1017" s="4">
        <v>3.161030394</v>
      </c>
      <c r="H1017" s="4">
        <v>2.6634573526269185</v>
      </c>
      <c r="I1017" s="4">
        <v>7</v>
      </c>
    </row>
    <row r="1018" spans="1:9">
      <c r="A1018" s="4" t="s">
        <v>3295</v>
      </c>
      <c r="B1018" s="4">
        <v>559</v>
      </c>
      <c r="C1018" s="4" t="s">
        <v>3279</v>
      </c>
      <c r="D1018" s="4">
        <v>17</v>
      </c>
      <c r="E1018" s="4">
        <v>3.315980707</v>
      </c>
      <c r="F1018" s="4">
        <v>0.1</v>
      </c>
      <c r="G1018" s="4">
        <v>3.1283778199999999</v>
      </c>
      <c r="H1018" s="4">
        <v>2.6634573526269185</v>
      </c>
      <c r="I1018" s="4">
        <v>7</v>
      </c>
    </row>
    <row r="1019" spans="1:9">
      <c r="A1019" s="4" t="s">
        <v>3296</v>
      </c>
      <c r="B1019" s="4">
        <v>559</v>
      </c>
      <c r="C1019" s="4" t="s">
        <v>3279</v>
      </c>
      <c r="D1019" s="4">
        <v>18</v>
      </c>
      <c r="E1019" s="4">
        <v>3.315980707</v>
      </c>
      <c r="F1019" s="4">
        <v>0.1</v>
      </c>
      <c r="G1019" s="4">
        <v>3.0029242319999998</v>
      </c>
      <c r="H1019" s="4">
        <v>2.6634573526269185</v>
      </c>
      <c r="I1019" s="4">
        <v>7</v>
      </c>
    </row>
  </sheetData>
  <mergeCells count="81">
    <mergeCell ref="A65:I65"/>
    <mergeCell ref="K119:K124"/>
    <mergeCell ref="K106:K111"/>
    <mergeCell ref="M116:U116"/>
    <mergeCell ref="M118:O118"/>
    <mergeCell ref="P118:R118"/>
    <mergeCell ref="S118:U118"/>
    <mergeCell ref="K94:K99"/>
    <mergeCell ref="M103:U103"/>
    <mergeCell ref="M105:O105"/>
    <mergeCell ref="P105:R105"/>
    <mergeCell ref="S105:U105"/>
    <mergeCell ref="K82:K87"/>
    <mergeCell ref="M91:U91"/>
    <mergeCell ref="M93:O93"/>
    <mergeCell ref="P93:R93"/>
    <mergeCell ref="S93:U93"/>
    <mergeCell ref="M68:T68"/>
    <mergeCell ref="K71:K76"/>
    <mergeCell ref="M79:U79"/>
    <mergeCell ref="M81:O81"/>
    <mergeCell ref="P81:R81"/>
    <mergeCell ref="S81:U81"/>
    <mergeCell ref="N37:S37"/>
    <mergeCell ref="B42:G42"/>
    <mergeCell ref="B43:D43"/>
    <mergeCell ref="E43:G43"/>
    <mergeCell ref="B27:G27"/>
    <mergeCell ref="H27:M27"/>
    <mergeCell ref="E28:G28"/>
    <mergeCell ref="B28:D28"/>
    <mergeCell ref="B37:G37"/>
    <mergeCell ref="H37:M37"/>
    <mergeCell ref="N27:S27"/>
    <mergeCell ref="N32:S32"/>
    <mergeCell ref="H32:M32"/>
    <mergeCell ref="B32:G32"/>
    <mergeCell ref="Q28:S28"/>
    <mergeCell ref="N28:P28"/>
    <mergeCell ref="K28:M28"/>
    <mergeCell ref="H28:J28"/>
    <mergeCell ref="Q23:S23"/>
    <mergeCell ref="N22:S22"/>
    <mergeCell ref="B23:D23"/>
    <mergeCell ref="E23:G23"/>
    <mergeCell ref="B22:G22"/>
    <mergeCell ref="H22:M22"/>
    <mergeCell ref="H23:J23"/>
    <mergeCell ref="K23:M23"/>
    <mergeCell ref="N23:P23"/>
    <mergeCell ref="B12:G12"/>
    <mergeCell ref="H12:M12"/>
    <mergeCell ref="B17:G17"/>
    <mergeCell ref="N13:P13"/>
    <mergeCell ref="Q13:S13"/>
    <mergeCell ref="N12:S12"/>
    <mergeCell ref="N17:S17"/>
    <mergeCell ref="B18:D18"/>
    <mergeCell ref="E18:G18"/>
    <mergeCell ref="B13:D13"/>
    <mergeCell ref="E13:G13"/>
    <mergeCell ref="H13:J13"/>
    <mergeCell ref="H17:M17"/>
    <mergeCell ref="H18:J18"/>
    <mergeCell ref="K13:M13"/>
    <mergeCell ref="N2:S2"/>
    <mergeCell ref="B7:G7"/>
    <mergeCell ref="E8:G8"/>
    <mergeCell ref="B8:D8"/>
    <mergeCell ref="H8:J8"/>
    <mergeCell ref="K8:M8"/>
    <mergeCell ref="Q8:S8"/>
    <mergeCell ref="N8:P8"/>
    <mergeCell ref="O7:S7"/>
    <mergeCell ref="H7:M7"/>
    <mergeCell ref="B2:G2"/>
    <mergeCell ref="B3:D3"/>
    <mergeCell ref="E3:G3"/>
    <mergeCell ref="H2:M2"/>
    <mergeCell ref="H3:J3"/>
    <mergeCell ref="K3:M3"/>
  </mergeCells>
  <phoneticPr fontId="3" type="noConversion"/>
  <conditionalFormatting sqref="W76:AE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{1217FA71-B1AB-4C7A-93D8-62E68935DDD0}</x14:id>
        </ext>
      </extLst>
    </cfRule>
  </conditionalFormatting>
  <conditionalFormatting sqref="W87:AE8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{D9C720D4-BE2A-479F-9C1B-402A86A73B0A}</x14:id>
        </ext>
      </extLst>
    </cfRule>
  </conditionalFormatting>
  <conditionalFormatting sqref="W99:AE9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{724A2204-6031-4FC3-82B1-4535C012B06E}</x14:id>
        </ext>
      </extLst>
    </cfRule>
  </conditionalFormatting>
  <conditionalFormatting sqref="W111:AE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{E364E90E-11B9-4B84-BF82-7DF0DC5D8EEE}</x14:id>
        </ext>
      </extLst>
    </cfRule>
  </conditionalFormatting>
  <conditionalFormatting sqref="W124:AE1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{0D5F2C5F-8F18-468B-8839-7D79B29700EC}</x14:id>
        </ext>
      </extLst>
    </cfRule>
  </conditionalFormatting>
  <conditionalFormatting sqref="AB4:AH4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{6772CB0E-22D6-4314-8707-091E3F62F32F}</x14:id>
        </ext>
      </extLst>
    </cfRule>
  </conditionalFormatting>
  <conditionalFormatting sqref="AF76:AH7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{434CF1C4-948E-4353-94E0-FDF4491AB3D6}</x14:id>
        </ext>
      </extLst>
    </cfRule>
  </conditionalFormatting>
  <conditionalFormatting sqref="AF78:AH7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{E367F625-EE1B-4D5E-8AC3-D04074FB134E}</x14:id>
        </ext>
      </extLst>
    </cfRule>
  </conditionalFormatting>
  <conditionalFormatting sqref="AF87:AH8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{2480A936-E44F-4199-8A1F-803DDD004A26}</x14:id>
        </ext>
      </extLst>
    </cfRule>
  </conditionalFormatting>
  <conditionalFormatting sqref="AF89:AH8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{D7FAB37F-9B5F-432F-B21B-CFF2F33EB098}</x14:id>
        </ext>
      </extLst>
    </cfRule>
  </conditionalFormatting>
  <conditionalFormatting sqref="AF99:AH9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{48F255EA-F73B-4607-B883-81B694042861}</x14:id>
        </ext>
      </extLst>
    </cfRule>
  </conditionalFormatting>
  <conditionalFormatting sqref="AF101:AH10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{E8127C85-5AEA-4D91-A9B1-025EA4A6CA11}</x14:id>
        </ext>
      </extLst>
    </cfRule>
  </conditionalFormatting>
  <conditionalFormatting sqref="AF111:AH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{9D1F2138-205F-4DBF-B4D3-66521BD28F53}</x14:id>
        </ext>
      </extLst>
    </cfRule>
  </conditionalFormatting>
  <conditionalFormatting sqref="AF113:AH1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{5577C035-704B-432D-BC5F-8399DCC1E433}</x14:id>
        </ext>
      </extLst>
    </cfRule>
  </conditionalFormatting>
  <conditionalFormatting sqref="AF124:AH1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{F1E75C13-B2B6-42FD-8C30-DF19E80B6ED9}</x14:id>
        </ext>
      </extLst>
    </cfRule>
  </conditionalFormatting>
  <conditionalFormatting sqref="AF126:AH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{0805634A-96E4-4D7E-89A5-925D17AE428F}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7FA71-B1AB-4C7A-93D8-62E68935D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W76:AE76</xm:sqref>
        </x14:conditionalFormatting>
        <x14:conditionalFormatting xmlns:xm="http://schemas.microsoft.com/office/excel/2006/main">
          <x14:cfRule type="dataBar" id="{D9C720D4-BE2A-479F-9C1B-402A86A73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W87:AE87</xm:sqref>
        </x14:conditionalFormatting>
        <x14:conditionalFormatting xmlns:xm="http://schemas.microsoft.com/office/excel/2006/main">
          <x14:cfRule type="dataBar" id="{724A2204-6031-4FC3-82B1-4535C012B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W99:AE99</xm:sqref>
        </x14:conditionalFormatting>
        <x14:conditionalFormatting xmlns:xm="http://schemas.microsoft.com/office/excel/2006/main">
          <x14:cfRule type="dataBar" id="{E364E90E-11B9-4B84-BF82-7DF0DC5D8E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W111:AE111</xm:sqref>
        </x14:conditionalFormatting>
        <x14:conditionalFormatting xmlns:xm="http://schemas.microsoft.com/office/excel/2006/main">
          <x14:cfRule type="dataBar" id="{0D5F2C5F-8F18-468B-8839-7D79B29700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W124:AE124</xm:sqref>
        </x14:conditionalFormatting>
        <x14:conditionalFormatting xmlns:xm="http://schemas.microsoft.com/office/excel/2006/main">
          <x14:cfRule type="dataBar" id="{6772CB0E-22D6-4314-8707-091E3F62F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AB4:AH46</xm:sqref>
        </x14:conditionalFormatting>
        <x14:conditionalFormatting xmlns:xm="http://schemas.microsoft.com/office/excel/2006/main">
          <x14:cfRule type="dataBar" id="{434CF1C4-948E-4353-94E0-FDF4491AB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AF76:AH76</xm:sqref>
        </x14:conditionalFormatting>
        <x14:conditionalFormatting xmlns:xm="http://schemas.microsoft.com/office/excel/2006/main">
          <x14:cfRule type="dataBar" id="{E367F625-EE1B-4D5E-8AC3-D04074FB13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AF78:AH78</xm:sqref>
        </x14:conditionalFormatting>
        <x14:conditionalFormatting xmlns:xm="http://schemas.microsoft.com/office/excel/2006/main">
          <x14:cfRule type="dataBar" id="{2480A936-E44F-4199-8A1F-803DDD004A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AF87:AH87</xm:sqref>
        </x14:conditionalFormatting>
        <x14:conditionalFormatting xmlns:xm="http://schemas.microsoft.com/office/excel/2006/main">
          <x14:cfRule type="dataBar" id="{D7FAB37F-9B5F-432F-B21B-CFF2F33EB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AF89:AH89</xm:sqref>
        </x14:conditionalFormatting>
        <x14:conditionalFormatting xmlns:xm="http://schemas.microsoft.com/office/excel/2006/main">
          <x14:cfRule type="dataBar" id="{48F255EA-F73B-4607-B883-81B694042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AF99:AH99</xm:sqref>
        </x14:conditionalFormatting>
        <x14:conditionalFormatting xmlns:xm="http://schemas.microsoft.com/office/excel/2006/main">
          <x14:cfRule type="dataBar" id="{E8127C85-5AEA-4D91-A9B1-025EA4A6C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AF101:AH101</xm:sqref>
        </x14:conditionalFormatting>
        <x14:conditionalFormatting xmlns:xm="http://schemas.microsoft.com/office/excel/2006/main">
          <x14:cfRule type="dataBar" id="{9D1F2138-205F-4DBF-B4D3-66521BD28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AF111:AH111</xm:sqref>
        </x14:conditionalFormatting>
        <x14:conditionalFormatting xmlns:xm="http://schemas.microsoft.com/office/excel/2006/main">
          <x14:cfRule type="dataBar" id="{5577C035-704B-432D-BC5F-8399DCC1E4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AF113:AH113</xm:sqref>
        </x14:conditionalFormatting>
        <x14:conditionalFormatting xmlns:xm="http://schemas.microsoft.com/office/excel/2006/main">
          <x14:cfRule type="dataBar" id="{F1E75C13-B2B6-42FD-8C30-DF19E80B6E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AF124:AH124</xm:sqref>
        </x14:conditionalFormatting>
        <x14:conditionalFormatting xmlns:xm="http://schemas.microsoft.com/office/excel/2006/main">
          <x14:cfRule type="dataBar" id="{0805634A-96E4-4D7E-89A5-925D17AE4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AF126:AH126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CFBA-3336-4402-9140-92B38A3183DA}">
  <dimension ref="A1:AW142"/>
  <sheetViews>
    <sheetView topLeftCell="A51" zoomScale="70" zoomScaleNormal="70" workbookViewId="0">
      <selection activeCell="N102" sqref="N102:W110"/>
    </sheetView>
  </sheetViews>
  <sheetFormatPr defaultColWidth="8.625" defaultRowHeight="14.25"/>
  <cols>
    <col min="1" max="1" width="8.625" style="4"/>
    <col min="2" max="2" width="16.5" style="4" customWidth="1"/>
    <col min="3" max="3" width="11.5" style="4" customWidth="1"/>
    <col min="4" max="4" width="8.625" style="4"/>
    <col min="5" max="5" width="13.375" style="4" customWidth="1"/>
    <col min="6" max="6" width="12.625" style="4" customWidth="1"/>
    <col min="7" max="7" width="27.25" style="4" customWidth="1"/>
    <col min="8" max="8" width="20.875" style="4" customWidth="1"/>
    <col min="9" max="9" width="18.875" style="4" customWidth="1"/>
    <col min="10" max="10" width="12" style="4" customWidth="1"/>
    <col min="11" max="11" width="21.125" style="4" customWidth="1"/>
    <col min="12" max="12" width="23.25" style="4" customWidth="1"/>
    <col min="13" max="13" width="8.625" style="4"/>
    <col min="14" max="14" width="19.875" style="4" customWidth="1"/>
    <col min="15" max="15" width="20.5" style="4" customWidth="1"/>
    <col min="16" max="18" width="8.625" style="4"/>
    <col min="19" max="19" width="13.125" style="4" customWidth="1"/>
    <col min="20" max="16384" width="8.625" style="4"/>
  </cols>
  <sheetData>
    <row r="1" spans="1:49">
      <c r="A1" s="4" t="s">
        <v>1569</v>
      </c>
      <c r="B1" s="79" t="s">
        <v>571</v>
      </c>
      <c r="C1"/>
      <c r="D1"/>
      <c r="E1"/>
      <c r="F1"/>
      <c r="G1"/>
      <c r="H1" s="79" t="s">
        <v>583</v>
      </c>
      <c r="I1"/>
      <c r="J1"/>
      <c r="K1"/>
      <c r="L1"/>
      <c r="M1"/>
      <c r="N1" s="79" t="s">
        <v>1133</v>
      </c>
      <c r="O1"/>
      <c r="P1"/>
      <c r="Q1"/>
      <c r="R1"/>
      <c r="S1"/>
      <c r="T1" s="79" t="s">
        <v>1134</v>
      </c>
      <c r="U1"/>
      <c r="V1"/>
      <c r="W1"/>
      <c r="X1"/>
      <c r="Y1"/>
      <c r="Z1" s="79" t="s">
        <v>1135</v>
      </c>
      <c r="AA1"/>
      <c r="AB1"/>
      <c r="AC1"/>
      <c r="AD1"/>
      <c r="AE1"/>
      <c r="AF1" s="79" t="s">
        <v>1136</v>
      </c>
      <c r="AG1"/>
      <c r="AH1"/>
      <c r="AI1"/>
      <c r="AJ1"/>
      <c r="AK1"/>
      <c r="AL1" s="79" t="s">
        <v>1137</v>
      </c>
      <c r="AM1"/>
      <c r="AN1"/>
      <c r="AO1"/>
      <c r="AP1"/>
      <c r="AQ1"/>
      <c r="AR1" s="79" t="s">
        <v>1138</v>
      </c>
      <c r="AS1"/>
      <c r="AT1"/>
      <c r="AU1"/>
      <c r="AV1"/>
      <c r="AW1"/>
    </row>
    <row r="2" spans="1:49">
      <c r="B2" s="3" t="s">
        <v>1139</v>
      </c>
      <c r="C2" s="3" t="s">
        <v>1140</v>
      </c>
      <c r="D2" s="3" t="s">
        <v>1139</v>
      </c>
      <c r="E2" s="3" t="s">
        <v>579</v>
      </c>
      <c r="F2" s="3" t="s">
        <v>1139</v>
      </c>
      <c r="G2" s="3" t="s">
        <v>1141</v>
      </c>
      <c r="H2" s="3" t="s">
        <v>1139</v>
      </c>
      <c r="I2" s="3" t="s">
        <v>572</v>
      </c>
      <c r="J2" s="3" t="s">
        <v>1139</v>
      </c>
      <c r="K2" s="3" t="s">
        <v>579</v>
      </c>
      <c r="L2" s="3" t="s">
        <v>1139</v>
      </c>
      <c r="M2" s="3" t="s">
        <v>1141</v>
      </c>
      <c r="N2" s="3" t="s">
        <v>1139</v>
      </c>
      <c r="O2" s="3" t="s">
        <v>572</v>
      </c>
      <c r="P2" s="3" t="s">
        <v>1139</v>
      </c>
      <c r="Q2" s="3" t="s">
        <v>579</v>
      </c>
      <c r="R2" s="3" t="s">
        <v>1139</v>
      </c>
      <c r="S2" s="3" t="s">
        <v>1141</v>
      </c>
      <c r="T2" s="3" t="s">
        <v>1139</v>
      </c>
      <c r="U2" s="3" t="s">
        <v>572</v>
      </c>
      <c r="V2" s="3" t="s">
        <v>1139</v>
      </c>
      <c r="W2" s="3" t="s">
        <v>579</v>
      </c>
      <c r="X2" s="3" t="s">
        <v>1139</v>
      </c>
      <c r="Y2" s="3" t="s">
        <v>1141</v>
      </c>
      <c r="Z2" s="3" t="s">
        <v>1139</v>
      </c>
      <c r="AA2" s="3" t="s">
        <v>572</v>
      </c>
      <c r="AB2" s="3" t="s">
        <v>1139</v>
      </c>
      <c r="AC2" s="3" t="s">
        <v>579</v>
      </c>
      <c r="AD2" s="3" t="s">
        <v>1139</v>
      </c>
      <c r="AE2" s="3" t="s">
        <v>1141</v>
      </c>
      <c r="AF2" s="3" t="s">
        <v>1139</v>
      </c>
      <c r="AG2" s="3" t="s">
        <v>1142</v>
      </c>
      <c r="AH2" s="3" t="s">
        <v>1139</v>
      </c>
      <c r="AI2" s="3" t="s">
        <v>579</v>
      </c>
      <c r="AJ2" s="3" t="s">
        <v>1139</v>
      </c>
      <c r="AK2" s="3" t="s">
        <v>1141</v>
      </c>
      <c r="AL2" s="3" t="s">
        <v>1139</v>
      </c>
      <c r="AM2" s="3" t="s">
        <v>1142</v>
      </c>
      <c r="AN2" s="3" t="s">
        <v>1139</v>
      </c>
      <c r="AO2" s="3" t="s">
        <v>579</v>
      </c>
      <c r="AP2" s="3" t="s">
        <v>1139</v>
      </c>
      <c r="AQ2" s="3" t="s">
        <v>1141</v>
      </c>
      <c r="AR2" s="3" t="s">
        <v>570</v>
      </c>
      <c r="AS2" s="3" t="s">
        <v>1142</v>
      </c>
      <c r="AT2" s="3" t="s">
        <v>1139</v>
      </c>
      <c r="AU2" s="3" t="s">
        <v>579</v>
      </c>
      <c r="AV2" s="3" t="s">
        <v>1139</v>
      </c>
      <c r="AW2" s="3" t="s">
        <v>1141</v>
      </c>
    </row>
    <row r="3" spans="1:49">
      <c r="B3" s="2">
        <v>9.9400000000000002E-2</v>
      </c>
      <c r="C3" s="2">
        <v>3.2429269999999999</v>
      </c>
      <c r="D3" s="2">
        <v>0.32140000000000002</v>
      </c>
      <c r="E3" s="2">
        <v>8.1150939999999991</v>
      </c>
      <c r="F3" s="2">
        <v>0.32040000000000002</v>
      </c>
      <c r="G3" s="2">
        <v>13.727209999999999</v>
      </c>
      <c r="H3" s="2">
        <v>9.9400000000000002E-2</v>
      </c>
      <c r="I3" s="2">
        <v>11.030329999999999</v>
      </c>
      <c r="J3" s="2">
        <v>0.32140000000000002</v>
      </c>
      <c r="K3" s="2">
        <v>1.2839499999999999</v>
      </c>
      <c r="L3" s="2">
        <v>0.32040000000000002</v>
      </c>
      <c r="M3" s="2">
        <v>5.0856620000000001</v>
      </c>
      <c r="N3" s="2">
        <v>9.9400000000000002E-2</v>
      </c>
      <c r="O3" s="2">
        <v>12.43627</v>
      </c>
      <c r="P3" s="2">
        <v>0.32140000000000002</v>
      </c>
      <c r="Q3" s="2">
        <v>10.91948</v>
      </c>
      <c r="R3" s="2">
        <v>0.32040000000000002</v>
      </c>
      <c r="S3" s="2">
        <v>14.37649</v>
      </c>
      <c r="T3" s="2">
        <v>9.9400000000000002E-2</v>
      </c>
      <c r="U3" s="2">
        <v>35.129882989999999</v>
      </c>
      <c r="V3" s="2">
        <v>0.32140000000000002</v>
      </c>
      <c r="W3" s="2">
        <v>20.266210000000001</v>
      </c>
      <c r="X3" s="2">
        <v>0.32040000000000002</v>
      </c>
      <c r="Y3" s="2">
        <v>34.457639999999998</v>
      </c>
      <c r="Z3" s="2">
        <v>9.9400000000000002E-2</v>
      </c>
      <c r="AA3" s="2">
        <v>0.14876500000000001</v>
      </c>
      <c r="AB3" s="2">
        <v>0.32140000000000002</v>
      </c>
      <c r="AC3" s="2">
        <v>10.109400000000001</v>
      </c>
      <c r="AD3" s="2">
        <v>0.32040000000000002</v>
      </c>
      <c r="AE3" s="2">
        <v>5.2325220000000003</v>
      </c>
      <c r="AF3" s="2">
        <v>9.9400000000000002E-2</v>
      </c>
      <c r="AG3" s="2">
        <v>27.091750000000001</v>
      </c>
      <c r="AH3" s="2">
        <v>0.32140000000000002</v>
      </c>
      <c r="AI3" s="2">
        <v>5.7811349999999999</v>
      </c>
      <c r="AJ3" s="2">
        <v>0.32040000000000002</v>
      </c>
      <c r="AK3" s="2">
        <v>29.84122</v>
      </c>
      <c r="AL3" s="2">
        <v>9.9400000000000002E-2</v>
      </c>
      <c r="AM3" s="2">
        <v>1.435832</v>
      </c>
      <c r="AN3" s="2">
        <v>0.32140000000000002</v>
      </c>
      <c r="AO3" s="2">
        <v>3.2891569999999999</v>
      </c>
      <c r="AP3" s="2">
        <v>0.32040000000000002</v>
      </c>
      <c r="AQ3" s="2">
        <v>3.4953240000000001</v>
      </c>
      <c r="AR3" s="2">
        <v>9.9400000000000002E-2</v>
      </c>
      <c r="AS3" s="2">
        <v>0.72822399999999998</v>
      </c>
      <c r="AT3" s="2">
        <v>0.32140000000000002</v>
      </c>
      <c r="AU3" s="2">
        <v>6.8182479999999996</v>
      </c>
      <c r="AV3" s="2">
        <v>0.32040000000000002</v>
      </c>
      <c r="AW3" s="2">
        <v>2.3552270000000002</v>
      </c>
    </row>
    <row r="4" spans="1:49">
      <c r="B4" s="2">
        <v>0.2104</v>
      </c>
      <c r="C4" s="2">
        <v>6.964836</v>
      </c>
      <c r="D4" s="2">
        <v>0.35099999999999998</v>
      </c>
      <c r="E4" s="2">
        <v>7.8662590000000003</v>
      </c>
      <c r="F4" s="2">
        <v>0.376</v>
      </c>
      <c r="G4" s="2">
        <v>2.8228599999999999</v>
      </c>
      <c r="H4" s="2">
        <v>0.2104</v>
      </c>
      <c r="I4" s="2">
        <v>5.6460000000000003E-2</v>
      </c>
      <c r="J4" s="2">
        <v>0.35099999999999998</v>
      </c>
      <c r="K4" s="2">
        <v>0.103348</v>
      </c>
      <c r="L4" s="2">
        <v>0.376</v>
      </c>
      <c r="M4" s="2">
        <v>9.4798650000000002</v>
      </c>
      <c r="N4" s="2">
        <v>0.2104</v>
      </c>
      <c r="O4" s="2">
        <v>19.345199999999998</v>
      </c>
      <c r="P4" s="2">
        <v>0.35099999999999998</v>
      </c>
      <c r="Q4" s="2">
        <v>18.769570000000002</v>
      </c>
      <c r="R4" s="2">
        <v>0.376</v>
      </c>
      <c r="S4" s="2">
        <v>13.518520000000001</v>
      </c>
      <c r="T4" s="2">
        <v>0.2104</v>
      </c>
      <c r="U4" s="2">
        <v>10.025568010000001</v>
      </c>
      <c r="V4" s="2">
        <v>0.35099999999999998</v>
      </c>
      <c r="W4" s="2">
        <v>24.50911</v>
      </c>
      <c r="X4" s="2">
        <v>0.376</v>
      </c>
      <c r="Y4" s="2">
        <v>22.444120000000002</v>
      </c>
      <c r="Z4" s="2">
        <v>0.2104</v>
      </c>
      <c r="AA4" s="2">
        <v>20.949850000000001</v>
      </c>
      <c r="AB4" s="2">
        <v>0.35099999999999998</v>
      </c>
      <c r="AC4" s="2">
        <v>9.5917539999999999</v>
      </c>
      <c r="AD4" s="2">
        <v>0.376</v>
      </c>
      <c r="AE4" s="2">
        <v>7.5590919999999997</v>
      </c>
      <c r="AF4" s="2">
        <v>0.2104</v>
      </c>
      <c r="AG4" s="2">
        <v>17.21866</v>
      </c>
      <c r="AH4" s="2">
        <v>0.35099999999999998</v>
      </c>
      <c r="AI4" s="2">
        <v>15.18417</v>
      </c>
      <c r="AJ4" s="2">
        <v>0.376</v>
      </c>
      <c r="AK4" s="2">
        <v>31.725280000000001</v>
      </c>
      <c r="AL4" s="2">
        <v>0.2104</v>
      </c>
      <c r="AM4" s="2">
        <v>1.673559</v>
      </c>
      <c r="AN4" s="2">
        <v>0.35099999999999998</v>
      </c>
      <c r="AO4" s="2">
        <v>3.0094449999999999</v>
      </c>
      <c r="AP4" s="2">
        <v>0.376</v>
      </c>
      <c r="AQ4" s="2">
        <v>4.0054689999999997</v>
      </c>
      <c r="AR4" s="2">
        <v>0.2104</v>
      </c>
      <c r="AS4" s="2">
        <v>8.5156320000000001</v>
      </c>
      <c r="AT4" s="2">
        <v>0.35099999999999998</v>
      </c>
      <c r="AU4" s="2">
        <v>1.291215</v>
      </c>
      <c r="AV4" s="2">
        <v>0.376</v>
      </c>
      <c r="AW4" s="2">
        <v>5.1822800000000004</v>
      </c>
    </row>
    <row r="5" spans="1:49">
      <c r="B5" s="2">
        <v>5.3400000000000003E-2</v>
      </c>
      <c r="C5" s="2">
        <v>9.0560890000000001</v>
      </c>
      <c r="D5" s="10" t="s">
        <v>573</v>
      </c>
      <c r="E5" s="10" t="s">
        <v>574</v>
      </c>
      <c r="F5" s="2">
        <v>0.36099999999999999</v>
      </c>
      <c r="G5" s="2">
        <v>2.9330050000000001</v>
      </c>
      <c r="H5" s="2">
        <v>5.3400000000000003E-2</v>
      </c>
      <c r="I5" s="2">
        <v>6.7603999999999997E-2</v>
      </c>
      <c r="J5" s="10" t="s">
        <v>573</v>
      </c>
      <c r="K5" s="10" t="s">
        <v>580</v>
      </c>
      <c r="L5" s="2">
        <v>0.36099999999999999</v>
      </c>
      <c r="M5" s="2">
        <v>6.5523290000000003</v>
      </c>
      <c r="N5" s="2">
        <v>5.3400000000000003E-2</v>
      </c>
      <c r="O5" s="2">
        <v>0.367919</v>
      </c>
      <c r="P5" s="10" t="s">
        <v>573</v>
      </c>
      <c r="Q5" s="10" t="s">
        <v>1143</v>
      </c>
      <c r="R5" s="2">
        <v>0.36099999999999999</v>
      </c>
      <c r="S5" s="2">
        <v>20.21997</v>
      </c>
      <c r="T5" s="2">
        <v>5.3400000000000003E-2</v>
      </c>
      <c r="U5" s="2">
        <v>36.110505789999998</v>
      </c>
      <c r="V5" s="10" t="s">
        <v>573</v>
      </c>
      <c r="W5" s="10" t="s">
        <v>1144</v>
      </c>
      <c r="X5" s="2">
        <v>0.36099999999999999</v>
      </c>
      <c r="Y5" s="2">
        <v>34.563920000000003</v>
      </c>
      <c r="Z5" s="2">
        <v>5.3400000000000003E-2</v>
      </c>
      <c r="AA5" s="2">
        <v>12.707420000000001</v>
      </c>
      <c r="AB5" s="10" t="s">
        <v>573</v>
      </c>
      <c r="AC5" s="10" t="s">
        <v>1145</v>
      </c>
      <c r="AD5" s="2">
        <v>0.36099999999999999</v>
      </c>
      <c r="AE5" s="2">
        <v>7.4199609999999998</v>
      </c>
      <c r="AF5" s="2">
        <v>5.3400000000000003E-2</v>
      </c>
      <c r="AG5" s="2">
        <v>16.750630000000001</v>
      </c>
      <c r="AH5" s="10" t="s">
        <v>573</v>
      </c>
      <c r="AI5" s="10" t="s">
        <v>1146</v>
      </c>
      <c r="AJ5" s="2">
        <v>0.36099999999999999</v>
      </c>
      <c r="AK5" s="2">
        <v>30.863440000000001</v>
      </c>
      <c r="AL5" s="2">
        <v>5.3400000000000003E-2</v>
      </c>
      <c r="AM5" s="2">
        <v>5.1999999999999998E-3</v>
      </c>
      <c r="AN5" s="10" t="s">
        <v>573</v>
      </c>
      <c r="AO5" s="10" t="s">
        <v>1147</v>
      </c>
      <c r="AP5" s="2">
        <v>0.36099999999999999</v>
      </c>
      <c r="AQ5" s="2">
        <v>3.9919419999999999</v>
      </c>
      <c r="AR5" s="2">
        <v>5.3400000000000003E-2</v>
      </c>
      <c r="AS5" s="2">
        <v>10.120290000000001</v>
      </c>
      <c r="AT5" s="10" t="s">
        <v>573</v>
      </c>
      <c r="AU5" s="10" t="s">
        <v>1148</v>
      </c>
      <c r="AV5" s="2">
        <v>0.36099999999999999</v>
      </c>
      <c r="AW5" s="2">
        <v>8.5059520000000006</v>
      </c>
    </row>
    <row r="6" spans="1:49">
      <c r="B6" s="2">
        <v>0.2112</v>
      </c>
      <c r="C6" s="2">
        <v>5.9099240000000002</v>
      </c>
      <c r="D6" s="10" t="s">
        <v>575</v>
      </c>
      <c r="E6" s="10" t="s">
        <v>576</v>
      </c>
      <c r="F6" s="2">
        <v>0.35620000000000002</v>
      </c>
      <c r="G6" s="2">
        <v>8.5059520000000006</v>
      </c>
      <c r="H6" s="2">
        <v>0.2112</v>
      </c>
      <c r="I6" s="2">
        <v>7.980747</v>
      </c>
      <c r="J6" s="10" t="s">
        <v>575</v>
      </c>
      <c r="K6" s="10" t="s">
        <v>581</v>
      </c>
      <c r="L6" s="2">
        <v>0.35620000000000002</v>
      </c>
      <c r="M6" s="2">
        <v>5.2325220000000003</v>
      </c>
      <c r="N6" s="2">
        <v>0.2112</v>
      </c>
      <c r="O6" s="2">
        <v>17.21866</v>
      </c>
      <c r="P6" s="10" t="s">
        <v>575</v>
      </c>
      <c r="Q6" s="10" t="s">
        <v>1149</v>
      </c>
      <c r="R6" s="2">
        <v>0.35620000000000002</v>
      </c>
      <c r="S6" s="2">
        <v>20.407409999999999</v>
      </c>
      <c r="T6" s="2">
        <v>0.2112</v>
      </c>
      <c r="U6" s="2">
        <v>23.319692939999999</v>
      </c>
      <c r="V6" s="10" t="s">
        <v>575</v>
      </c>
      <c r="W6" s="10" t="s">
        <v>1150</v>
      </c>
      <c r="X6" s="2">
        <v>0.35620000000000002</v>
      </c>
      <c r="Y6" s="2">
        <v>35.528170000000003</v>
      </c>
      <c r="Z6" s="2">
        <v>0.2112</v>
      </c>
      <c r="AA6" s="2">
        <v>9.2826719999999998</v>
      </c>
      <c r="AB6" s="10" t="s">
        <v>575</v>
      </c>
      <c r="AC6" s="10" t="s">
        <v>1151</v>
      </c>
      <c r="AD6" s="2">
        <v>0.35620000000000002</v>
      </c>
      <c r="AE6" s="2">
        <v>8.4537779999999998</v>
      </c>
      <c r="AF6" s="2">
        <v>0.2112</v>
      </c>
      <c r="AG6" s="2">
        <v>0.182195</v>
      </c>
      <c r="AH6" s="10" t="s">
        <v>575</v>
      </c>
      <c r="AI6" s="10" t="s">
        <v>1152</v>
      </c>
      <c r="AJ6" s="2">
        <v>0.35620000000000002</v>
      </c>
      <c r="AK6" s="2">
        <v>21.043150000000001</v>
      </c>
      <c r="AL6" s="2">
        <v>0.2112</v>
      </c>
      <c r="AM6" s="2">
        <v>2.360738</v>
      </c>
      <c r="AN6" s="10" t="s">
        <v>575</v>
      </c>
      <c r="AO6" s="10" t="s">
        <v>1153</v>
      </c>
      <c r="AP6" s="2">
        <v>0.35620000000000002</v>
      </c>
      <c r="AQ6" s="2">
        <v>3.8798650000000001</v>
      </c>
      <c r="AR6" s="2">
        <v>0.2112</v>
      </c>
      <c r="AS6" s="2">
        <v>8.0290350000000004</v>
      </c>
      <c r="AT6" s="10" t="s">
        <v>575</v>
      </c>
      <c r="AU6" s="10" t="s">
        <v>1154</v>
      </c>
      <c r="AV6" s="2">
        <v>0.35620000000000002</v>
      </c>
      <c r="AW6" s="2">
        <v>6.7378359999999997</v>
      </c>
    </row>
    <row r="7" spans="1:49">
      <c r="B7" s="2">
        <v>0.20660000000000001</v>
      </c>
      <c r="C7" s="2">
        <v>6.5469569999999999</v>
      </c>
      <c r="D7" s="2">
        <v>0.32279999999999998</v>
      </c>
      <c r="E7" s="2">
        <v>6.9907969999999997</v>
      </c>
      <c r="F7" s="2">
        <v>0.32819999999999999</v>
      </c>
      <c r="G7" s="2">
        <v>7.9938739999999999</v>
      </c>
      <c r="H7" s="2">
        <v>0.20660000000000001</v>
      </c>
      <c r="I7" s="2">
        <v>4.1230999999999997E-2</v>
      </c>
      <c r="J7" s="2">
        <v>0.32279999999999998</v>
      </c>
      <c r="K7" s="2">
        <v>7.0779800000000002</v>
      </c>
      <c r="L7" s="2">
        <v>0.32819999999999999</v>
      </c>
      <c r="M7" s="2">
        <v>6.9078840000000001</v>
      </c>
      <c r="N7" s="2">
        <v>0.20660000000000001</v>
      </c>
      <c r="O7" s="2">
        <v>16.956790000000002</v>
      </c>
      <c r="P7" s="2">
        <v>0.32279999999999998</v>
      </c>
      <c r="Q7" s="2">
        <v>10.785069999999999</v>
      </c>
      <c r="R7" s="2">
        <v>0.32819999999999999</v>
      </c>
      <c r="S7" s="2">
        <v>8.1446050000000003</v>
      </c>
      <c r="T7" s="2">
        <v>0.20660000000000001</v>
      </c>
      <c r="U7" s="2">
        <v>35.889494210000002</v>
      </c>
      <c r="V7" s="2">
        <v>0.32279999999999998</v>
      </c>
      <c r="W7" s="2">
        <v>4.0683540000000002</v>
      </c>
      <c r="X7" s="2">
        <v>0.32819999999999999</v>
      </c>
      <c r="Y7" s="2">
        <v>22.650880000000001</v>
      </c>
      <c r="Z7" s="2">
        <v>0.20660000000000001</v>
      </c>
      <c r="AA7" s="2">
        <v>12.28397</v>
      </c>
      <c r="AB7" s="2">
        <v>0.32279999999999998</v>
      </c>
      <c r="AC7" s="2">
        <v>8.0133799999999997</v>
      </c>
      <c r="AD7" s="2">
        <v>0.32819999999999999</v>
      </c>
      <c r="AE7" s="2">
        <v>6.9948410000000001</v>
      </c>
      <c r="AF7" s="2">
        <v>0.20660000000000001</v>
      </c>
      <c r="AG7" s="2">
        <v>17.32452</v>
      </c>
      <c r="AH7" s="2">
        <v>0.32279999999999998</v>
      </c>
      <c r="AI7" s="2">
        <v>16.44651</v>
      </c>
      <c r="AJ7" s="2">
        <v>0.32819999999999999</v>
      </c>
      <c r="AK7" s="2">
        <v>30.48856</v>
      </c>
      <c r="AL7" s="2">
        <v>0.20660000000000001</v>
      </c>
      <c r="AM7" s="2">
        <v>1.352257</v>
      </c>
      <c r="AN7" s="2">
        <v>0.32279999999999998</v>
      </c>
      <c r="AO7" s="2">
        <v>3.1166070000000001</v>
      </c>
      <c r="AP7" s="2">
        <v>0.32819999999999999</v>
      </c>
      <c r="AQ7" s="2">
        <v>3.7465310000000001</v>
      </c>
      <c r="AR7" s="2">
        <v>0.20660000000000001</v>
      </c>
      <c r="AS7" s="2">
        <v>8.1553269999999998</v>
      </c>
      <c r="AT7" s="2">
        <v>0.32279999999999998</v>
      </c>
      <c r="AU7" s="2">
        <v>1.100503</v>
      </c>
      <c r="AV7" s="2">
        <v>0.32819999999999999</v>
      </c>
      <c r="AW7" s="2">
        <v>4.6740680000000001</v>
      </c>
    </row>
    <row r="8" spans="1:49">
      <c r="B8" s="2">
        <v>8.1799999999999998E-2</v>
      </c>
      <c r="C8" s="2">
        <v>6.6082460000000003</v>
      </c>
      <c r="D8" s="2">
        <v>0.33579999999999999</v>
      </c>
      <c r="E8" s="2">
        <v>6.8400439999999998</v>
      </c>
      <c r="F8" s="2">
        <v>0.31419999999999998</v>
      </c>
      <c r="G8" s="2">
        <v>3.0470139999999999</v>
      </c>
      <c r="H8" s="2">
        <v>8.1799999999999998E-2</v>
      </c>
      <c r="I8" s="2">
        <v>6.3278030000000003</v>
      </c>
      <c r="J8" s="2">
        <v>0.33579999999999999</v>
      </c>
      <c r="K8" s="2">
        <v>0.711812</v>
      </c>
      <c r="L8" s="2">
        <v>0.31419999999999998</v>
      </c>
      <c r="M8" s="2">
        <v>9.2769659999999998</v>
      </c>
      <c r="N8" s="2">
        <v>8.1799999999999998E-2</v>
      </c>
      <c r="O8" s="2">
        <v>16.444189999999999</v>
      </c>
      <c r="P8" s="2">
        <v>0.33579999999999999</v>
      </c>
      <c r="Q8" s="2">
        <v>17.543559999999999</v>
      </c>
      <c r="R8" s="2">
        <v>0.31419999999999998</v>
      </c>
      <c r="S8" s="2">
        <v>20.660550000000001</v>
      </c>
      <c r="T8" s="2">
        <v>8.1799999999999998E-2</v>
      </c>
      <c r="U8" s="2">
        <v>8.0047049999999995E-2</v>
      </c>
      <c r="V8" s="2">
        <v>0.33579999999999999</v>
      </c>
      <c r="W8" s="2">
        <v>22.21874</v>
      </c>
      <c r="X8" s="2">
        <v>0.31419999999999998</v>
      </c>
      <c r="Y8" s="2">
        <v>23.000640000000001</v>
      </c>
      <c r="Z8" s="2">
        <v>8.1799999999999998E-2</v>
      </c>
      <c r="AA8" s="2">
        <v>18.028420000000001</v>
      </c>
      <c r="AB8" s="2">
        <v>0.33579999999999999</v>
      </c>
      <c r="AC8" s="2">
        <v>7.650118</v>
      </c>
      <c r="AD8" s="2">
        <v>0.31419999999999998</v>
      </c>
      <c r="AE8" s="2">
        <v>8.0943570000000005</v>
      </c>
      <c r="AF8" s="2">
        <v>8.1799999999999998E-2</v>
      </c>
      <c r="AG8" s="2">
        <v>25.405370000000001</v>
      </c>
      <c r="AH8" s="2">
        <v>0.33579999999999999</v>
      </c>
      <c r="AI8" s="2">
        <v>25.34825</v>
      </c>
      <c r="AJ8" s="2">
        <v>0.31419999999999998</v>
      </c>
      <c r="AK8" s="2">
        <v>17.23639</v>
      </c>
      <c r="AL8" s="2">
        <v>8.1799999999999998E-2</v>
      </c>
      <c r="AM8" s="2">
        <v>3.7100000000000002E-4</v>
      </c>
      <c r="AN8" s="2">
        <v>0.33579999999999999</v>
      </c>
      <c r="AO8" s="2">
        <v>2.9059149999999998</v>
      </c>
      <c r="AP8" s="2">
        <v>0.31419999999999998</v>
      </c>
      <c r="AQ8" s="2">
        <v>4.2663380000000002</v>
      </c>
      <c r="AR8" s="2">
        <v>8.1799999999999998E-2</v>
      </c>
      <c r="AS8" s="2">
        <v>8.5156320000000001</v>
      </c>
      <c r="AT8" s="2">
        <v>0.33579999999999999</v>
      </c>
      <c r="AU8" s="2">
        <v>0.90252500000000002</v>
      </c>
      <c r="AV8" s="2">
        <v>0.31419999999999998</v>
      </c>
      <c r="AW8" s="2">
        <v>8.7185120000000005</v>
      </c>
    </row>
    <row r="9" spans="1:49">
      <c r="B9" s="2">
        <v>0.25280000000000002</v>
      </c>
      <c r="C9" s="2">
        <v>4.0025380000000004</v>
      </c>
      <c r="D9" s="2">
        <v>0.33100000000000002</v>
      </c>
      <c r="E9" s="2">
        <v>7.8662590000000003</v>
      </c>
      <c r="F9" s="2">
        <v>0.31340000000000001</v>
      </c>
      <c r="G9" s="2">
        <v>3.3523290000000001</v>
      </c>
      <c r="H9" s="2">
        <v>0.25280000000000002</v>
      </c>
      <c r="I9" s="2">
        <v>8.0290350000000004</v>
      </c>
      <c r="J9" s="2">
        <v>0.33100000000000002</v>
      </c>
      <c r="K9" s="2">
        <v>0.250469</v>
      </c>
      <c r="L9" s="2">
        <v>0.31340000000000001</v>
      </c>
      <c r="M9" s="2">
        <v>5.6228600000000002</v>
      </c>
      <c r="N9" s="2">
        <v>0.25280000000000002</v>
      </c>
      <c r="O9" s="2">
        <v>0.271343</v>
      </c>
      <c r="P9" s="2">
        <v>0.33100000000000002</v>
      </c>
      <c r="Q9" s="2">
        <v>11.722289999999999</v>
      </c>
      <c r="R9" s="2">
        <v>0.31340000000000001</v>
      </c>
      <c r="S9" s="2">
        <v>21.56683</v>
      </c>
      <c r="T9" s="2">
        <v>0.25280000000000002</v>
      </c>
      <c r="U9" s="2">
        <v>8.4877731690000005</v>
      </c>
      <c r="V9" s="2">
        <v>0.33100000000000002</v>
      </c>
      <c r="W9" s="2">
        <v>27.031970000000001</v>
      </c>
      <c r="X9" s="2">
        <v>0.31340000000000001</v>
      </c>
      <c r="Y9" s="2">
        <v>35.097259999999999</v>
      </c>
      <c r="Z9" s="2">
        <v>0.25280000000000002</v>
      </c>
      <c r="AA9" s="2">
        <v>11.65808</v>
      </c>
      <c r="AB9" s="2">
        <v>0.33100000000000002</v>
      </c>
      <c r="AC9" s="2">
        <v>9.9223219999999994</v>
      </c>
      <c r="AD9" s="2">
        <v>0.31340000000000001</v>
      </c>
      <c r="AE9" s="2">
        <v>8.8286569999999998</v>
      </c>
      <c r="AF9" s="2">
        <v>0.25280000000000002</v>
      </c>
      <c r="AG9" s="2">
        <v>24.714479999999998</v>
      </c>
      <c r="AH9" s="2">
        <v>0.33100000000000002</v>
      </c>
      <c r="AI9" s="2">
        <v>15.276809999999999</v>
      </c>
      <c r="AJ9" s="2">
        <v>0.31340000000000001</v>
      </c>
      <c r="AK9" s="2">
        <v>16.714649999999999</v>
      </c>
      <c r="AL9" s="2">
        <v>0.25280000000000002</v>
      </c>
      <c r="AM9" s="2">
        <v>1.7794220000000001</v>
      </c>
      <c r="AN9" s="2">
        <v>0.33100000000000002</v>
      </c>
      <c r="AO9" s="2">
        <v>0.48659000000000002</v>
      </c>
      <c r="AP9" s="2">
        <v>0.31340000000000001</v>
      </c>
      <c r="AQ9" s="2">
        <v>4.0808309999999999</v>
      </c>
      <c r="AR9" s="2">
        <v>0.25280000000000002</v>
      </c>
      <c r="AS9" s="2">
        <v>0.60936000000000001</v>
      </c>
      <c r="AT9" s="2">
        <v>0.33100000000000002</v>
      </c>
      <c r="AU9" s="2">
        <v>7.370406</v>
      </c>
      <c r="AV9" s="2">
        <v>0.31340000000000001</v>
      </c>
      <c r="AW9" s="2">
        <v>8.3494299999999999</v>
      </c>
    </row>
    <row r="10" spans="1:49">
      <c r="B10" s="2">
        <v>6.9599999999999995E-2</v>
      </c>
      <c r="C10" s="2">
        <v>0.23977000000000001</v>
      </c>
      <c r="D10" s="2">
        <v>0.311</v>
      </c>
      <c r="E10" s="2">
        <v>7.4394260000000001</v>
      </c>
      <c r="F10" s="2">
        <v>0.3322</v>
      </c>
      <c r="G10" s="2">
        <v>3.4296229999999999</v>
      </c>
      <c r="H10" s="2">
        <v>6.9599999999999995E-2</v>
      </c>
      <c r="I10" s="2">
        <v>12.668419999999999</v>
      </c>
      <c r="J10" s="2">
        <v>0.311</v>
      </c>
      <c r="K10" s="2">
        <v>8.8817999999999994E-2</v>
      </c>
      <c r="L10" s="2">
        <v>0.3322</v>
      </c>
      <c r="M10" s="2">
        <v>9.5977390000000007</v>
      </c>
      <c r="N10" s="2">
        <v>6.9599999999999995E-2</v>
      </c>
      <c r="O10" s="2">
        <v>0.56850100000000003</v>
      </c>
      <c r="P10" s="2">
        <v>0.311</v>
      </c>
      <c r="Q10" s="2">
        <v>11.651450000000001</v>
      </c>
      <c r="R10" s="2">
        <v>0.3322</v>
      </c>
      <c r="S10" s="2">
        <v>21.10886</v>
      </c>
      <c r="T10" s="2">
        <v>6.9599999999999995E-2</v>
      </c>
      <c r="U10" s="2">
        <v>15.41899338</v>
      </c>
      <c r="V10" s="2">
        <v>0.311</v>
      </c>
      <c r="W10" s="2">
        <v>11.722289999999999</v>
      </c>
      <c r="X10" s="2">
        <v>0.3322</v>
      </c>
      <c r="Y10" s="2">
        <v>11.58808</v>
      </c>
      <c r="Z10" s="2">
        <v>6.9599999999999995E-2</v>
      </c>
      <c r="AA10" s="2">
        <v>0.202625</v>
      </c>
      <c r="AB10" s="2">
        <v>0.311</v>
      </c>
      <c r="AC10" s="2">
        <v>10.014950000000001</v>
      </c>
      <c r="AD10" s="2">
        <v>0.3322</v>
      </c>
      <c r="AE10" s="2">
        <v>9.0218939999999996</v>
      </c>
      <c r="AF10" s="2">
        <v>6.9599999999999995E-2</v>
      </c>
      <c r="AG10" s="2">
        <v>17.37838</v>
      </c>
      <c r="AH10" s="2">
        <v>0.311</v>
      </c>
      <c r="AI10" s="2">
        <v>6.2697219999999998</v>
      </c>
      <c r="AJ10" s="2">
        <v>0.3322</v>
      </c>
      <c r="AK10" s="2">
        <v>22.581309999999998</v>
      </c>
      <c r="AL10" s="2">
        <v>6.9599999999999995E-2</v>
      </c>
      <c r="AM10" s="2">
        <v>4.3015540000000003</v>
      </c>
      <c r="AN10" s="2">
        <v>0.311</v>
      </c>
      <c r="AO10" s="2">
        <v>3.0566689999999999</v>
      </c>
      <c r="AP10" s="2">
        <v>0.3322</v>
      </c>
      <c r="AQ10" s="2">
        <v>4.4305890000000003</v>
      </c>
      <c r="AR10" s="2">
        <v>6.9599999999999995E-2</v>
      </c>
      <c r="AS10" s="2">
        <v>11.269920000000001</v>
      </c>
      <c r="AT10" s="2">
        <v>0.311</v>
      </c>
      <c r="AU10" s="2">
        <v>1.2839499999999999</v>
      </c>
      <c r="AV10" s="2">
        <v>0.3322</v>
      </c>
      <c r="AW10" s="2">
        <v>10.335900000000001</v>
      </c>
    </row>
    <row r="11" spans="1:49">
      <c r="B11" s="2">
        <v>0.08</v>
      </c>
      <c r="C11" s="2">
        <v>7.7374479999999997</v>
      </c>
      <c r="D11" s="2">
        <v>0.3382</v>
      </c>
      <c r="E11" s="2">
        <v>0.68456700000000004</v>
      </c>
      <c r="F11" s="2">
        <v>0.30880000000000002</v>
      </c>
      <c r="G11" s="2">
        <v>9.1629570000000005</v>
      </c>
      <c r="H11" s="2">
        <v>0.08</v>
      </c>
      <c r="I11" s="2">
        <v>12.62942</v>
      </c>
      <c r="J11" s="2">
        <v>0.3382</v>
      </c>
      <c r="K11" s="2">
        <v>7.7209539999999999</v>
      </c>
      <c r="L11" s="2">
        <v>0.30880000000000002</v>
      </c>
      <c r="M11" s="2">
        <v>7.2595749999999999</v>
      </c>
      <c r="N11" s="2">
        <v>0.08</v>
      </c>
      <c r="O11" s="2">
        <v>0.548072</v>
      </c>
      <c r="P11" s="2">
        <v>0.3382</v>
      </c>
      <c r="Q11" s="2">
        <v>18.09027</v>
      </c>
      <c r="R11" s="2">
        <v>0.30880000000000002</v>
      </c>
      <c r="S11" s="2">
        <v>20.660550000000001</v>
      </c>
      <c r="T11" s="2">
        <v>0.08</v>
      </c>
      <c r="U11" s="2">
        <v>14.770816569999999</v>
      </c>
      <c r="V11" s="2">
        <v>0.3382</v>
      </c>
      <c r="W11" s="2">
        <v>10.490830000000001</v>
      </c>
      <c r="X11" s="2">
        <v>0.30880000000000002</v>
      </c>
      <c r="Y11" s="2">
        <v>23.499189999999999</v>
      </c>
      <c r="Z11" s="2">
        <v>0.08</v>
      </c>
      <c r="AA11" s="2">
        <v>0.224912</v>
      </c>
      <c r="AB11" s="2">
        <v>0.3382</v>
      </c>
      <c r="AC11" s="2">
        <v>8.3439490000000003</v>
      </c>
      <c r="AD11" s="2">
        <v>0.30880000000000002</v>
      </c>
      <c r="AE11" s="2">
        <v>8.9098159999999993</v>
      </c>
      <c r="AF11" s="2">
        <v>0.08</v>
      </c>
      <c r="AG11" s="2">
        <v>0.15990799999999999</v>
      </c>
      <c r="AH11" s="2">
        <v>0.3382</v>
      </c>
      <c r="AI11" s="2">
        <v>16.700790000000001</v>
      </c>
      <c r="AJ11" s="2">
        <v>0.30880000000000002</v>
      </c>
      <c r="AK11" s="2">
        <v>17.13204</v>
      </c>
      <c r="AL11" s="2">
        <v>0.08</v>
      </c>
      <c r="AM11" s="2">
        <v>2.9123380000000001</v>
      </c>
      <c r="AN11" s="2">
        <v>0.3382</v>
      </c>
      <c r="AO11" s="2">
        <v>10.140280000000001</v>
      </c>
      <c r="AP11" s="2">
        <v>0.30880000000000002</v>
      </c>
      <c r="AQ11" s="2">
        <v>4.119478</v>
      </c>
      <c r="AR11" s="2">
        <v>0.08</v>
      </c>
      <c r="AS11" s="2">
        <v>11.58751</v>
      </c>
      <c r="AT11" s="2">
        <v>0.3382</v>
      </c>
      <c r="AU11" s="2">
        <v>7.9897679999999998</v>
      </c>
      <c r="AV11" s="2">
        <v>0.30880000000000002</v>
      </c>
      <c r="AW11" s="2">
        <v>7.7020869999999997</v>
      </c>
    </row>
    <row r="12" spans="1:49">
      <c r="B12" s="2">
        <v>0.18920000000000001</v>
      </c>
      <c r="C12" s="2">
        <v>0.10419100000000001</v>
      </c>
      <c r="D12" s="2">
        <v>0.2636</v>
      </c>
      <c r="E12" s="2">
        <v>0.36671300000000001</v>
      </c>
      <c r="F12" s="2">
        <v>0.33019999999999999</v>
      </c>
      <c r="G12" s="2">
        <v>3.2267250000000001</v>
      </c>
      <c r="H12" s="2">
        <v>0.18920000000000001</v>
      </c>
      <c r="I12" s="2">
        <v>5.4177549999999997</v>
      </c>
      <c r="J12" s="2">
        <v>0.2636</v>
      </c>
      <c r="K12" s="2">
        <v>6.6093719999999996</v>
      </c>
      <c r="L12" s="2">
        <v>0.33019999999999999</v>
      </c>
      <c r="M12" s="2">
        <v>5.5185120000000003</v>
      </c>
      <c r="N12" s="2">
        <v>0.18920000000000001</v>
      </c>
      <c r="O12" s="2">
        <v>22.409649999999999</v>
      </c>
      <c r="P12" s="2">
        <v>0.2636</v>
      </c>
      <c r="Q12" s="2">
        <v>17.11673</v>
      </c>
      <c r="R12" s="2">
        <v>0.33019999999999999</v>
      </c>
      <c r="S12" s="2">
        <v>19.97456</v>
      </c>
      <c r="T12" s="2">
        <v>0.18920000000000001</v>
      </c>
      <c r="U12" s="2">
        <v>0.12833529399999999</v>
      </c>
      <c r="V12" s="2">
        <v>0.2636</v>
      </c>
      <c r="W12" s="2">
        <v>24.81062</v>
      </c>
      <c r="X12" s="2">
        <v>0.33019999999999999</v>
      </c>
      <c r="Y12" s="2">
        <v>11.76779</v>
      </c>
      <c r="Z12" s="2">
        <v>0.18920000000000001</v>
      </c>
      <c r="AA12" s="2">
        <v>18.36458</v>
      </c>
      <c r="AB12" s="2">
        <v>0.2636</v>
      </c>
      <c r="AC12" s="2">
        <v>7.3013859999999999</v>
      </c>
      <c r="AD12" s="2">
        <v>0.33019999999999999</v>
      </c>
      <c r="AE12" s="2">
        <v>7.3291399999999998</v>
      </c>
      <c r="AF12" s="2">
        <v>0.18920000000000001</v>
      </c>
      <c r="AG12" s="2">
        <v>0.21005399999999999</v>
      </c>
      <c r="AH12" s="2">
        <v>0.2636</v>
      </c>
      <c r="AI12" s="2">
        <v>16.49737</v>
      </c>
      <c r="AJ12" s="2">
        <v>0.33019999999999999</v>
      </c>
      <c r="AK12" s="2">
        <v>32.018999999999998</v>
      </c>
      <c r="AL12" s="2">
        <v>0.18920000000000001</v>
      </c>
      <c r="AM12" s="2">
        <v>1.9614309999999999</v>
      </c>
      <c r="AN12" s="2">
        <v>0.2636</v>
      </c>
      <c r="AO12" s="2">
        <v>2.4990619999999999</v>
      </c>
      <c r="AP12" s="2">
        <v>0.33019999999999999</v>
      </c>
      <c r="AQ12" s="2">
        <v>4.1987050000000004</v>
      </c>
      <c r="AR12" s="2">
        <v>0.18920000000000001</v>
      </c>
      <c r="AS12" s="2">
        <v>9.4553949999999993</v>
      </c>
      <c r="AT12" s="2">
        <v>0.2636</v>
      </c>
      <c r="AU12" s="2">
        <v>0.87891300000000006</v>
      </c>
      <c r="AV12" s="2">
        <v>0.33019999999999999</v>
      </c>
      <c r="AW12" s="2">
        <v>9.1900099999999991</v>
      </c>
    </row>
    <row r="13" spans="1:49">
      <c r="B13" s="2">
        <v>0.24340000000000001</v>
      </c>
      <c r="C13" s="2">
        <v>4.3424129999999996</v>
      </c>
      <c r="D13" s="2">
        <v>0.28739999999999999</v>
      </c>
      <c r="E13" s="2">
        <v>8.3439490000000003</v>
      </c>
      <c r="F13" s="2">
        <v>0.317</v>
      </c>
      <c r="G13" s="2">
        <v>8.2199609999999996</v>
      </c>
      <c r="H13" s="2">
        <v>0.24340000000000001</v>
      </c>
      <c r="I13" s="2">
        <v>7.8098809999999999</v>
      </c>
      <c r="J13" s="2">
        <v>0.28739999999999999</v>
      </c>
      <c r="K13" s="2">
        <v>0.83168900000000001</v>
      </c>
      <c r="L13" s="2">
        <v>0.317</v>
      </c>
      <c r="M13" s="2">
        <v>9.3040190000000003</v>
      </c>
      <c r="N13" s="2">
        <v>0.24340000000000001</v>
      </c>
      <c r="O13" s="2">
        <v>0.23048399999999999</v>
      </c>
      <c r="P13" s="2">
        <v>0.28739999999999999</v>
      </c>
      <c r="Q13" s="2">
        <v>19.29448</v>
      </c>
      <c r="R13" s="2">
        <v>0.317</v>
      </c>
      <c r="S13" s="2">
        <v>14.289529999999999</v>
      </c>
      <c r="T13" s="2">
        <v>0.24340000000000001</v>
      </c>
      <c r="U13" s="2">
        <v>16.44418993</v>
      </c>
      <c r="V13" s="2">
        <v>0.28739999999999999</v>
      </c>
      <c r="W13" s="2">
        <v>4.4425140000000001</v>
      </c>
      <c r="X13" s="2">
        <v>0.317</v>
      </c>
      <c r="Y13" s="2">
        <v>23.427689999999998</v>
      </c>
      <c r="Z13" s="2">
        <v>0.24340000000000001</v>
      </c>
      <c r="AA13" s="2">
        <v>12.09639</v>
      </c>
      <c r="AB13" s="2">
        <v>0.28739999999999999</v>
      </c>
      <c r="AC13" s="2">
        <v>9.1558390000000003</v>
      </c>
      <c r="AD13" s="2">
        <v>0.317</v>
      </c>
      <c r="AE13" s="2">
        <v>8.1697199999999999</v>
      </c>
      <c r="AF13" s="2">
        <v>0.24340000000000001</v>
      </c>
      <c r="AG13" s="2">
        <v>25.56138</v>
      </c>
      <c r="AH13" s="2">
        <v>0.28739999999999999</v>
      </c>
      <c r="AI13" s="2">
        <v>16.649940000000001</v>
      </c>
      <c r="AJ13" s="2">
        <v>0.317</v>
      </c>
      <c r="AK13" s="2">
        <v>21.63252</v>
      </c>
      <c r="AL13" s="2">
        <v>0.24340000000000001</v>
      </c>
      <c r="AM13" s="2">
        <v>3.5419429999999998</v>
      </c>
      <c r="AN13" s="2">
        <v>0.28739999999999999</v>
      </c>
      <c r="AO13" s="2">
        <v>3.3636249999999999</v>
      </c>
      <c r="AP13" s="2">
        <v>0.317</v>
      </c>
      <c r="AQ13" s="2">
        <v>3.9668209999999999</v>
      </c>
      <c r="AR13" s="2">
        <v>0.24340000000000001</v>
      </c>
      <c r="AS13" s="2">
        <v>0.58521599999999996</v>
      </c>
      <c r="AT13" s="2">
        <v>0.28739999999999999</v>
      </c>
      <c r="AU13" s="2">
        <v>7.9152990000000001</v>
      </c>
      <c r="AV13" s="2">
        <v>0.317</v>
      </c>
      <c r="AW13" s="2">
        <v>5.4489470000000004</v>
      </c>
    </row>
    <row r="14" spans="1:49">
      <c r="B14" s="2">
        <v>0.23419999999999999</v>
      </c>
      <c r="C14" s="2">
        <v>9.0839470000000002</v>
      </c>
      <c r="D14" s="2">
        <v>0.33100000000000002</v>
      </c>
      <c r="E14" s="2">
        <v>7.0561850000000002</v>
      </c>
      <c r="F14" s="2">
        <v>0.33260000000000001</v>
      </c>
      <c r="G14" s="2">
        <v>13.897259999999999</v>
      </c>
      <c r="H14" s="2">
        <v>0.23419999999999999</v>
      </c>
      <c r="I14" s="2">
        <v>7.3864299999999998</v>
      </c>
      <c r="J14" s="2">
        <v>0.33100000000000002</v>
      </c>
      <c r="K14" s="2">
        <v>7.3013859999999999</v>
      </c>
      <c r="L14" s="2">
        <v>0.33260000000000001</v>
      </c>
      <c r="M14" s="2">
        <v>6.4904929999999998</v>
      </c>
      <c r="N14" s="2">
        <v>0.23419999999999999</v>
      </c>
      <c r="O14" s="2">
        <v>0.204482</v>
      </c>
      <c r="P14" s="2">
        <v>0.33100000000000002</v>
      </c>
      <c r="Q14" s="2">
        <v>17.329239999999999</v>
      </c>
      <c r="R14" s="2">
        <v>0.33260000000000001</v>
      </c>
      <c r="S14" s="2">
        <v>9.5977460000000008</v>
      </c>
      <c r="T14" s="2">
        <v>0.23419999999999999</v>
      </c>
      <c r="U14" s="2">
        <v>10.40444499</v>
      </c>
      <c r="V14" s="2">
        <v>0.33100000000000002</v>
      </c>
      <c r="W14" s="2">
        <v>9.35745</v>
      </c>
      <c r="X14" s="2">
        <v>0.33260000000000001</v>
      </c>
      <c r="Y14" s="2">
        <v>23.284700000000001</v>
      </c>
      <c r="Z14" s="2">
        <v>0.23419999999999999</v>
      </c>
      <c r="AA14" s="2">
        <v>18.762029999999999</v>
      </c>
      <c r="AB14" s="2">
        <v>0.33100000000000002</v>
      </c>
      <c r="AC14" s="2">
        <v>7.0125929999999999</v>
      </c>
      <c r="AD14" s="2">
        <v>0.33260000000000001</v>
      </c>
      <c r="AE14" s="2">
        <v>5.0392849999999996</v>
      </c>
      <c r="AF14" s="2">
        <v>0.23419999999999999</v>
      </c>
      <c r="AG14" s="2">
        <v>19.644210000000001</v>
      </c>
      <c r="AH14" s="2">
        <v>0.33100000000000002</v>
      </c>
      <c r="AI14" s="2">
        <v>27.199069999999999</v>
      </c>
      <c r="AJ14" s="2">
        <v>0.33260000000000001</v>
      </c>
      <c r="AK14" s="2">
        <v>30.2103</v>
      </c>
      <c r="AL14" s="2">
        <v>0.23419999999999999</v>
      </c>
      <c r="AM14" s="2">
        <v>3.9041049999999999</v>
      </c>
      <c r="AN14" s="2">
        <v>0.33100000000000002</v>
      </c>
      <c r="AO14" s="2">
        <v>2.6806930000000002</v>
      </c>
      <c r="AP14" s="2">
        <v>0.33260000000000001</v>
      </c>
      <c r="AQ14" s="2">
        <v>3.6885599999999998</v>
      </c>
      <c r="AR14" s="2">
        <v>0.23419999999999999</v>
      </c>
      <c r="AS14" s="2">
        <v>9.2250979999999991</v>
      </c>
      <c r="AT14" s="2">
        <v>0.33100000000000002</v>
      </c>
      <c r="AU14" s="2">
        <v>6.1334989999999996</v>
      </c>
      <c r="AV14" s="2">
        <v>0.33260000000000001</v>
      </c>
      <c r="AW14" s="2">
        <v>5.5532950000000003</v>
      </c>
    </row>
    <row r="15" spans="1:49">
      <c r="B15" s="2">
        <v>7.0999999999999994E-2</v>
      </c>
      <c r="C15" s="2">
        <v>8.0550359999999994</v>
      </c>
      <c r="D15" s="2">
        <v>0.27400000000000002</v>
      </c>
      <c r="E15" s="2">
        <v>6.9036140000000001</v>
      </c>
      <c r="F15" s="2">
        <v>0.3236</v>
      </c>
      <c r="G15" s="2">
        <v>4.0170630000000003</v>
      </c>
      <c r="H15" s="2">
        <v>7.0999999999999994E-2</v>
      </c>
      <c r="I15" s="2">
        <v>5.3859999999999998E-2</v>
      </c>
      <c r="J15" s="2">
        <v>0.27400000000000002</v>
      </c>
      <c r="K15" s="2">
        <v>0.70091400000000004</v>
      </c>
      <c r="L15" s="2">
        <v>0.3236</v>
      </c>
      <c r="M15" s="2">
        <v>8.1445989999999995</v>
      </c>
      <c r="N15" s="2">
        <v>7.0999999999999994E-2</v>
      </c>
      <c r="O15" s="2">
        <v>17.48424</v>
      </c>
      <c r="P15" s="2">
        <v>0.27400000000000002</v>
      </c>
      <c r="Q15" s="2">
        <v>10.852270000000001</v>
      </c>
      <c r="R15" s="2">
        <v>0.3236</v>
      </c>
      <c r="S15" s="2">
        <v>15.28857</v>
      </c>
      <c r="T15" s="2">
        <v>7.0999999999999994E-2</v>
      </c>
      <c r="U15" s="2">
        <v>12.746424810000001</v>
      </c>
      <c r="V15" s="2">
        <v>0.27400000000000002</v>
      </c>
      <c r="W15" s="2">
        <v>26.621479999999998</v>
      </c>
      <c r="X15" s="2">
        <v>0.3236</v>
      </c>
      <c r="Y15" s="2">
        <v>12.2103</v>
      </c>
      <c r="Z15" s="2">
        <v>7.0999999999999994E-2</v>
      </c>
      <c r="AA15" s="2">
        <v>13.6379</v>
      </c>
      <c r="AB15" s="2">
        <v>0.27400000000000002</v>
      </c>
      <c r="AC15" s="2">
        <v>9.0159839999999996</v>
      </c>
      <c r="AD15" s="2">
        <v>0.3236</v>
      </c>
      <c r="AE15" s="2">
        <v>8.4788990000000002</v>
      </c>
      <c r="AF15" s="2">
        <v>7.0999999999999994E-2</v>
      </c>
      <c r="AG15" s="2">
        <v>0.20633899999999999</v>
      </c>
      <c r="AH15" s="2">
        <v>0.27400000000000002</v>
      </c>
      <c r="AI15" s="2">
        <v>15.705450000000001</v>
      </c>
      <c r="AJ15" s="2">
        <v>0.3236</v>
      </c>
      <c r="AK15" s="2">
        <v>9.3909760000000002</v>
      </c>
      <c r="AL15" s="2">
        <v>7.0999999999999994E-2</v>
      </c>
      <c r="AM15" s="2">
        <v>1.114E-3</v>
      </c>
      <c r="AN15" s="2">
        <v>0.27400000000000002</v>
      </c>
      <c r="AO15" s="2">
        <v>2.1594120000000001</v>
      </c>
      <c r="AP15" s="2">
        <v>0.3236</v>
      </c>
      <c r="AQ15" s="2">
        <v>4.279865</v>
      </c>
      <c r="AR15" s="2">
        <v>7.0999999999999994E-2</v>
      </c>
      <c r="AS15" s="2">
        <v>10.372870000000001</v>
      </c>
      <c r="AT15" s="2">
        <v>0.27400000000000002</v>
      </c>
      <c r="AU15" s="2">
        <v>0.97517699999999996</v>
      </c>
      <c r="AV15" s="2">
        <v>0.3236</v>
      </c>
      <c r="AW15" s="2">
        <v>9.0489470000000001</v>
      </c>
    </row>
    <row r="16" spans="1:49">
      <c r="B16" s="2">
        <v>0.21959999999999999</v>
      </c>
      <c r="C16" s="2">
        <v>5.9470689999999999</v>
      </c>
      <c r="D16" s="2">
        <v>0.26800000000000002</v>
      </c>
      <c r="E16" s="2">
        <v>6.6729430000000001</v>
      </c>
      <c r="F16" s="2">
        <v>0.3196</v>
      </c>
      <c r="G16" s="2">
        <v>7.7252749999999999</v>
      </c>
      <c r="H16" s="2">
        <v>0.21959999999999999</v>
      </c>
      <c r="I16" s="2">
        <v>8.2054729999999996</v>
      </c>
      <c r="J16" s="2">
        <v>0.26800000000000002</v>
      </c>
      <c r="K16" s="2">
        <v>8.0642370000000003</v>
      </c>
      <c r="L16" s="2">
        <v>0.3196</v>
      </c>
      <c r="M16" s="2">
        <v>6.9078840000000001</v>
      </c>
      <c r="N16" s="2">
        <v>0.21959999999999999</v>
      </c>
      <c r="O16" s="2">
        <v>15.46542</v>
      </c>
      <c r="P16" s="2">
        <v>0.26800000000000002</v>
      </c>
      <c r="Q16" s="2">
        <v>9.7098139999999997</v>
      </c>
      <c r="R16" s="2">
        <v>0.3196</v>
      </c>
      <c r="S16" s="2">
        <v>17.665379999999999</v>
      </c>
      <c r="T16" s="2">
        <v>0.21959999999999999</v>
      </c>
      <c r="U16" s="2">
        <v>12.512412550000001</v>
      </c>
      <c r="V16" s="2">
        <v>0.26800000000000002</v>
      </c>
      <c r="W16" s="2">
        <v>3.5725009999999999</v>
      </c>
      <c r="X16" s="2">
        <v>0.3196</v>
      </c>
      <c r="Y16" s="2">
        <v>22.511749999999999</v>
      </c>
      <c r="Z16" s="2">
        <v>0.21959999999999999</v>
      </c>
      <c r="AA16" s="2">
        <v>10.9969</v>
      </c>
      <c r="AB16" s="2">
        <v>0.26800000000000002</v>
      </c>
      <c r="AC16" s="2">
        <v>6.9254100000000003</v>
      </c>
      <c r="AD16" s="2">
        <v>0.3196</v>
      </c>
      <c r="AE16" s="2">
        <v>5.7832460000000001</v>
      </c>
      <c r="AF16" s="2">
        <v>0.21959999999999999</v>
      </c>
      <c r="AG16" s="2">
        <v>25.019069999999999</v>
      </c>
      <c r="AH16" s="2">
        <v>0.26800000000000002</v>
      </c>
      <c r="AI16" s="2">
        <v>26.784949999999998</v>
      </c>
      <c r="AJ16" s="2">
        <v>0.3196</v>
      </c>
      <c r="AK16" s="2">
        <v>30.303049999999999</v>
      </c>
      <c r="AL16" s="2">
        <v>0.21959999999999999</v>
      </c>
      <c r="AM16" s="2">
        <v>3.8669600000000002</v>
      </c>
      <c r="AN16" s="2">
        <v>0.26800000000000002</v>
      </c>
      <c r="AO16" s="2">
        <v>2.7860390000000002</v>
      </c>
      <c r="AP16" s="2">
        <v>0.3196</v>
      </c>
      <c r="AQ16" s="2">
        <v>3.8914589999999998</v>
      </c>
      <c r="AR16" s="2">
        <v>0.21959999999999999</v>
      </c>
      <c r="AS16" s="2">
        <v>8.6214940000000002</v>
      </c>
      <c r="AT16" s="2">
        <v>0.26800000000000002</v>
      </c>
      <c r="AU16" s="2">
        <v>6.5694129999999999</v>
      </c>
      <c r="AV16" s="2">
        <v>0.3196</v>
      </c>
      <c r="AW16" s="2">
        <v>8.2721350000000005</v>
      </c>
    </row>
    <row r="17" spans="2:49">
      <c r="B17" s="2">
        <v>0.2014</v>
      </c>
      <c r="C17" s="2">
        <v>6.4652390000000004</v>
      </c>
      <c r="D17" s="2">
        <v>0.2994</v>
      </c>
      <c r="E17" s="2">
        <v>8.1150939999999991</v>
      </c>
      <c r="F17" s="2">
        <v>0.31900000000000001</v>
      </c>
      <c r="G17" s="2">
        <v>3.6885599999999998</v>
      </c>
      <c r="H17" s="2">
        <v>0.2014</v>
      </c>
      <c r="I17" s="2">
        <v>7.7615920000000003</v>
      </c>
      <c r="J17" s="2">
        <v>0.2994</v>
      </c>
      <c r="K17" s="2">
        <v>0.95701400000000003</v>
      </c>
      <c r="L17" s="2">
        <v>0.31900000000000001</v>
      </c>
      <c r="M17" s="2">
        <v>6.654744</v>
      </c>
      <c r="N17" s="2">
        <v>0.2014</v>
      </c>
      <c r="O17" s="2">
        <v>17.37838</v>
      </c>
      <c r="P17" s="2">
        <v>0.2994</v>
      </c>
      <c r="Q17" s="2">
        <v>18.597020000000001</v>
      </c>
      <c r="R17" s="2">
        <v>0.31900000000000001</v>
      </c>
      <c r="S17" s="2">
        <v>15.336880000000001</v>
      </c>
      <c r="T17" s="2">
        <v>0.2014</v>
      </c>
      <c r="U17" s="2">
        <v>0.111620132</v>
      </c>
      <c r="V17" s="2">
        <v>0.2994</v>
      </c>
      <c r="W17" s="2">
        <v>3.7359689999999999</v>
      </c>
      <c r="X17" s="2">
        <v>0.31900000000000001</v>
      </c>
      <c r="Y17" s="2">
        <v>23.356190000000002</v>
      </c>
      <c r="Z17" s="2">
        <v>0.2014</v>
      </c>
      <c r="AA17" s="2">
        <v>10.404439999999999</v>
      </c>
      <c r="AB17" s="2">
        <v>0.2994</v>
      </c>
      <c r="AC17" s="2">
        <v>8.2658470000000008</v>
      </c>
      <c r="AD17" s="2">
        <v>0.31900000000000001</v>
      </c>
      <c r="AE17" s="2">
        <v>8.4537779999999998</v>
      </c>
      <c r="AF17" s="2">
        <v>0.2014</v>
      </c>
      <c r="AG17" s="2">
        <v>19.404630000000001</v>
      </c>
      <c r="AH17" s="2">
        <v>0.2994</v>
      </c>
      <c r="AI17" s="2">
        <v>25.34825</v>
      </c>
      <c r="AJ17" s="2">
        <v>0.31900000000000001</v>
      </c>
      <c r="AK17" s="2">
        <v>20.471170000000001</v>
      </c>
      <c r="AL17" s="2">
        <v>0.2014</v>
      </c>
      <c r="AM17" s="2">
        <v>2.1805859999999999</v>
      </c>
      <c r="AN17" s="2">
        <v>0.2994</v>
      </c>
      <c r="AO17" s="2">
        <v>3.1965249999999998</v>
      </c>
      <c r="AP17" s="2">
        <v>0.31900000000000001</v>
      </c>
      <c r="AQ17" s="2">
        <v>4.2392849999999997</v>
      </c>
      <c r="AR17" s="2">
        <v>0.2014</v>
      </c>
      <c r="AS17" s="2">
        <v>8.2556180000000001</v>
      </c>
      <c r="AT17" s="2">
        <v>0.2994</v>
      </c>
      <c r="AU17" s="2">
        <v>7.370406</v>
      </c>
      <c r="AV17" s="2">
        <v>0.31900000000000001</v>
      </c>
      <c r="AW17" s="2">
        <v>10.52914</v>
      </c>
    </row>
    <row r="18" spans="2:49">
      <c r="B18" s="2">
        <v>0.1988</v>
      </c>
      <c r="C18" s="2">
        <v>9.7525539999999999</v>
      </c>
      <c r="D18" s="2">
        <v>0.30359999999999998</v>
      </c>
      <c r="E18" s="2">
        <v>7.4630380000000001</v>
      </c>
      <c r="F18" s="2">
        <v>0.3926</v>
      </c>
      <c r="G18" s="2">
        <v>7.9938739999999999</v>
      </c>
      <c r="H18" s="2">
        <v>0.1988</v>
      </c>
      <c r="I18" s="2">
        <v>6.0732000000000001E-2</v>
      </c>
      <c r="J18" s="2">
        <v>0.30359999999999998</v>
      </c>
      <c r="K18" s="2">
        <v>6.7564929999999999</v>
      </c>
      <c r="L18" s="2">
        <v>0.3926</v>
      </c>
      <c r="M18" s="2">
        <v>8.7185120000000005</v>
      </c>
      <c r="N18" s="2">
        <v>0.1988</v>
      </c>
      <c r="O18" s="2">
        <v>0.42363600000000001</v>
      </c>
      <c r="P18" s="2">
        <v>0.30359999999999998</v>
      </c>
      <c r="Q18" s="2">
        <v>17.759699999999999</v>
      </c>
      <c r="R18" s="2">
        <v>0.3926</v>
      </c>
      <c r="S18" s="2">
        <v>7.1706919999999998</v>
      </c>
      <c r="T18" s="2">
        <v>0.1988</v>
      </c>
      <c r="U18" s="2">
        <v>13.76419241</v>
      </c>
      <c r="V18" s="2">
        <v>0.30359999999999998</v>
      </c>
      <c r="W18" s="2">
        <v>9.2121449999999996</v>
      </c>
      <c r="X18" s="2">
        <v>0.3926</v>
      </c>
      <c r="Y18" s="2">
        <v>23.072140000000001</v>
      </c>
      <c r="Z18" s="2">
        <v>0.1988</v>
      </c>
      <c r="AA18" s="2">
        <v>14.105919999999999</v>
      </c>
      <c r="AB18" s="2">
        <v>0.30359999999999998</v>
      </c>
      <c r="AC18" s="2">
        <v>6.7564929999999999</v>
      </c>
      <c r="AD18" s="2">
        <v>0.3926</v>
      </c>
      <c r="AE18" s="2">
        <v>8.2199609999999996</v>
      </c>
      <c r="AF18" s="2">
        <v>0.1988</v>
      </c>
      <c r="AG18" s="2">
        <v>16.648489999999999</v>
      </c>
      <c r="AH18" s="2">
        <v>0.30359999999999998</v>
      </c>
      <c r="AI18" s="2">
        <v>26.703209999999999</v>
      </c>
      <c r="AJ18" s="2">
        <v>0.3926</v>
      </c>
      <c r="AK18" s="2">
        <v>19.369720000000001</v>
      </c>
      <c r="AL18" s="2">
        <v>0.1988</v>
      </c>
      <c r="AM18" s="2">
        <v>3.6552340000000001</v>
      </c>
      <c r="AN18" s="2">
        <v>0.30359999999999998</v>
      </c>
      <c r="AO18" s="2">
        <v>2.0159229999999999</v>
      </c>
      <c r="AP18" s="2">
        <v>0.3926</v>
      </c>
      <c r="AQ18" s="2">
        <v>3.9552269999999998</v>
      </c>
      <c r="AR18" s="2">
        <v>0.1988</v>
      </c>
      <c r="AS18" s="2">
        <v>10.662599999999999</v>
      </c>
      <c r="AT18" s="2">
        <v>0.30359999999999998</v>
      </c>
      <c r="AU18" s="2">
        <v>6.5494339999999998</v>
      </c>
      <c r="AV18" s="2">
        <v>0.3926</v>
      </c>
      <c r="AW18" s="2">
        <v>6.3706860000000001</v>
      </c>
    </row>
    <row r="19" spans="2:49">
      <c r="B19" s="2">
        <v>0.21879999999999999</v>
      </c>
      <c r="C19" s="2">
        <v>0.501641</v>
      </c>
      <c r="D19" s="2">
        <v>0.25979999999999998</v>
      </c>
      <c r="E19" s="2">
        <v>7.8662590000000003</v>
      </c>
      <c r="F19" s="2">
        <v>0.32119999999999999</v>
      </c>
      <c r="G19" s="2">
        <v>3.6305890000000001</v>
      </c>
      <c r="H19" s="2">
        <v>0.21879999999999999</v>
      </c>
      <c r="I19" s="2">
        <v>6.7603999999999997E-2</v>
      </c>
      <c r="J19" s="2">
        <v>0.25979999999999998</v>
      </c>
      <c r="K19" s="2">
        <v>7.6737299999999999</v>
      </c>
      <c r="L19" s="2">
        <v>0.32119999999999999</v>
      </c>
      <c r="M19" s="2">
        <v>7.8953239999999996</v>
      </c>
      <c r="N19" s="2">
        <v>0.21879999999999999</v>
      </c>
      <c r="O19" s="2">
        <v>0.37163400000000002</v>
      </c>
      <c r="P19" s="2">
        <v>0.25979999999999998</v>
      </c>
      <c r="Q19" s="2">
        <v>11.26276</v>
      </c>
      <c r="R19" s="2">
        <v>0.32119999999999999</v>
      </c>
      <c r="S19" s="2">
        <v>20.596779999999999</v>
      </c>
      <c r="T19" s="2">
        <v>0.21879999999999999</v>
      </c>
      <c r="U19" s="2">
        <v>36.554386180000002</v>
      </c>
      <c r="V19" s="2">
        <v>0.25979999999999998</v>
      </c>
      <c r="W19" s="2">
        <v>24.886900000000001</v>
      </c>
      <c r="X19" s="2">
        <v>0.32119999999999999</v>
      </c>
      <c r="Y19" s="2">
        <v>12.362959999999999</v>
      </c>
      <c r="Z19" s="2">
        <v>0.21879999999999999</v>
      </c>
      <c r="AA19" s="2">
        <v>14.99926</v>
      </c>
      <c r="AB19" s="2">
        <v>0.25979999999999998</v>
      </c>
      <c r="AC19" s="2">
        <v>8.1387060000000009</v>
      </c>
      <c r="AD19" s="2">
        <v>0.32119999999999999</v>
      </c>
      <c r="AE19" s="2">
        <v>7.6305889999999996</v>
      </c>
      <c r="AF19" s="2">
        <v>0.21879999999999999</v>
      </c>
      <c r="AG19" s="2">
        <v>0.133907</v>
      </c>
      <c r="AH19" s="2">
        <v>0.25979999999999998</v>
      </c>
      <c r="AI19" s="2">
        <v>17.064060000000001</v>
      </c>
      <c r="AJ19" s="2">
        <v>0.32119999999999999</v>
      </c>
      <c r="AK19" s="2">
        <v>14.60064</v>
      </c>
      <c r="AL19" s="2">
        <v>0.21879999999999999</v>
      </c>
      <c r="AM19" s="2">
        <v>3.5196559999999999</v>
      </c>
      <c r="AN19" s="2">
        <v>0.25979999999999998</v>
      </c>
      <c r="AO19" s="2">
        <v>2.6897739999999999</v>
      </c>
      <c r="AP19" s="2">
        <v>0.32119999999999999</v>
      </c>
      <c r="AQ19" s="2">
        <v>4.4016039999999998</v>
      </c>
      <c r="AR19" s="2">
        <v>0.21879999999999999</v>
      </c>
      <c r="AS19" s="2">
        <v>9.8435579999999998</v>
      </c>
      <c r="AT19" s="2">
        <v>0.25979999999999998</v>
      </c>
      <c r="AU19" s="2">
        <v>6.7764730000000002</v>
      </c>
      <c r="AV19" s="2">
        <v>0.32119999999999999</v>
      </c>
      <c r="AW19" s="2">
        <v>9.9610240000000001</v>
      </c>
    </row>
    <row r="20" spans="2:49">
      <c r="B20" s="2">
        <v>0.19040000000000001</v>
      </c>
      <c r="C20" s="2">
        <v>7.5015790000000004</v>
      </c>
      <c r="D20" s="10" t="s">
        <v>577</v>
      </c>
      <c r="E20" s="10" t="s">
        <v>578</v>
      </c>
      <c r="F20" s="2">
        <v>0.3004</v>
      </c>
      <c r="G20" s="2">
        <v>8.5581259999999997</v>
      </c>
      <c r="H20" s="2">
        <v>0.19040000000000001</v>
      </c>
      <c r="I20" s="2">
        <v>4.4944999999999999E-2</v>
      </c>
      <c r="J20" s="10" t="s">
        <v>577</v>
      </c>
      <c r="K20" s="10" t="s">
        <v>582</v>
      </c>
      <c r="L20" s="2">
        <v>0.3004</v>
      </c>
      <c r="M20" s="2">
        <v>7.8218940000000003</v>
      </c>
      <c r="N20" s="2">
        <v>0.19040000000000001</v>
      </c>
      <c r="O20" s="2">
        <v>0.42549399999999998</v>
      </c>
      <c r="P20" s="10" t="s">
        <v>577</v>
      </c>
      <c r="Q20" s="10" t="s">
        <v>1155</v>
      </c>
      <c r="R20" s="2">
        <v>0.3004</v>
      </c>
      <c r="S20" s="2">
        <v>14.78035</v>
      </c>
      <c r="T20" s="2">
        <v>0.19040000000000001</v>
      </c>
      <c r="U20" s="2">
        <v>0.18590973799999999</v>
      </c>
      <c r="V20" s="10" t="s">
        <v>577</v>
      </c>
      <c r="W20" s="10" t="s">
        <v>1156</v>
      </c>
      <c r="X20" s="2">
        <v>0.3004</v>
      </c>
      <c r="Y20" s="2">
        <v>12.024789999999999</v>
      </c>
      <c r="Z20" s="2">
        <v>0.19040000000000001</v>
      </c>
      <c r="AA20" s="2">
        <v>14.23593</v>
      </c>
      <c r="AB20" s="10" t="s">
        <v>577</v>
      </c>
      <c r="AC20" s="10" t="s">
        <v>1157</v>
      </c>
      <c r="AD20" s="2">
        <v>0.3004</v>
      </c>
      <c r="AE20" s="2">
        <v>9.1049860000000002</v>
      </c>
      <c r="AF20" s="2">
        <v>0.19040000000000001</v>
      </c>
      <c r="AG20" s="2">
        <v>16.546340000000001</v>
      </c>
      <c r="AH20" s="10" t="s">
        <v>577</v>
      </c>
      <c r="AI20" s="10" t="s">
        <v>1158</v>
      </c>
      <c r="AJ20" s="2">
        <v>0.3004</v>
      </c>
      <c r="AK20" s="2">
        <v>14.68953</v>
      </c>
      <c r="AL20" s="2">
        <v>0.19040000000000001</v>
      </c>
      <c r="AM20" s="2">
        <v>2.1731569999999998</v>
      </c>
      <c r="AN20" s="10" t="s">
        <v>577</v>
      </c>
      <c r="AO20" s="10" t="s">
        <v>1159</v>
      </c>
      <c r="AP20" s="2">
        <v>0.3004</v>
      </c>
      <c r="AQ20" s="2">
        <v>4.1078840000000003</v>
      </c>
      <c r="AR20" s="2">
        <v>0.19040000000000001</v>
      </c>
      <c r="AS20" s="2">
        <v>9.2548130000000004</v>
      </c>
      <c r="AT20" s="10" t="s">
        <v>577</v>
      </c>
      <c r="AU20" s="10" t="s">
        <v>1160</v>
      </c>
      <c r="AV20" s="2">
        <v>0.3004</v>
      </c>
      <c r="AW20" s="2">
        <v>8.0943570000000005</v>
      </c>
    </row>
    <row r="21" spans="2:49">
      <c r="B21" s="2">
        <v>0.2258</v>
      </c>
      <c r="C21" s="2">
        <v>3.9523929999999998</v>
      </c>
      <c r="D21" s="2">
        <v>0.27679999999999999</v>
      </c>
      <c r="E21" s="2">
        <v>7.7936069999999997</v>
      </c>
      <c r="F21" s="2">
        <v>0.311</v>
      </c>
      <c r="G21" s="2">
        <v>9.1339710000000007</v>
      </c>
      <c r="H21" s="2">
        <v>0.2258</v>
      </c>
      <c r="I21" s="2">
        <v>4.0526840000000002</v>
      </c>
      <c r="J21" s="2">
        <v>0.27679999999999999</v>
      </c>
      <c r="K21" s="2">
        <v>0.87709599999999999</v>
      </c>
      <c r="L21" s="2">
        <v>0.311</v>
      </c>
      <c r="M21" s="2">
        <v>8.4016040000000007</v>
      </c>
      <c r="N21" s="2">
        <v>0.2258</v>
      </c>
      <c r="O21" s="2">
        <v>22.069769999999998</v>
      </c>
      <c r="P21" s="2">
        <v>0.27679999999999999</v>
      </c>
      <c r="Q21" s="2">
        <v>10.98668</v>
      </c>
      <c r="R21" s="2">
        <v>0.311</v>
      </c>
      <c r="S21" s="2">
        <v>14.91755</v>
      </c>
      <c r="T21" s="2">
        <v>0.2258</v>
      </c>
      <c r="U21" s="2">
        <v>11.765802020000001</v>
      </c>
      <c r="V21" s="2">
        <v>0.27679999999999999</v>
      </c>
      <c r="W21" s="2">
        <v>11.758609999999999</v>
      </c>
      <c r="X21" s="2">
        <v>0.311</v>
      </c>
      <c r="Y21" s="2">
        <v>11.84122</v>
      </c>
      <c r="Z21" s="2">
        <v>0.2258</v>
      </c>
      <c r="AA21" s="2">
        <v>18.084129999999998</v>
      </c>
      <c r="AB21" s="2">
        <v>0.27679999999999999</v>
      </c>
      <c r="AC21" s="2">
        <v>9.3865110000000005</v>
      </c>
      <c r="AD21" s="2">
        <v>0.311</v>
      </c>
      <c r="AE21" s="2">
        <v>9.0218939999999996</v>
      </c>
      <c r="AF21" s="2">
        <v>0.2258</v>
      </c>
      <c r="AG21" s="2">
        <v>21.601749999999999</v>
      </c>
      <c r="AH21" s="2">
        <v>0.27679999999999999</v>
      </c>
      <c r="AI21" s="2">
        <v>5.4814429999999996</v>
      </c>
      <c r="AJ21" s="2">
        <v>0.311</v>
      </c>
      <c r="AK21" s="2">
        <v>8.799671</v>
      </c>
      <c r="AL21" s="2">
        <v>0.2258</v>
      </c>
      <c r="AM21" s="2">
        <v>1.8629979999999999</v>
      </c>
      <c r="AN21" s="2">
        <v>0.27679999999999999</v>
      </c>
      <c r="AO21" s="2">
        <v>3.0385059999999999</v>
      </c>
      <c r="AP21" s="2">
        <v>0.311</v>
      </c>
      <c r="AQ21" s="2">
        <v>4.119478</v>
      </c>
      <c r="AR21" s="2">
        <v>0.2258</v>
      </c>
      <c r="AS21" s="2">
        <v>0.62050399999999994</v>
      </c>
      <c r="AT21" s="2">
        <v>0.27679999999999999</v>
      </c>
      <c r="AU21" s="2">
        <v>1.231277</v>
      </c>
      <c r="AV21" s="2">
        <v>0.311</v>
      </c>
      <c r="AW21" s="2">
        <v>10.14653</v>
      </c>
    </row>
    <row r="22" spans="2:49">
      <c r="B22" s="2">
        <v>0.20380000000000001</v>
      </c>
      <c r="C22" s="2">
        <v>3.5976599999999999</v>
      </c>
      <c r="D22" s="2">
        <v>0.31219999999999998</v>
      </c>
      <c r="E22" s="2">
        <v>7.5792820000000001</v>
      </c>
      <c r="F22" s="2">
        <v>0.3236</v>
      </c>
      <c r="G22" s="2">
        <v>8.9098159999999993</v>
      </c>
      <c r="H22" s="2">
        <v>0.20380000000000001</v>
      </c>
      <c r="I22" s="2">
        <v>5.36761</v>
      </c>
      <c r="J22" s="2">
        <v>0.31219999999999998</v>
      </c>
      <c r="K22" s="2">
        <v>7.1451840000000004</v>
      </c>
      <c r="L22" s="2">
        <v>0.3236</v>
      </c>
      <c r="M22" s="2">
        <v>8.2972560000000009</v>
      </c>
      <c r="N22" s="2">
        <v>0.20380000000000001</v>
      </c>
      <c r="O22" s="2">
        <v>19.10933</v>
      </c>
      <c r="P22" s="2">
        <v>0.31219999999999998</v>
      </c>
      <c r="Q22" s="2">
        <v>11.159230000000001</v>
      </c>
      <c r="R22" s="2">
        <v>0.3236</v>
      </c>
      <c r="S22" s="2">
        <v>9.7175519999999995</v>
      </c>
      <c r="T22" s="2">
        <v>0.20380000000000001</v>
      </c>
      <c r="U22" s="2">
        <v>5.9617409000000003E-2</v>
      </c>
      <c r="V22" s="2">
        <v>0.31219999999999998</v>
      </c>
      <c r="W22" s="2">
        <v>26.703209999999999</v>
      </c>
      <c r="X22" s="2">
        <v>0.3236</v>
      </c>
      <c r="Y22" s="2">
        <v>22.581309999999998</v>
      </c>
      <c r="Z22" s="2">
        <v>0.20380000000000001</v>
      </c>
      <c r="AA22" s="2">
        <v>8.3336220000000001</v>
      </c>
      <c r="AB22" s="2">
        <v>0.31219999999999998</v>
      </c>
      <c r="AC22" s="2">
        <v>7.8172189999999997</v>
      </c>
      <c r="AD22" s="2">
        <v>0.3236</v>
      </c>
      <c r="AE22" s="2">
        <v>9.7774490000000007</v>
      </c>
      <c r="AF22" s="2">
        <v>0.20380000000000001</v>
      </c>
      <c r="AG22" s="2">
        <v>28.276669999999999</v>
      </c>
      <c r="AH22" s="2">
        <v>0.31219999999999998</v>
      </c>
      <c r="AI22" s="2">
        <v>16.856999999999999</v>
      </c>
      <c r="AJ22" s="2">
        <v>0.3236</v>
      </c>
      <c r="AK22" s="2">
        <v>20.15813</v>
      </c>
      <c r="AL22" s="2">
        <v>0.20380000000000001</v>
      </c>
      <c r="AM22" s="2">
        <v>1.537981</v>
      </c>
      <c r="AN22" s="2">
        <v>0.31219999999999998</v>
      </c>
      <c r="AO22" s="2">
        <v>2.9240780000000002</v>
      </c>
      <c r="AP22" s="2">
        <v>0.3236</v>
      </c>
      <c r="AQ22" s="2">
        <v>4.119478</v>
      </c>
      <c r="AR22" s="2">
        <v>0.20380000000000001</v>
      </c>
      <c r="AS22" s="2">
        <v>0.642791</v>
      </c>
      <c r="AT22" s="2">
        <v>0.31219999999999998</v>
      </c>
      <c r="AU22" s="2">
        <v>0.90797399999999995</v>
      </c>
      <c r="AV22" s="2">
        <v>0.3236</v>
      </c>
      <c r="AW22" s="2">
        <v>9.7465309999999992</v>
      </c>
    </row>
    <row r="23" spans="2:49">
      <c r="B23" s="2">
        <v>0.21859999999999999</v>
      </c>
      <c r="C23" s="2">
        <v>6.6695349999999998</v>
      </c>
      <c r="D23" s="2">
        <v>0.26379999999999998</v>
      </c>
      <c r="E23" s="2">
        <v>7.6737299999999999</v>
      </c>
      <c r="F23" s="2">
        <v>0.30940000000000001</v>
      </c>
      <c r="G23" s="2">
        <v>8.9098159999999993</v>
      </c>
      <c r="H23" s="2">
        <v>0.21859999999999999</v>
      </c>
      <c r="I23" s="2">
        <v>6.1142200000000004</v>
      </c>
      <c r="J23" s="2">
        <v>0.26379999999999998</v>
      </c>
      <c r="K23" s="2">
        <v>2.2157170000000002</v>
      </c>
      <c r="L23" s="2">
        <v>0.30940000000000001</v>
      </c>
      <c r="M23" s="2">
        <v>5.7465310000000001</v>
      </c>
      <c r="N23" s="2">
        <v>0.21859999999999999</v>
      </c>
      <c r="O23" s="2">
        <v>19.946940000000001</v>
      </c>
      <c r="P23" s="2">
        <v>0.26379999999999998</v>
      </c>
      <c r="Q23" s="2">
        <v>10.014950000000001</v>
      </c>
      <c r="R23" s="2">
        <v>0.30940000000000001</v>
      </c>
      <c r="S23" s="2">
        <v>15.57456</v>
      </c>
      <c r="T23" s="2">
        <v>0.21859999999999999</v>
      </c>
      <c r="U23" s="2">
        <v>8.9465114840000002</v>
      </c>
      <c r="V23" s="2">
        <v>0.26379999999999998</v>
      </c>
      <c r="W23" s="2">
        <v>4.29176</v>
      </c>
      <c r="X23" s="2">
        <v>0.30940000000000001</v>
      </c>
      <c r="Y23" s="2">
        <v>11.47986</v>
      </c>
      <c r="Z23" s="2">
        <v>0.21859999999999999</v>
      </c>
      <c r="AA23" s="2">
        <v>17.699680000000001</v>
      </c>
      <c r="AB23" s="2">
        <v>0.26379999999999998</v>
      </c>
      <c r="AC23" s="2">
        <v>7.6737299999999999</v>
      </c>
      <c r="AD23" s="2">
        <v>0.30940000000000001</v>
      </c>
      <c r="AE23" s="2">
        <v>10.59484</v>
      </c>
      <c r="AF23" s="2">
        <v>0.21859999999999999</v>
      </c>
      <c r="AG23" s="2">
        <v>20.442830000000001</v>
      </c>
      <c r="AH23" s="2">
        <v>0.26379999999999998</v>
      </c>
      <c r="AI23" s="2">
        <v>26.3781</v>
      </c>
      <c r="AJ23" s="2">
        <v>0.30940000000000001</v>
      </c>
      <c r="AK23" s="2">
        <v>14.68953</v>
      </c>
      <c r="AL23" s="2">
        <v>0.21859999999999999</v>
      </c>
      <c r="AM23" s="2">
        <v>3.794527</v>
      </c>
      <c r="AN23" s="2">
        <v>0.26379999999999998</v>
      </c>
      <c r="AO23" s="2">
        <v>2.613489</v>
      </c>
      <c r="AP23" s="2">
        <v>0.30940000000000001</v>
      </c>
      <c r="AQ23" s="2">
        <v>4.279865</v>
      </c>
      <c r="AR23" s="2">
        <v>0.21859999999999999</v>
      </c>
      <c r="AS23" s="2">
        <v>7.6185850000000004</v>
      </c>
      <c r="AT23" s="2">
        <v>0.26379999999999998</v>
      </c>
      <c r="AU23" s="2">
        <v>6.6929220000000003</v>
      </c>
      <c r="AV23" s="2">
        <v>0.30940000000000001</v>
      </c>
      <c r="AW23" s="2">
        <v>10.24122</v>
      </c>
    </row>
    <row r="24" spans="2:49">
      <c r="B24" s="2">
        <v>0.2082</v>
      </c>
      <c r="C24" s="2">
        <v>5.4177549999999997</v>
      </c>
      <c r="D24" s="2">
        <v>0.28960000000000002</v>
      </c>
      <c r="E24" s="2">
        <v>7.0561850000000002</v>
      </c>
      <c r="F24" s="2">
        <v>0.31359999999999999</v>
      </c>
      <c r="G24" s="2">
        <v>7.0373530000000004</v>
      </c>
      <c r="H24" s="2">
        <v>0.2082</v>
      </c>
      <c r="I24" s="2">
        <v>7.0521269999999996</v>
      </c>
      <c r="J24" s="2">
        <v>0.28960000000000002</v>
      </c>
      <c r="K24" s="2">
        <v>6.7982680000000002</v>
      </c>
      <c r="L24" s="2">
        <v>0.31359999999999999</v>
      </c>
      <c r="M24" s="2">
        <v>1.0238259999999999</v>
      </c>
      <c r="N24" s="2">
        <v>0.2082</v>
      </c>
      <c r="O24" s="2">
        <v>0.23791200000000001</v>
      </c>
      <c r="P24" s="2">
        <v>0.28960000000000002</v>
      </c>
      <c r="Q24" s="2">
        <v>16.44651</v>
      </c>
      <c r="R24" s="2">
        <v>0.31359999999999999</v>
      </c>
      <c r="S24" s="2">
        <v>18.216100000000001</v>
      </c>
      <c r="T24" s="2">
        <v>0.2082</v>
      </c>
      <c r="U24" s="2">
        <v>7.0389401000000004E-2</v>
      </c>
      <c r="V24" s="2">
        <v>0.28960000000000002</v>
      </c>
      <c r="W24" s="2">
        <v>9.5027550000000005</v>
      </c>
      <c r="X24" s="2">
        <v>0.31359999999999999</v>
      </c>
      <c r="Y24" s="2">
        <v>13.06827</v>
      </c>
      <c r="Z24" s="2">
        <v>0.2082</v>
      </c>
      <c r="AA24" s="2">
        <v>9.7822700000000005</v>
      </c>
      <c r="AB24" s="2">
        <v>0.28960000000000002</v>
      </c>
      <c r="AC24" s="2">
        <v>6.8836349999999999</v>
      </c>
      <c r="AD24" s="2">
        <v>0.31359999999999999</v>
      </c>
      <c r="AE24" s="2">
        <v>7.9938739999999999</v>
      </c>
      <c r="AF24" s="2">
        <v>0.2082</v>
      </c>
      <c r="AG24" s="2">
        <v>29.42258</v>
      </c>
      <c r="AH24" s="2">
        <v>0.28960000000000002</v>
      </c>
      <c r="AI24" s="2">
        <v>27.282620000000001</v>
      </c>
      <c r="AJ24" s="2">
        <v>0.31359999999999999</v>
      </c>
      <c r="AK24" s="2">
        <v>30.48856</v>
      </c>
      <c r="AL24" s="2">
        <v>0.2082</v>
      </c>
      <c r="AM24" s="2">
        <v>1.948431</v>
      </c>
      <c r="AN24" s="2">
        <v>0.28960000000000002</v>
      </c>
      <c r="AO24" s="2">
        <v>2.6988560000000001</v>
      </c>
      <c r="AP24" s="2">
        <v>0.31359999999999999</v>
      </c>
      <c r="AQ24" s="2">
        <v>2.8402509999999999</v>
      </c>
      <c r="AR24" s="2">
        <v>0.2082</v>
      </c>
      <c r="AS24" s="2">
        <v>0.71336599999999994</v>
      </c>
      <c r="AT24" s="2">
        <v>0.28960000000000002</v>
      </c>
      <c r="AU24" s="2">
        <v>5.7448079999999999</v>
      </c>
      <c r="AV24" s="2">
        <v>0.31359999999999999</v>
      </c>
      <c r="AW24" s="2">
        <v>1.3484640000000001</v>
      </c>
    </row>
    <row r="25" spans="2:49">
      <c r="B25" s="2">
        <v>7.6600000000000001E-2</v>
      </c>
      <c r="C25" s="2">
        <v>5.1391689999999999</v>
      </c>
      <c r="D25" s="2">
        <v>0.2888</v>
      </c>
      <c r="E25" s="2">
        <v>8.1387060000000009</v>
      </c>
      <c r="F25" s="2">
        <v>0.34760000000000002</v>
      </c>
      <c r="G25" s="2">
        <v>0.3417</v>
      </c>
      <c r="H25" s="2">
        <v>7.6600000000000001E-2</v>
      </c>
      <c r="I25" s="2">
        <v>11.305210000000001</v>
      </c>
      <c r="J25" s="2">
        <v>0.2888</v>
      </c>
      <c r="K25" s="2">
        <v>8.3439490000000003</v>
      </c>
      <c r="L25" s="2">
        <v>0.34760000000000002</v>
      </c>
      <c r="M25" s="2">
        <v>1.5996710000000001</v>
      </c>
      <c r="N25" s="2">
        <v>7.6600000000000001E-2</v>
      </c>
      <c r="O25" s="2">
        <v>14.770820000000001</v>
      </c>
      <c r="P25" s="2">
        <v>0.2888</v>
      </c>
      <c r="Q25" s="2">
        <v>10.785069999999999</v>
      </c>
      <c r="R25" s="2">
        <v>0.34760000000000002</v>
      </c>
      <c r="S25" s="2">
        <v>13.35233</v>
      </c>
      <c r="T25" s="2">
        <v>7.6600000000000001E-2</v>
      </c>
      <c r="U25" s="2">
        <v>11.840091620000001</v>
      </c>
      <c r="V25" s="2">
        <v>0.2888</v>
      </c>
      <c r="W25" s="2">
        <v>3.8794580000000001</v>
      </c>
      <c r="X25" s="2">
        <v>0.34760000000000002</v>
      </c>
      <c r="Y25" s="2">
        <v>12.438319999999999</v>
      </c>
      <c r="Z25" s="2">
        <v>7.6600000000000001E-2</v>
      </c>
      <c r="AA25" s="2">
        <v>0.152479</v>
      </c>
      <c r="AB25" s="2">
        <v>0.2888</v>
      </c>
      <c r="AC25" s="2">
        <v>8.2404189999999993</v>
      </c>
      <c r="AD25" s="2">
        <v>0.34760000000000002</v>
      </c>
      <c r="AE25" s="2">
        <v>11.26924</v>
      </c>
      <c r="AF25" s="2">
        <v>7.6600000000000001E-2</v>
      </c>
      <c r="AG25" s="2">
        <v>27.507770000000001</v>
      </c>
      <c r="AH25" s="2">
        <v>0.2888</v>
      </c>
      <c r="AI25" s="2">
        <v>17.543559999999999</v>
      </c>
      <c r="AJ25" s="2">
        <v>0.34760000000000002</v>
      </c>
      <c r="AK25" s="2">
        <v>6.8653719999999998</v>
      </c>
      <c r="AL25" s="2">
        <v>7.6600000000000001E-2</v>
      </c>
      <c r="AM25" s="2">
        <v>2.921624</v>
      </c>
      <c r="AN25" s="2">
        <v>0.2888</v>
      </c>
      <c r="AO25" s="2">
        <v>1.6508449999999999</v>
      </c>
      <c r="AP25" s="2">
        <v>0.34760000000000002</v>
      </c>
      <c r="AQ25" s="2">
        <v>3.5513620000000001</v>
      </c>
      <c r="AR25" s="2">
        <v>7.6600000000000001E-2</v>
      </c>
      <c r="AS25" s="2">
        <v>8.0550359999999994</v>
      </c>
      <c r="AT25" s="2">
        <v>0.2888</v>
      </c>
      <c r="AU25" s="2">
        <v>7.3013859999999999</v>
      </c>
      <c r="AV25" s="2">
        <v>0.34760000000000002</v>
      </c>
      <c r="AW25" s="2">
        <v>1.704019</v>
      </c>
    </row>
    <row r="26" spans="2:49">
      <c r="B26" s="2">
        <v>8.1799999999999998E-2</v>
      </c>
      <c r="C26" s="2">
        <v>7.6427290000000001</v>
      </c>
      <c r="D26" s="2">
        <v>0.25019999999999998</v>
      </c>
      <c r="E26" s="2">
        <v>8.2404189999999993</v>
      </c>
      <c r="F26" s="2">
        <v>0.31559999999999999</v>
      </c>
      <c r="G26" s="2">
        <v>20.660540000000001</v>
      </c>
      <c r="H26" s="2">
        <v>8.1799999999999998E-2</v>
      </c>
      <c r="I26" s="2">
        <v>11.7658</v>
      </c>
      <c r="J26" s="2">
        <v>0.25019999999999998</v>
      </c>
      <c r="K26" s="2">
        <v>1.405643</v>
      </c>
      <c r="L26" s="2">
        <v>0.31559999999999999</v>
      </c>
      <c r="M26" s="2">
        <v>5.3639229999999998</v>
      </c>
      <c r="N26" s="2">
        <v>8.1799999999999998E-2</v>
      </c>
      <c r="O26" s="2">
        <v>15.183120000000001</v>
      </c>
      <c r="P26" s="2">
        <v>0.25019999999999998</v>
      </c>
      <c r="Q26" s="2">
        <v>10.36187</v>
      </c>
      <c r="R26" s="2">
        <v>0.31559999999999999</v>
      </c>
      <c r="S26" s="2">
        <v>16.109819999999999</v>
      </c>
      <c r="T26" s="2">
        <v>8.1799999999999998E-2</v>
      </c>
      <c r="U26" s="2">
        <v>36.110505789999998</v>
      </c>
      <c r="V26" s="2">
        <v>0.25019999999999998</v>
      </c>
      <c r="W26" s="2">
        <v>10.785069999999999</v>
      </c>
      <c r="X26" s="2">
        <v>0.31559999999999999</v>
      </c>
      <c r="Y26" s="2">
        <v>40.521410000000003</v>
      </c>
      <c r="Z26" s="2">
        <v>8.1799999999999998E-2</v>
      </c>
      <c r="AA26" s="2">
        <v>0.174766</v>
      </c>
      <c r="AB26" s="2">
        <v>0.25019999999999998</v>
      </c>
      <c r="AC26" s="2">
        <v>8.0642370000000003</v>
      </c>
      <c r="AD26" s="2">
        <v>0.31559999999999999</v>
      </c>
      <c r="AE26" s="2">
        <v>6.156193</v>
      </c>
      <c r="AF26" s="2">
        <v>8.1799999999999998E-2</v>
      </c>
      <c r="AG26" s="2">
        <v>18.704450000000001</v>
      </c>
      <c r="AH26" s="2">
        <v>0.25019999999999998</v>
      </c>
      <c r="AI26" s="2">
        <v>6.3877819999999996</v>
      </c>
      <c r="AJ26" s="2">
        <v>0.31559999999999999</v>
      </c>
      <c r="AK26" s="2">
        <v>34.038319999999999</v>
      </c>
      <c r="AL26" s="2">
        <v>8.1799999999999998E-2</v>
      </c>
      <c r="AM26" s="2">
        <v>2.7600449999999999</v>
      </c>
      <c r="AN26" s="2">
        <v>0.25019999999999998</v>
      </c>
      <c r="AO26" s="2">
        <v>3.3418299999999999</v>
      </c>
      <c r="AP26" s="2">
        <v>0.31559999999999999</v>
      </c>
      <c r="AQ26" s="2">
        <v>4.5561930000000004</v>
      </c>
      <c r="AR26" s="2">
        <v>8.1799999999999998E-2</v>
      </c>
      <c r="AS26" s="2">
        <v>8.9465109999999992</v>
      </c>
      <c r="AT26" s="2">
        <v>0.25019999999999998</v>
      </c>
      <c r="AU26" s="2">
        <v>7.6737299999999999</v>
      </c>
      <c r="AV26" s="2">
        <v>0.31559999999999999</v>
      </c>
      <c r="AW26" s="2">
        <v>2.3629570000000002</v>
      </c>
    </row>
    <row r="27" spans="2:49">
      <c r="B27" s="2">
        <v>7.22E-2</v>
      </c>
      <c r="C27" s="2">
        <v>7.6668729999999998</v>
      </c>
      <c r="D27" s="2">
        <v>0.2462</v>
      </c>
      <c r="E27" s="2">
        <v>0.44844699999999998</v>
      </c>
      <c r="F27" s="2">
        <v>0.30099999999999999</v>
      </c>
      <c r="G27" s="2">
        <v>15.38325</v>
      </c>
      <c r="H27" s="2">
        <v>7.22E-2</v>
      </c>
      <c r="I27" s="2">
        <v>7.1617040000000003</v>
      </c>
      <c r="J27" s="2">
        <v>0.2462</v>
      </c>
      <c r="K27" s="2">
        <v>8.3693770000000001</v>
      </c>
      <c r="L27" s="2">
        <v>0.30099999999999999</v>
      </c>
      <c r="M27" s="2">
        <v>5.5880770000000002</v>
      </c>
      <c r="N27" s="2">
        <v>7.22E-2</v>
      </c>
      <c r="O27" s="2">
        <v>0.247199</v>
      </c>
      <c r="P27" s="2">
        <v>0.2462</v>
      </c>
      <c r="Q27" s="2">
        <v>9.4155719999999992</v>
      </c>
      <c r="R27" s="2">
        <v>0.30099999999999999</v>
      </c>
      <c r="S27" s="2">
        <v>19.549440000000001</v>
      </c>
      <c r="T27" s="2">
        <v>7.22E-2</v>
      </c>
      <c r="U27" s="2">
        <v>0.117191853</v>
      </c>
      <c r="V27" s="2">
        <v>0.2462</v>
      </c>
      <c r="W27" s="2">
        <v>10.265610000000001</v>
      </c>
      <c r="X27" s="2">
        <v>0.30099999999999999</v>
      </c>
      <c r="Y27" s="2">
        <v>35.419960000000003</v>
      </c>
      <c r="Z27" s="2">
        <v>7.22E-2</v>
      </c>
      <c r="AA27" s="2">
        <v>18.87717</v>
      </c>
      <c r="AB27" s="2">
        <v>0.2462</v>
      </c>
      <c r="AC27" s="2">
        <v>8.7144759999999994</v>
      </c>
      <c r="AD27" s="2">
        <v>0.30099999999999999</v>
      </c>
      <c r="AE27" s="2">
        <v>9.0779320000000006</v>
      </c>
      <c r="AF27" s="2">
        <v>7.22E-2</v>
      </c>
      <c r="AG27" s="2">
        <v>0.174766</v>
      </c>
      <c r="AH27" s="2">
        <v>0.2462</v>
      </c>
      <c r="AI27" s="2">
        <v>17.1694</v>
      </c>
      <c r="AJ27" s="2">
        <v>0.30099999999999999</v>
      </c>
      <c r="AK27" s="2">
        <v>21.499189999999999</v>
      </c>
      <c r="AL27" s="2">
        <v>7.22E-2</v>
      </c>
      <c r="AM27" s="2">
        <v>1.3558000000000001E-2</v>
      </c>
      <c r="AN27" s="2">
        <v>0.2462</v>
      </c>
      <c r="AO27" s="2">
        <v>2.9513229999999999</v>
      </c>
      <c r="AP27" s="2">
        <v>0.30099999999999999</v>
      </c>
      <c r="AQ27" s="2">
        <v>3.868271</v>
      </c>
      <c r="AR27" s="2">
        <v>7.22E-2</v>
      </c>
      <c r="AS27" s="2">
        <v>7.8340249999999996</v>
      </c>
      <c r="AT27" s="2">
        <v>0.2462</v>
      </c>
      <c r="AU27" s="2">
        <v>7.6973419999999999</v>
      </c>
      <c r="AV27" s="2">
        <v>0.30099999999999999</v>
      </c>
      <c r="AW27" s="2">
        <v>3.3851789999999999</v>
      </c>
    </row>
    <row r="28" spans="2:49">
      <c r="B28" s="2">
        <v>0.22339999999999999</v>
      </c>
      <c r="C28" s="2">
        <v>3.989538</v>
      </c>
      <c r="D28" s="2">
        <v>0.25940000000000002</v>
      </c>
      <c r="E28" s="2">
        <v>7.4394260000000001</v>
      </c>
      <c r="F28" s="2"/>
      <c r="G28"/>
      <c r="H28" s="2">
        <v>0.22339999999999999</v>
      </c>
      <c r="I28" s="2">
        <v>5.7464870000000001</v>
      </c>
      <c r="J28" s="2">
        <v>0.25940000000000002</v>
      </c>
      <c r="K28" s="2">
        <v>7.4394260000000001</v>
      </c>
      <c r="L28" s="2"/>
      <c r="M28"/>
      <c r="N28" s="2">
        <v>0.22339999999999999</v>
      </c>
      <c r="O28" s="2">
        <v>21.14301</v>
      </c>
      <c r="P28" s="2">
        <v>0.25940000000000002</v>
      </c>
      <c r="Q28" s="2">
        <v>19.472480000000001</v>
      </c>
      <c r="R28" s="2"/>
      <c r="S28"/>
      <c r="T28" s="2">
        <v>0.22339999999999999</v>
      </c>
      <c r="U28" s="2">
        <v>16.69863183</v>
      </c>
      <c r="V28" s="2">
        <v>0.25940000000000002</v>
      </c>
      <c r="W28" s="2">
        <v>10.202030000000001</v>
      </c>
      <c r="X28" s="2"/>
      <c r="Y28"/>
      <c r="Z28" s="2">
        <v>0.22339999999999999</v>
      </c>
      <c r="AA28" s="2">
        <v>8.9465109999999992</v>
      </c>
      <c r="AB28" s="2">
        <v>0.25940000000000002</v>
      </c>
      <c r="AC28" s="2">
        <v>8.4474780000000003</v>
      </c>
      <c r="AD28"/>
      <c r="AE28"/>
      <c r="AF28" s="2">
        <v>0.22339999999999999</v>
      </c>
      <c r="AG28" s="2">
        <v>21.013000000000002</v>
      </c>
      <c r="AH28" s="2">
        <v>0.25940000000000002</v>
      </c>
      <c r="AI28" s="2">
        <v>17.543559999999999</v>
      </c>
      <c r="AJ28"/>
      <c r="AK28"/>
      <c r="AL28" s="2">
        <v>0.22339999999999999</v>
      </c>
      <c r="AM28" s="2">
        <v>3.4527950000000001</v>
      </c>
      <c r="AN28" s="2">
        <v>0.25940000000000002</v>
      </c>
      <c r="AO28" s="2">
        <v>3.5507049999999998</v>
      </c>
      <c r="AP28"/>
      <c r="AQ28"/>
      <c r="AR28" s="2">
        <v>0.22339999999999999</v>
      </c>
      <c r="AS28" s="2">
        <v>0.689222</v>
      </c>
      <c r="AT28" s="2">
        <v>0.25940000000000002</v>
      </c>
      <c r="AU28" s="2">
        <v>6.9907969999999997</v>
      </c>
      <c r="AV28"/>
      <c r="AW28"/>
    </row>
    <row r="29" spans="2:49">
      <c r="B29" s="2">
        <v>0.219</v>
      </c>
      <c r="C29" s="2">
        <v>6.6286759999999996</v>
      </c>
      <c r="D29" s="2">
        <v>0.30780000000000002</v>
      </c>
      <c r="E29" s="2">
        <v>0.682751</v>
      </c>
      <c r="F29" s="2"/>
      <c r="G29"/>
      <c r="H29" s="2">
        <v>0.219</v>
      </c>
      <c r="I29" s="2">
        <v>5.4846159999999999</v>
      </c>
      <c r="J29" s="2">
        <v>0.30780000000000002</v>
      </c>
      <c r="K29" s="2">
        <v>0.99515699999999996</v>
      </c>
      <c r="L29" s="2"/>
      <c r="M29"/>
      <c r="N29" s="2">
        <v>0.219</v>
      </c>
      <c r="O29" s="2">
        <v>19.705500000000001</v>
      </c>
      <c r="P29" s="2">
        <v>0.30780000000000002</v>
      </c>
      <c r="Q29" s="2">
        <v>11.94206</v>
      </c>
      <c r="R29" s="2"/>
      <c r="S29"/>
      <c r="T29" s="2">
        <v>0.219</v>
      </c>
      <c r="U29" s="2">
        <v>16.394044449999999</v>
      </c>
      <c r="V29" s="2">
        <v>0.30780000000000002</v>
      </c>
      <c r="W29" s="2">
        <v>11.402620000000001</v>
      </c>
      <c r="X29" s="2"/>
      <c r="Y29"/>
      <c r="Z29" s="2">
        <v>0.219</v>
      </c>
      <c r="AA29" s="2">
        <v>17.755400000000002</v>
      </c>
      <c r="AB29" s="2">
        <v>0.30780000000000002</v>
      </c>
      <c r="AC29" s="2">
        <v>9.5318159999999992</v>
      </c>
      <c r="AD29"/>
      <c r="AE29"/>
      <c r="AF29" s="2">
        <v>0.219</v>
      </c>
      <c r="AG29" s="2">
        <v>0.17105200000000001</v>
      </c>
      <c r="AH29" s="2">
        <v>0.30780000000000002</v>
      </c>
      <c r="AI29" s="2">
        <v>6.8836349999999999</v>
      </c>
      <c r="AJ29"/>
      <c r="AK29"/>
      <c r="AL29" s="2">
        <v>0.219</v>
      </c>
      <c r="AM29" s="2">
        <v>2.6486100000000001</v>
      </c>
      <c r="AN29" s="2">
        <v>0.30780000000000002</v>
      </c>
      <c r="AO29" s="2">
        <v>3.5398070000000001</v>
      </c>
      <c r="AP29"/>
      <c r="AQ29"/>
      <c r="AR29" s="2">
        <v>0.219</v>
      </c>
      <c r="AS29" s="2">
        <v>7.5944409999999998</v>
      </c>
      <c r="AT29" s="2">
        <v>0.30780000000000002</v>
      </c>
      <c r="AU29" s="2">
        <v>9.1558390000000003</v>
      </c>
      <c r="AV29"/>
      <c r="AW29"/>
    </row>
    <row r="30" spans="2:49">
      <c r="B30" s="2">
        <v>0.14960000000000001</v>
      </c>
      <c r="C30" s="2">
        <v>1.636414</v>
      </c>
      <c r="D30" s="2">
        <v>0.27760000000000001</v>
      </c>
      <c r="E30" s="2">
        <v>0.66095499999999996</v>
      </c>
      <c r="F30" s="2"/>
      <c r="G30"/>
      <c r="H30" s="2">
        <v>0.14960000000000001</v>
      </c>
      <c r="I30" s="2">
        <v>5.837491</v>
      </c>
      <c r="J30" s="2">
        <v>0.27760000000000001</v>
      </c>
      <c r="K30" s="2">
        <v>9.0432279999999992</v>
      </c>
      <c r="L30" s="2"/>
      <c r="M30"/>
      <c r="N30" s="2">
        <v>0.14960000000000001</v>
      </c>
      <c r="O30" s="2">
        <v>18.762029999999999</v>
      </c>
      <c r="P30" s="2">
        <v>0.27760000000000001</v>
      </c>
      <c r="Q30" s="2">
        <v>10.81958</v>
      </c>
      <c r="R30" s="2"/>
      <c r="S30"/>
      <c r="T30" s="2">
        <v>0.14960000000000001</v>
      </c>
      <c r="U30" s="2">
        <v>16.343898970000001</v>
      </c>
      <c r="V30" s="2">
        <v>0.27760000000000001</v>
      </c>
      <c r="W30" s="2">
        <v>10.234730000000001</v>
      </c>
      <c r="X30" s="2"/>
      <c r="Y30"/>
      <c r="Z30" s="2">
        <v>0.14960000000000001</v>
      </c>
      <c r="AA30" s="2">
        <v>7.7615920000000003</v>
      </c>
      <c r="AB30" s="2">
        <v>0.27760000000000001</v>
      </c>
      <c r="AC30" s="2">
        <v>7.8172189999999997</v>
      </c>
      <c r="AD30"/>
      <c r="AE30"/>
      <c r="AF30" s="2">
        <v>0.14960000000000001</v>
      </c>
      <c r="AG30" s="2">
        <v>28.449390000000001</v>
      </c>
      <c r="AH30" s="2">
        <v>0.27760000000000001</v>
      </c>
      <c r="AI30" s="2">
        <v>16.75347</v>
      </c>
      <c r="AJ30"/>
      <c r="AK30"/>
      <c r="AL30" s="2">
        <v>0.14960000000000001</v>
      </c>
      <c r="AM30" s="2">
        <v>1.523123</v>
      </c>
      <c r="AN30" s="2">
        <v>0.27760000000000001</v>
      </c>
      <c r="AO30" s="2">
        <v>3.5961129999999999</v>
      </c>
      <c r="AP30"/>
      <c r="AQ30"/>
      <c r="AR30" s="2">
        <v>0.14960000000000001</v>
      </c>
      <c r="AS30" s="2">
        <v>0.479354</v>
      </c>
      <c r="AT30" s="2">
        <v>0.27760000000000001</v>
      </c>
      <c r="AU30" s="2">
        <v>8.0642370000000003</v>
      </c>
      <c r="AV30"/>
      <c r="AW30"/>
    </row>
    <row r="31" spans="2:49">
      <c r="B31" s="2">
        <v>7.4200000000000002E-2</v>
      </c>
      <c r="C31" s="2">
        <v>5.9842129999999996</v>
      </c>
      <c r="D31" s="2">
        <v>0.18240000000000001</v>
      </c>
      <c r="E31" s="2">
        <v>0.263183</v>
      </c>
      <c r="F31" s="2"/>
      <c r="G31"/>
      <c r="H31" s="2">
        <v>7.4200000000000002E-2</v>
      </c>
      <c r="I31" s="2">
        <v>11.62279</v>
      </c>
      <c r="J31" s="2">
        <v>0.18240000000000001</v>
      </c>
      <c r="K31" s="2">
        <v>0.92068799999999995</v>
      </c>
      <c r="L31" s="2"/>
      <c r="M31"/>
      <c r="N31" s="2">
        <v>7.4200000000000002E-2</v>
      </c>
      <c r="O31" s="2">
        <v>16.095030000000001</v>
      </c>
      <c r="P31" s="2">
        <v>0.18240000000000001</v>
      </c>
      <c r="Q31" s="2">
        <v>22.56203</v>
      </c>
      <c r="R31" s="2"/>
      <c r="S31"/>
      <c r="T31" s="2">
        <v>7.4200000000000002E-2</v>
      </c>
      <c r="U31" s="2">
        <v>0.141335975</v>
      </c>
      <c r="V31" s="2">
        <v>0.18240000000000001</v>
      </c>
      <c r="W31" s="2">
        <v>14.365019999999999</v>
      </c>
      <c r="X31" s="2"/>
      <c r="Y31"/>
      <c r="Z31" s="2">
        <v>7.4200000000000002E-2</v>
      </c>
      <c r="AA31" s="2">
        <v>0.19705300000000001</v>
      </c>
      <c r="AB31" s="2">
        <v>0.18240000000000001</v>
      </c>
      <c r="AC31" s="2">
        <v>11.26276</v>
      </c>
      <c r="AD31"/>
      <c r="AE31"/>
      <c r="AF31" s="2">
        <v>7.4200000000000002E-2</v>
      </c>
      <c r="AG31" s="2">
        <v>18.646879999999999</v>
      </c>
      <c r="AH31" s="2">
        <v>0.18240000000000001</v>
      </c>
      <c r="AI31" s="2">
        <v>21.090820000000001</v>
      </c>
      <c r="AJ31"/>
      <c r="AK31"/>
      <c r="AL31" s="2">
        <v>7.4200000000000002E-2</v>
      </c>
      <c r="AM31" s="2">
        <v>4.0656840000000001</v>
      </c>
      <c r="AN31" s="2">
        <v>0.18240000000000001</v>
      </c>
      <c r="AO31" s="2">
        <v>4.7748989999999996</v>
      </c>
      <c r="AP31"/>
      <c r="AQ31"/>
      <c r="AR31" s="2">
        <v>7.4200000000000002E-2</v>
      </c>
      <c r="AS31" s="2">
        <v>8.5156320000000001</v>
      </c>
      <c r="AT31" s="2">
        <v>0.18240000000000001</v>
      </c>
      <c r="AU31" s="2">
        <v>5.534116</v>
      </c>
      <c r="AV31"/>
      <c r="AW31"/>
    </row>
    <row r="32" spans="2:49">
      <c r="B32" s="2">
        <v>0.22339999999999999</v>
      </c>
      <c r="C32" s="2">
        <v>6.2293690000000002</v>
      </c>
      <c r="D32" s="2">
        <v>0.29120000000000001</v>
      </c>
      <c r="E32" s="2">
        <v>7.7209539999999999</v>
      </c>
      <c r="F32" s="2"/>
      <c r="G32"/>
      <c r="H32" s="2">
        <v>0.22339999999999999</v>
      </c>
      <c r="I32" s="2">
        <v>4.2530999999999999E-2</v>
      </c>
      <c r="J32" s="2">
        <v>0.29120000000000001</v>
      </c>
      <c r="K32" s="2">
        <v>1.323909</v>
      </c>
      <c r="L32" s="2"/>
      <c r="M32"/>
      <c r="N32" s="2">
        <v>0.22339999999999999</v>
      </c>
      <c r="O32" s="2">
        <v>19.10933</v>
      </c>
      <c r="P32" s="2">
        <v>0.29120000000000001</v>
      </c>
      <c r="Q32" s="2">
        <v>11.228249999999999</v>
      </c>
      <c r="R32" s="2"/>
      <c r="S32"/>
      <c r="T32" s="2">
        <v>0.22339999999999999</v>
      </c>
      <c r="U32" s="2">
        <v>38.034606570000001</v>
      </c>
      <c r="V32" s="2">
        <v>0.29120000000000001</v>
      </c>
      <c r="W32" s="2">
        <v>10.42544</v>
      </c>
      <c r="X32" s="2"/>
      <c r="Y32"/>
      <c r="Z32" s="2">
        <v>0.22339999999999999</v>
      </c>
      <c r="AA32" s="2">
        <v>21.273009999999999</v>
      </c>
      <c r="AB32" s="2">
        <v>0.29120000000000001</v>
      </c>
      <c r="AC32" s="2">
        <v>8.5528239999999993</v>
      </c>
      <c r="AD32"/>
      <c r="AE32"/>
      <c r="AF32" s="2">
        <v>0.22339999999999999</v>
      </c>
      <c r="AG32" s="2">
        <v>17.918839999999999</v>
      </c>
      <c r="AH32" s="2">
        <v>0.29120000000000001</v>
      </c>
      <c r="AI32" s="2">
        <v>26.298179999999999</v>
      </c>
      <c r="AJ32"/>
      <c r="AK32"/>
      <c r="AL32" s="2">
        <v>0.22339999999999999</v>
      </c>
      <c r="AM32" s="2">
        <v>3.4639389999999999</v>
      </c>
      <c r="AN32" s="2">
        <v>0.29120000000000001</v>
      </c>
      <c r="AO32" s="2">
        <v>3.2800750000000001</v>
      </c>
      <c r="AP32"/>
      <c r="AQ32"/>
      <c r="AR32" s="2">
        <v>0.22339999999999999</v>
      </c>
      <c r="AS32" s="2">
        <v>7.5721540000000003</v>
      </c>
      <c r="AT32" s="2">
        <v>0.29120000000000001</v>
      </c>
      <c r="AU32" s="2">
        <v>7.4394260000000001</v>
      </c>
      <c r="AV32"/>
      <c r="AW32"/>
    </row>
    <row r="33" spans="2:49">
      <c r="B33" s="2">
        <v>0.2344</v>
      </c>
      <c r="C33" s="2">
        <v>2.6151800000000001</v>
      </c>
      <c r="D33" s="2">
        <v>0.28999999999999998</v>
      </c>
      <c r="E33" s="2">
        <v>7.4158140000000001</v>
      </c>
      <c r="F33" s="2"/>
      <c r="G33"/>
      <c r="H33" s="2">
        <v>0.2344</v>
      </c>
      <c r="I33" s="2">
        <v>6.5060979999999997</v>
      </c>
      <c r="J33" s="2">
        <v>0.28999999999999998</v>
      </c>
      <c r="K33" s="2">
        <v>7.1669790000000004</v>
      </c>
      <c r="L33" s="2"/>
      <c r="M33"/>
      <c r="N33" s="2">
        <v>0.2344</v>
      </c>
      <c r="O33" s="2">
        <v>14.456939999999999</v>
      </c>
      <c r="P33" s="2">
        <v>0.28999999999999998</v>
      </c>
      <c r="Q33" s="2">
        <v>10.81958</v>
      </c>
      <c r="R33" s="2"/>
      <c r="S33"/>
      <c r="T33" s="2">
        <v>0.2344</v>
      </c>
      <c r="U33" s="2">
        <v>6.4446233000000006E-2</v>
      </c>
      <c r="V33" s="2">
        <v>0.28999999999999998</v>
      </c>
      <c r="W33" s="2">
        <v>4.5696560000000002</v>
      </c>
      <c r="X33" s="2"/>
      <c r="Y33"/>
      <c r="Z33" s="2">
        <v>0.2344</v>
      </c>
      <c r="AA33" s="2">
        <v>9.0003709999999995</v>
      </c>
      <c r="AB33" s="2">
        <v>0.28999999999999998</v>
      </c>
      <c r="AC33" s="2">
        <v>7.370406</v>
      </c>
      <c r="AD33"/>
      <c r="AE33"/>
      <c r="AF33" s="2">
        <v>0.2344</v>
      </c>
      <c r="AG33" s="2">
        <v>28.449390000000001</v>
      </c>
      <c r="AH33" s="2">
        <v>0.28999999999999998</v>
      </c>
      <c r="AI33" s="2">
        <v>17.81419</v>
      </c>
      <c r="AJ33"/>
      <c r="AK33"/>
      <c r="AL33" s="2">
        <v>0.2344</v>
      </c>
      <c r="AM33" s="2">
        <v>2.0115769999999999</v>
      </c>
      <c r="AN33" s="2">
        <v>0.28999999999999998</v>
      </c>
      <c r="AO33" s="2">
        <v>3.1166070000000001</v>
      </c>
      <c r="AP33"/>
      <c r="AQ33"/>
      <c r="AR33" s="2">
        <v>0.2344</v>
      </c>
      <c r="AS33" s="2">
        <v>0.505355</v>
      </c>
      <c r="AT33" s="2">
        <v>0.28999999999999998</v>
      </c>
      <c r="AU33" s="2">
        <v>1.207665</v>
      </c>
      <c r="AV33"/>
      <c r="AW33"/>
    </row>
    <row r="34" spans="2:49">
      <c r="B34" s="2">
        <v>0.26619999999999999</v>
      </c>
      <c r="C34" s="2">
        <v>4.3554139999999997</v>
      </c>
      <c r="D34" s="2">
        <v>0.31359999999999999</v>
      </c>
      <c r="E34" s="2">
        <v>7.0373530000000004</v>
      </c>
      <c r="F34" s="2"/>
      <c r="G34"/>
      <c r="H34" s="2">
        <v>0.26619999999999999</v>
      </c>
      <c r="I34" s="2">
        <v>7.954745</v>
      </c>
      <c r="J34" s="2">
        <v>0.31359999999999999</v>
      </c>
      <c r="K34" s="2">
        <v>1.0238259999999999</v>
      </c>
      <c r="L34" s="2"/>
      <c r="M34"/>
      <c r="N34" s="2">
        <v>0.26619999999999999</v>
      </c>
      <c r="O34" s="2">
        <v>15.90002</v>
      </c>
      <c r="P34" s="2">
        <v>0.31359999999999999</v>
      </c>
      <c r="Q34" s="2">
        <v>18.216100000000001</v>
      </c>
      <c r="R34" s="2"/>
      <c r="S34"/>
      <c r="T34" s="2">
        <v>0.26619999999999999</v>
      </c>
      <c r="U34" s="2">
        <v>37.230421589999999</v>
      </c>
      <c r="V34" s="2">
        <v>0.31359999999999999</v>
      </c>
      <c r="W34" s="2">
        <v>13.06827</v>
      </c>
      <c r="X34" s="2"/>
      <c r="Y34"/>
      <c r="Z34" s="2">
        <v>0.26619999999999999</v>
      </c>
      <c r="AA34" s="2">
        <v>11.44636</v>
      </c>
      <c r="AB34" s="2">
        <v>0.31359999999999999</v>
      </c>
      <c r="AC34" s="2">
        <v>7.9938739999999999</v>
      </c>
      <c r="AD34"/>
      <c r="AE34"/>
      <c r="AF34" s="2">
        <v>0.26619999999999999</v>
      </c>
      <c r="AG34" s="2">
        <v>25.405370000000001</v>
      </c>
      <c r="AH34" s="2">
        <v>0.31359999999999999</v>
      </c>
      <c r="AI34" s="2">
        <v>30.48856</v>
      </c>
      <c r="AJ34"/>
      <c r="AK34"/>
      <c r="AL34" s="2">
        <v>0.26619999999999999</v>
      </c>
      <c r="AM34" s="2">
        <v>3.3580760000000001</v>
      </c>
      <c r="AN34" s="2">
        <v>0.31359999999999999</v>
      </c>
      <c r="AO34" s="2">
        <v>2.8402509999999999</v>
      </c>
      <c r="AP34"/>
      <c r="AQ34"/>
      <c r="AR34" s="2">
        <v>0.26619999999999999</v>
      </c>
      <c r="AS34" s="2">
        <v>6.0399310000000002</v>
      </c>
      <c r="AT34" s="2">
        <v>0.31359999999999999</v>
      </c>
      <c r="AU34" s="2">
        <v>1.3484640000000001</v>
      </c>
      <c r="AV34"/>
      <c r="AW34"/>
    </row>
    <row r="35" spans="2:49">
      <c r="B35" s="2">
        <v>0.20480000000000001</v>
      </c>
      <c r="C35" s="2">
        <v>7.4551480000000003</v>
      </c>
      <c r="D35" s="2">
        <v>0.2898</v>
      </c>
      <c r="E35" s="2">
        <v>7.7252749999999999</v>
      </c>
      <c r="F35" s="2"/>
      <c r="G35"/>
      <c r="H35" s="2">
        <v>0.20480000000000001</v>
      </c>
      <c r="I35" s="2">
        <v>3.7887999999999998E-2</v>
      </c>
      <c r="J35" s="2">
        <v>0.2898</v>
      </c>
      <c r="K35" s="2">
        <v>0.29532399999999998</v>
      </c>
      <c r="L35" s="2"/>
      <c r="M35"/>
      <c r="N35" s="2">
        <v>0.20480000000000001</v>
      </c>
      <c r="O35" s="2">
        <v>0.39577800000000002</v>
      </c>
      <c r="P35" s="2">
        <v>0.2898</v>
      </c>
      <c r="Q35" s="2">
        <v>21.304030000000001</v>
      </c>
      <c r="R35" s="2"/>
      <c r="S35"/>
      <c r="T35" s="2">
        <v>0.20480000000000001</v>
      </c>
      <c r="U35" s="2">
        <v>17.112796379999999</v>
      </c>
      <c r="V35" s="2">
        <v>0.2898</v>
      </c>
      <c r="W35" s="2">
        <v>0.29725600000000002</v>
      </c>
      <c r="X35" s="2"/>
      <c r="Y35"/>
      <c r="Z35" s="2">
        <v>0.20480000000000001</v>
      </c>
      <c r="AA35" s="2">
        <v>14.54609</v>
      </c>
      <c r="AB35" s="2">
        <v>0.2898</v>
      </c>
      <c r="AC35" s="2">
        <v>11.16682</v>
      </c>
      <c r="AD35"/>
      <c r="AE35"/>
      <c r="AF35" s="2">
        <v>0.20480000000000001</v>
      </c>
      <c r="AG35" s="2">
        <v>16.648489999999999</v>
      </c>
      <c r="AH35" s="2">
        <v>0.2898</v>
      </c>
      <c r="AI35" s="2">
        <v>7.8218940000000003</v>
      </c>
      <c r="AJ35"/>
      <c r="AK35"/>
      <c r="AL35" s="2">
        <v>0.20480000000000001</v>
      </c>
      <c r="AM35" s="2">
        <v>2.1657280000000001</v>
      </c>
      <c r="AN35" s="2">
        <v>0.2898</v>
      </c>
      <c r="AO35" s="2">
        <v>4.1465310000000004</v>
      </c>
      <c r="AP35"/>
      <c r="AQ35"/>
      <c r="AR35" s="2">
        <v>0.20480000000000001</v>
      </c>
      <c r="AS35" s="2">
        <v>8.4357699999999998</v>
      </c>
      <c r="AT35" s="2">
        <v>0.2898</v>
      </c>
      <c r="AU35" s="2">
        <v>10.02286</v>
      </c>
      <c r="AV35"/>
      <c r="AW35"/>
    </row>
    <row r="36" spans="2:49">
      <c r="B36" s="2">
        <v>0.16159999999999999</v>
      </c>
      <c r="C36" s="2">
        <v>22.478359999999999</v>
      </c>
      <c r="D36" s="2">
        <v>0.34760000000000002</v>
      </c>
      <c r="E36" s="2">
        <v>0.3417</v>
      </c>
      <c r="F36" s="2"/>
      <c r="G36"/>
      <c r="H36" s="2">
        <v>0.16159999999999999</v>
      </c>
      <c r="I36" s="2">
        <v>12.90429</v>
      </c>
      <c r="J36" s="2">
        <v>0.34760000000000002</v>
      </c>
      <c r="K36" s="2">
        <v>1.5996710000000001</v>
      </c>
      <c r="L36" s="2"/>
      <c r="M36"/>
      <c r="N36" s="2">
        <v>0.16159999999999999</v>
      </c>
      <c r="O36" s="2">
        <v>13.511609999999999</v>
      </c>
      <c r="P36" s="2">
        <v>0.34760000000000002</v>
      </c>
      <c r="Q36" s="2">
        <v>13.35233</v>
      </c>
      <c r="R36" s="2"/>
      <c r="S36"/>
      <c r="T36" s="2">
        <v>0.16159999999999999</v>
      </c>
      <c r="U36" s="2">
        <v>47.972698569999999</v>
      </c>
      <c r="V36" s="2">
        <v>0.34760000000000002</v>
      </c>
      <c r="W36" s="2">
        <v>12.438319999999999</v>
      </c>
      <c r="X36" s="2"/>
      <c r="Y36"/>
      <c r="Z36" s="2">
        <v>0.16159999999999999</v>
      </c>
      <c r="AA36" s="2">
        <v>0.21562600000000001</v>
      </c>
      <c r="AB36" s="2">
        <v>0.34760000000000002</v>
      </c>
      <c r="AC36" s="2">
        <v>11.26924</v>
      </c>
      <c r="AD36"/>
      <c r="AE36"/>
      <c r="AF36" s="2">
        <v>0.16159999999999999</v>
      </c>
      <c r="AG36" s="2">
        <v>31.954000000000001</v>
      </c>
      <c r="AH36" s="2">
        <v>0.34760000000000002</v>
      </c>
      <c r="AI36" s="2">
        <v>6.8653719999999998</v>
      </c>
      <c r="AJ36"/>
      <c r="AK36"/>
      <c r="AL36" s="2">
        <v>0.16159999999999999</v>
      </c>
      <c r="AM36" s="2">
        <v>0.98080900000000004</v>
      </c>
      <c r="AN36" s="2">
        <v>0.34760000000000002</v>
      </c>
      <c r="AO36" s="2">
        <v>3.5513620000000001</v>
      </c>
      <c r="AP36"/>
      <c r="AQ36"/>
      <c r="AR36" s="2">
        <v>0.16159999999999999</v>
      </c>
      <c r="AS36" s="2">
        <v>5.0110200000000003</v>
      </c>
      <c r="AT36" s="2">
        <v>0.34760000000000002</v>
      </c>
      <c r="AU36" s="2">
        <v>1.704019</v>
      </c>
      <c r="AV36"/>
      <c r="AW36"/>
    </row>
    <row r="37" spans="2:49">
      <c r="B37" s="2">
        <v>0.18720000000000001</v>
      </c>
      <c r="C37" s="2">
        <v>5.3489000000000002E-2</v>
      </c>
      <c r="D37" s="2">
        <v>0.32740000000000002</v>
      </c>
      <c r="E37" s="2">
        <v>23.84253</v>
      </c>
      <c r="F37" s="2"/>
      <c r="G37"/>
      <c r="H37" s="2">
        <v>0.18720000000000001</v>
      </c>
      <c r="I37" s="2">
        <v>6.3463750000000001</v>
      </c>
      <c r="J37" s="2">
        <v>0.32740000000000002</v>
      </c>
      <c r="K37" s="2">
        <v>0.61736400000000002</v>
      </c>
      <c r="L37" s="2"/>
      <c r="M37"/>
      <c r="N37" s="2">
        <v>0.18720000000000001</v>
      </c>
      <c r="O37" s="2">
        <v>19.051760000000002</v>
      </c>
      <c r="P37" s="2">
        <v>0.32740000000000002</v>
      </c>
      <c r="Q37" s="2">
        <v>19.654109999999999</v>
      </c>
      <c r="R37" s="2"/>
      <c r="S37"/>
      <c r="T37" s="2">
        <v>0.18720000000000001</v>
      </c>
      <c r="U37" s="2">
        <v>0.14505045499999999</v>
      </c>
      <c r="V37" s="2">
        <v>0.32740000000000002</v>
      </c>
      <c r="W37" s="2">
        <v>24.0623</v>
      </c>
      <c r="X37" s="2"/>
      <c r="Y37"/>
      <c r="Z37" s="2">
        <v>0.18720000000000001</v>
      </c>
      <c r="AA37" s="2">
        <v>18.36458</v>
      </c>
      <c r="AB37" s="2">
        <v>0.32740000000000002</v>
      </c>
      <c r="AC37" s="2">
        <v>8.2149909999999995</v>
      </c>
      <c r="AD37"/>
      <c r="AE37"/>
      <c r="AF37" s="2">
        <v>0.18720000000000001</v>
      </c>
      <c r="AG37" s="2">
        <v>0.19519600000000001</v>
      </c>
      <c r="AH37" s="2">
        <v>0.32740000000000002</v>
      </c>
      <c r="AI37" s="2">
        <v>34.851179999999999</v>
      </c>
      <c r="AJ37"/>
      <c r="AK37"/>
      <c r="AL37" s="2">
        <v>0.18720000000000001</v>
      </c>
      <c r="AM37" s="2">
        <v>2.1601560000000002</v>
      </c>
      <c r="AN37" s="2">
        <v>0.32740000000000002</v>
      </c>
      <c r="AO37" s="2">
        <v>2.7333660000000002</v>
      </c>
      <c r="AP37"/>
      <c r="AQ37"/>
      <c r="AR37" s="2">
        <v>0.18720000000000001</v>
      </c>
      <c r="AS37" s="2">
        <v>8.9725129999999993</v>
      </c>
      <c r="AT37" s="2">
        <v>0.32740000000000002</v>
      </c>
      <c r="AU37" s="2">
        <v>3.4835020000000001</v>
      </c>
      <c r="AV37"/>
      <c r="AW37"/>
    </row>
    <row r="38" spans="2:49">
      <c r="B38" s="2">
        <v>0.29060000000000002</v>
      </c>
      <c r="C38" s="2">
        <v>28.103940000000001</v>
      </c>
      <c r="D38" s="2">
        <v>0.24299999999999999</v>
      </c>
      <c r="E38" s="2">
        <v>27.78755</v>
      </c>
      <c r="F38" s="2"/>
      <c r="G38"/>
      <c r="H38" s="2">
        <v>0.29060000000000002</v>
      </c>
      <c r="I38" s="2">
        <v>7.7615920000000003</v>
      </c>
      <c r="J38" s="2">
        <v>0.24299999999999999</v>
      </c>
      <c r="K38" s="2">
        <v>0.13967399999999999</v>
      </c>
      <c r="L38" s="2"/>
      <c r="M38"/>
      <c r="N38" s="2">
        <v>0.29060000000000002</v>
      </c>
      <c r="O38" s="2">
        <v>0.41992200000000002</v>
      </c>
      <c r="P38" s="2">
        <v>0.24299999999999999</v>
      </c>
      <c r="Q38" s="2">
        <v>23.121449999999999</v>
      </c>
      <c r="R38" s="2"/>
      <c r="S38"/>
      <c r="T38" s="2">
        <v>0.29060000000000002</v>
      </c>
      <c r="U38" s="2">
        <v>8.2054726680000005</v>
      </c>
      <c r="V38" s="2">
        <v>0.24299999999999999</v>
      </c>
      <c r="W38" s="2">
        <v>12.77938</v>
      </c>
      <c r="X38" s="2"/>
      <c r="Y38"/>
      <c r="Z38" s="2">
        <v>0.29060000000000002</v>
      </c>
      <c r="AA38" s="2">
        <v>23.319690000000001</v>
      </c>
      <c r="AB38" s="2">
        <v>0.24299999999999999</v>
      </c>
      <c r="AC38" s="2">
        <v>10.329179999999999</v>
      </c>
      <c r="AD38"/>
      <c r="AE38"/>
      <c r="AF38" s="2">
        <v>0.29060000000000002</v>
      </c>
      <c r="AG38" s="2">
        <v>26.597719999999999</v>
      </c>
      <c r="AH38" s="2">
        <v>0.24299999999999999</v>
      </c>
      <c r="AI38" s="2">
        <v>35.931890000000003</v>
      </c>
      <c r="AJ38"/>
      <c r="AK38"/>
      <c r="AL38" s="2">
        <v>0.29060000000000002</v>
      </c>
      <c r="AM38" s="2">
        <v>2.6226090000000002</v>
      </c>
      <c r="AN38" s="2">
        <v>0.24299999999999999</v>
      </c>
      <c r="AO38" s="2">
        <v>4.2772300000000003</v>
      </c>
      <c r="AP38"/>
      <c r="AQ38"/>
      <c r="AR38" s="2">
        <v>0.29060000000000002</v>
      </c>
      <c r="AS38" s="2">
        <v>6.8366870000000004</v>
      </c>
      <c r="AT38" s="2">
        <v>0.24299999999999999</v>
      </c>
      <c r="AU38" s="2">
        <v>1.9323729999999999</v>
      </c>
      <c r="AV38"/>
      <c r="AW38"/>
    </row>
    <row r="39" spans="2:49">
      <c r="B39" s="2">
        <v>0.1794</v>
      </c>
      <c r="C39" s="2">
        <v>3.4729999999999997E-2</v>
      </c>
      <c r="D39" s="2">
        <v>0.19400000000000001</v>
      </c>
      <c r="E39" s="2">
        <v>31.599989999999998</v>
      </c>
      <c r="F39" s="2"/>
      <c r="G39"/>
      <c r="H39" s="2">
        <v>0.1794</v>
      </c>
      <c r="I39" s="2">
        <v>5.8913510000000002</v>
      </c>
      <c r="J39" s="2">
        <v>0.19400000000000001</v>
      </c>
      <c r="K39" s="2">
        <v>8.7943940000000005</v>
      </c>
      <c r="L39" s="2"/>
      <c r="M39"/>
      <c r="N39" s="2">
        <v>0.1794</v>
      </c>
      <c r="O39" s="2">
        <v>19.705500000000001</v>
      </c>
      <c r="P39" s="2">
        <v>0.19400000000000001</v>
      </c>
      <c r="Q39" s="2">
        <v>15.80354</v>
      </c>
      <c r="R39" s="2"/>
      <c r="S39"/>
      <c r="T39" s="2">
        <v>0.1794</v>
      </c>
      <c r="U39" s="2">
        <v>0.104191172</v>
      </c>
      <c r="V39" s="2">
        <v>0.19400000000000001</v>
      </c>
      <c r="W39" s="2">
        <v>35.931890000000003</v>
      </c>
      <c r="X39" s="2"/>
      <c r="Y39"/>
      <c r="Z39" s="2">
        <v>0.1794</v>
      </c>
      <c r="AA39" s="2">
        <v>17.43224</v>
      </c>
      <c r="AB39" s="2">
        <v>0.19400000000000001</v>
      </c>
      <c r="AC39" s="2">
        <v>10.81958</v>
      </c>
      <c r="AD39"/>
      <c r="AE39"/>
      <c r="AF39" s="2">
        <v>0.1794</v>
      </c>
      <c r="AG39" s="2">
        <v>32.052439999999997</v>
      </c>
      <c r="AH39" s="2">
        <v>0.19400000000000001</v>
      </c>
      <c r="AI39" s="2">
        <v>24.209420000000001</v>
      </c>
      <c r="AJ39"/>
      <c r="AK39"/>
      <c r="AL39" s="2">
        <v>0.1794</v>
      </c>
      <c r="AM39" s="2">
        <v>4.0285399999999996</v>
      </c>
      <c r="AN39" s="2">
        <v>0.19400000000000001</v>
      </c>
      <c r="AO39" s="2">
        <v>3.5961129999999999</v>
      </c>
      <c r="AP39"/>
      <c r="AQ39"/>
      <c r="AR39" s="2">
        <v>0.1794</v>
      </c>
      <c r="AS39" s="2">
        <v>8.7013560000000005</v>
      </c>
      <c r="AT39" s="2">
        <v>0.19400000000000001</v>
      </c>
      <c r="AU39" s="2">
        <v>4.745838</v>
      </c>
      <c r="AV39"/>
      <c r="AW39"/>
    </row>
    <row r="40" spans="2:49">
      <c r="B40" s="2">
        <v>0.1</v>
      </c>
      <c r="C40" s="2">
        <v>1.0029E-2</v>
      </c>
      <c r="D40" s="2">
        <v>0.1734</v>
      </c>
      <c r="E40" s="2">
        <v>29.453109999999999</v>
      </c>
      <c r="F40" s="2"/>
      <c r="G40"/>
      <c r="H40" s="2">
        <v>0.1</v>
      </c>
      <c r="I40" s="2">
        <v>11.912520000000001</v>
      </c>
      <c r="J40" s="2">
        <v>0.1734</v>
      </c>
      <c r="K40" s="2">
        <v>8.8779439999999994</v>
      </c>
      <c r="L40" s="2"/>
      <c r="M40"/>
      <c r="N40" s="2">
        <v>0.1</v>
      </c>
      <c r="O40" s="2">
        <v>13.42989</v>
      </c>
      <c r="P40" s="2">
        <v>0.1734</v>
      </c>
      <c r="Q40" s="2">
        <v>14.813650000000001</v>
      </c>
      <c r="R40" s="2"/>
      <c r="S40"/>
      <c r="T40" s="2">
        <v>0.1</v>
      </c>
      <c r="U40" s="2">
        <v>13.3054541</v>
      </c>
      <c r="V40" s="2">
        <v>0.1734</v>
      </c>
      <c r="W40" s="2">
        <v>15.37125</v>
      </c>
      <c r="X40" s="2"/>
      <c r="Y40"/>
      <c r="Z40" s="2">
        <v>0.1</v>
      </c>
      <c r="AA40" s="2">
        <v>0.16733700000000001</v>
      </c>
      <c r="AB40" s="2">
        <v>0.1734</v>
      </c>
      <c r="AC40" s="2">
        <v>10.298299999999999</v>
      </c>
      <c r="AD40"/>
      <c r="AE40"/>
      <c r="AF40" s="2">
        <v>0.1</v>
      </c>
      <c r="AG40" s="2">
        <v>28.103940000000001</v>
      </c>
      <c r="AH40" s="2">
        <v>0.1734</v>
      </c>
      <c r="AI40" s="2">
        <v>22.493010000000002</v>
      </c>
      <c r="AJ40"/>
      <c r="AK40"/>
      <c r="AL40" s="2">
        <v>0.1</v>
      </c>
      <c r="AM40" s="2">
        <v>0.70036500000000002</v>
      </c>
      <c r="AN40" s="2">
        <v>0.1734</v>
      </c>
      <c r="AO40" s="2">
        <v>3.8068050000000002</v>
      </c>
      <c r="AP40"/>
      <c r="AQ40"/>
      <c r="AR40" s="2">
        <v>0.1</v>
      </c>
      <c r="AS40" s="2">
        <v>8.2816200000000002</v>
      </c>
      <c r="AT40" s="2">
        <v>0.1734</v>
      </c>
      <c r="AU40" s="2">
        <v>1.7053339999999999</v>
      </c>
      <c r="AV40"/>
      <c r="AW40"/>
    </row>
    <row r="41" spans="2:49">
      <c r="B41" s="2">
        <v>0.18559999999999999</v>
      </c>
      <c r="C41" s="2">
        <v>2.563E-2</v>
      </c>
      <c r="D41" s="2">
        <v>0.20519999999999999</v>
      </c>
      <c r="E41" s="2">
        <v>22.981590000000001</v>
      </c>
      <c r="F41" s="2"/>
      <c r="G41"/>
      <c r="H41" s="2">
        <v>0.18559999999999999</v>
      </c>
      <c r="I41" s="2">
        <v>8.0048910000000006</v>
      </c>
      <c r="J41" s="2">
        <v>0.20519999999999999</v>
      </c>
      <c r="K41" s="2">
        <v>6.1716410000000002</v>
      </c>
      <c r="L41" s="2"/>
      <c r="M41"/>
      <c r="N41" s="2">
        <v>0.18559999999999999</v>
      </c>
      <c r="O41" s="2">
        <v>17.16666</v>
      </c>
      <c r="P41" s="2">
        <v>0.20519999999999999</v>
      </c>
      <c r="Q41" s="2">
        <v>18.825880000000002</v>
      </c>
      <c r="R41" s="2"/>
      <c r="S41"/>
      <c r="T41" s="2">
        <v>0.18559999999999999</v>
      </c>
      <c r="U41" s="2">
        <v>13.02315359</v>
      </c>
      <c r="V41" s="2">
        <v>0.20519999999999999</v>
      </c>
      <c r="W41" s="2">
        <v>28.7393</v>
      </c>
      <c r="X41" s="2"/>
      <c r="Y41"/>
      <c r="Z41" s="2">
        <v>0.18559999999999999</v>
      </c>
      <c r="AA41" s="2">
        <v>8.9186530000000008</v>
      </c>
      <c r="AB41" s="2">
        <v>0.20519999999999999</v>
      </c>
      <c r="AC41" s="2">
        <v>6.4277410000000001</v>
      </c>
      <c r="AD41"/>
      <c r="AE41"/>
      <c r="AF41" s="2">
        <v>0.18559999999999999</v>
      </c>
      <c r="AG41" s="2">
        <v>29.42258</v>
      </c>
      <c r="AH41" s="2">
        <v>0.20519999999999999</v>
      </c>
      <c r="AI41" s="2">
        <v>34.11195</v>
      </c>
      <c r="AJ41"/>
      <c r="AK41"/>
      <c r="AL41" s="2">
        <v>0.18559999999999999</v>
      </c>
      <c r="AM41" s="2">
        <v>2.6393239999999998</v>
      </c>
      <c r="AN41" s="2">
        <v>0.20519999999999999</v>
      </c>
      <c r="AO41" s="2">
        <v>2.513592</v>
      </c>
      <c r="AP41"/>
      <c r="AQ41"/>
      <c r="AR41" s="2">
        <v>0.18559999999999999</v>
      </c>
      <c r="AS41" s="2">
        <v>8.7013560000000005</v>
      </c>
      <c r="AT41" s="2">
        <v>0.20519999999999999</v>
      </c>
      <c r="AU41" s="2">
        <v>1.202216</v>
      </c>
      <c r="AV41"/>
      <c r="AW41"/>
    </row>
    <row r="42" spans="2:49">
      <c r="B42" s="2">
        <v>0.23580000000000001</v>
      </c>
      <c r="C42" s="2">
        <v>19.051760000000002</v>
      </c>
      <c r="D42" s="2">
        <v>0.18060000000000001</v>
      </c>
      <c r="E42" s="2">
        <v>27.031970000000001</v>
      </c>
      <c r="F42" s="2"/>
      <c r="G42"/>
      <c r="H42" s="2">
        <v>0.23580000000000001</v>
      </c>
      <c r="I42" s="2">
        <v>7.0521269999999996</v>
      </c>
      <c r="J42" s="2">
        <v>0.18060000000000001</v>
      </c>
      <c r="K42" s="2">
        <v>6.9036140000000001</v>
      </c>
      <c r="L42" s="2"/>
      <c r="M42"/>
      <c r="N42" s="2">
        <v>0.23580000000000001</v>
      </c>
      <c r="O42" s="2">
        <v>19.285769999999999</v>
      </c>
      <c r="P42" s="2">
        <v>0.18060000000000001</v>
      </c>
      <c r="Q42" s="2">
        <v>23.121449999999999</v>
      </c>
      <c r="R42" s="2"/>
      <c r="S42"/>
      <c r="T42" s="2">
        <v>0.23580000000000001</v>
      </c>
      <c r="U42" s="2">
        <v>0.104191172</v>
      </c>
      <c r="V42" s="2">
        <v>0.18060000000000001</v>
      </c>
      <c r="W42" s="2">
        <v>5.2471389999999998</v>
      </c>
      <c r="X42" s="2"/>
      <c r="Y42"/>
      <c r="Z42" s="2">
        <v>0.23580000000000001</v>
      </c>
      <c r="AA42" s="2">
        <v>7.7133039999999999</v>
      </c>
      <c r="AB42" s="2">
        <v>0.18060000000000001</v>
      </c>
      <c r="AC42" s="2">
        <v>9.6498760000000008</v>
      </c>
      <c r="AD42"/>
      <c r="AE42"/>
      <c r="AF42" s="2">
        <v>0.23580000000000001</v>
      </c>
      <c r="AG42" s="2">
        <v>23.247260000000001</v>
      </c>
      <c r="AH42" s="2">
        <v>0.18060000000000001</v>
      </c>
      <c r="AI42" s="2">
        <v>8.6327420000000004</v>
      </c>
      <c r="AJ42"/>
      <c r="AK42"/>
      <c r="AL42" s="2">
        <v>0.23580000000000001</v>
      </c>
      <c r="AM42" s="2">
        <v>0.503498</v>
      </c>
      <c r="AN42" s="2">
        <v>0.18060000000000001</v>
      </c>
      <c r="AO42" s="2">
        <v>4.6713690000000003</v>
      </c>
      <c r="AP42"/>
      <c r="AQ42"/>
      <c r="AR42" s="2">
        <v>0.23580000000000001</v>
      </c>
      <c r="AS42" s="2">
        <v>4.996162</v>
      </c>
      <c r="AT42" s="2">
        <v>0.18060000000000001</v>
      </c>
      <c r="AU42" s="2">
        <v>4.6568379999999996</v>
      </c>
      <c r="AV42"/>
      <c r="AW42"/>
    </row>
    <row r="43" spans="2:49">
      <c r="B43" s="2">
        <v>8.6999999999999994E-2</v>
      </c>
      <c r="C43" s="2">
        <v>1.6528999999999999E-2</v>
      </c>
      <c r="D43" s="2">
        <v>0.2114</v>
      </c>
      <c r="E43" s="2">
        <v>34.11195</v>
      </c>
      <c r="F43" s="2"/>
      <c r="G43"/>
      <c r="H43" s="2">
        <v>8.6999999999999994E-2</v>
      </c>
      <c r="I43" s="2">
        <v>10.631030000000001</v>
      </c>
      <c r="J43" s="2">
        <v>0.2114</v>
      </c>
      <c r="K43" s="2">
        <v>0.78083199999999997</v>
      </c>
      <c r="L43" s="2"/>
      <c r="M43"/>
      <c r="N43" s="2">
        <v>8.6999999999999994E-2</v>
      </c>
      <c r="O43" s="2">
        <v>0.44406600000000002</v>
      </c>
      <c r="P43" s="2">
        <v>0.2114</v>
      </c>
      <c r="Q43" s="2">
        <v>18.54072</v>
      </c>
      <c r="R43" s="2"/>
      <c r="S43"/>
      <c r="T43" s="2">
        <v>8.6999999999999994E-2</v>
      </c>
      <c r="U43" s="2">
        <v>35.23760292</v>
      </c>
      <c r="V43" s="2">
        <v>0.2114</v>
      </c>
      <c r="W43" s="2">
        <v>12.58503</v>
      </c>
      <c r="X43" s="2"/>
      <c r="Y43"/>
      <c r="Z43" s="2">
        <v>8.6999999999999994E-2</v>
      </c>
      <c r="AA43" s="2">
        <v>0.19333900000000001</v>
      </c>
      <c r="AB43" s="2">
        <v>0.2114</v>
      </c>
      <c r="AC43" s="2">
        <v>13.057270000000001</v>
      </c>
      <c r="AD43"/>
      <c r="AE43"/>
      <c r="AF43" s="2">
        <v>8.6999999999999994E-2</v>
      </c>
      <c r="AG43" s="2">
        <v>9.6762000000000001E-2</v>
      </c>
      <c r="AH43" s="2">
        <v>0.2114</v>
      </c>
      <c r="AI43" s="2">
        <v>23.19229</v>
      </c>
      <c r="AJ43"/>
      <c r="AK43"/>
      <c r="AL43" s="2">
        <v>8.6999999999999994E-2</v>
      </c>
      <c r="AM43" s="2">
        <v>3.530799</v>
      </c>
      <c r="AN43" s="2">
        <v>0.2114</v>
      </c>
      <c r="AO43" s="2">
        <v>4.9438149999999998</v>
      </c>
      <c r="AP43"/>
      <c r="AQ43"/>
      <c r="AR43" s="2">
        <v>8.6999999999999994E-2</v>
      </c>
      <c r="AS43" s="2">
        <v>0.29363</v>
      </c>
      <c r="AT43" s="2">
        <v>0.2114</v>
      </c>
      <c r="AU43" s="2">
        <v>6.3877819999999996</v>
      </c>
      <c r="AV43"/>
      <c r="AW43"/>
    </row>
    <row r="44" spans="2:49">
      <c r="B44" s="2">
        <v>2.2599999999999999E-2</v>
      </c>
      <c r="C44" s="2">
        <v>3.6588000000000002E-2</v>
      </c>
      <c r="D44" s="2">
        <v>0.23219999999999999</v>
      </c>
      <c r="E44" s="2">
        <v>27.11552</v>
      </c>
      <c r="F44" s="2"/>
      <c r="G44"/>
      <c r="H44" s="2">
        <v>2.2599999999999999E-2</v>
      </c>
      <c r="I44" s="2">
        <v>5.2930999999999999E-2</v>
      </c>
      <c r="J44" s="2">
        <v>0.23219999999999999</v>
      </c>
      <c r="K44" s="2">
        <v>0.55924200000000002</v>
      </c>
      <c r="L44" s="2"/>
      <c r="M44"/>
      <c r="N44" s="2">
        <v>2.2599999999999999E-2</v>
      </c>
      <c r="O44" s="2">
        <v>14.770820000000001</v>
      </c>
      <c r="P44" s="2">
        <v>0.23219999999999999</v>
      </c>
      <c r="Q44" s="2">
        <v>20.896470000000001</v>
      </c>
      <c r="R44" s="2"/>
      <c r="S44"/>
      <c r="T44" s="2">
        <v>2.2599999999999999E-2</v>
      </c>
      <c r="U44" s="2">
        <v>35.999071379999997</v>
      </c>
      <c r="V44" s="2">
        <v>0.23219999999999999</v>
      </c>
      <c r="W44" s="2">
        <v>29.542110000000001</v>
      </c>
      <c r="X44" s="2"/>
      <c r="Y44"/>
      <c r="Z44" s="2">
        <v>2.2599999999999999E-2</v>
      </c>
      <c r="AA44" s="2">
        <v>0.25834200000000002</v>
      </c>
      <c r="AB44" s="2">
        <v>0.23219999999999999</v>
      </c>
      <c r="AC44" s="2">
        <v>8.8216380000000001</v>
      </c>
      <c r="AD44"/>
      <c r="AE44"/>
      <c r="AF44" s="2">
        <v>2.2599999999999999E-2</v>
      </c>
      <c r="AG44" s="2">
        <v>0.15062200000000001</v>
      </c>
      <c r="AH44" s="2">
        <v>0.23219999999999999</v>
      </c>
      <c r="AI44" s="2">
        <v>35.713929999999998</v>
      </c>
      <c r="AJ44"/>
      <c r="AK44"/>
      <c r="AL44" s="2">
        <v>2.2599999999999999E-2</v>
      </c>
      <c r="AM44" s="2">
        <v>2.2010149999999999</v>
      </c>
      <c r="AN44" s="2">
        <v>0.23219999999999999</v>
      </c>
      <c r="AO44" s="2">
        <v>3.9284979999999998</v>
      </c>
      <c r="AP44"/>
      <c r="AQ44"/>
      <c r="AR44" s="2">
        <v>2.2599999999999999E-2</v>
      </c>
      <c r="AS44" s="2">
        <v>9.9345630000000007</v>
      </c>
      <c r="AT44" s="2">
        <v>0.23219999999999999</v>
      </c>
      <c r="AU44" s="2">
        <v>1.5291520000000001</v>
      </c>
      <c r="AV44"/>
      <c r="AW44"/>
    </row>
    <row r="45" spans="2:49">
      <c r="B45" s="2">
        <v>0.2616</v>
      </c>
      <c r="C45" s="2">
        <v>24.714479999999998</v>
      </c>
      <c r="D45" s="2">
        <v>0.19239999999999999</v>
      </c>
      <c r="E45" s="2">
        <v>25.898589999999999</v>
      </c>
      <c r="F45" s="2"/>
      <c r="G45"/>
      <c r="H45" s="2">
        <v>0.2616</v>
      </c>
      <c r="I45" s="2">
        <v>8.9725129999999993</v>
      </c>
      <c r="J45" s="2">
        <v>0.19239999999999999</v>
      </c>
      <c r="K45" s="2">
        <v>6.1334989999999996</v>
      </c>
      <c r="L45" s="2"/>
      <c r="M45"/>
      <c r="N45" s="2">
        <v>0.2616</v>
      </c>
      <c r="O45" s="2">
        <v>0.460781</v>
      </c>
      <c r="P45" s="2">
        <v>0.19239999999999999</v>
      </c>
      <c r="Q45" s="2">
        <v>18.942119999999999</v>
      </c>
      <c r="R45" s="2"/>
      <c r="S45"/>
      <c r="T45" s="2">
        <v>0.2616</v>
      </c>
      <c r="U45" s="2">
        <v>19.40463072</v>
      </c>
      <c r="V45" s="2">
        <v>0.19239999999999999</v>
      </c>
      <c r="W45" s="2">
        <v>13.507720000000001</v>
      </c>
      <c r="X45" s="2"/>
      <c r="Y45"/>
      <c r="Z45" s="2">
        <v>0.2616</v>
      </c>
      <c r="AA45" s="2">
        <v>12.397259999999999</v>
      </c>
      <c r="AB45" s="2">
        <v>0.19239999999999999</v>
      </c>
      <c r="AC45" s="2">
        <v>6.6929220000000003</v>
      </c>
      <c r="AD45"/>
      <c r="AE45"/>
      <c r="AF45" s="2">
        <v>0.2616</v>
      </c>
      <c r="AG45" s="2">
        <v>29.513590000000001</v>
      </c>
      <c r="AH45" s="2">
        <v>0.19239999999999999</v>
      </c>
      <c r="AI45" s="2">
        <v>36.153480000000002</v>
      </c>
      <c r="AJ45"/>
      <c r="AK45"/>
      <c r="AL45" s="2">
        <v>0.2616</v>
      </c>
      <c r="AM45" s="2">
        <v>1.153532</v>
      </c>
      <c r="AN45" s="2">
        <v>0.19239999999999999</v>
      </c>
      <c r="AO45" s="2">
        <v>2.7152029999999998</v>
      </c>
      <c r="AP45"/>
      <c r="AQ45"/>
      <c r="AR45" s="2">
        <v>0.2616</v>
      </c>
      <c r="AS45" s="2">
        <v>1.582554</v>
      </c>
      <c r="AT45" s="2">
        <v>0.19239999999999999</v>
      </c>
      <c r="AU45" s="2">
        <v>1.0896049999999999</v>
      </c>
      <c r="AV45"/>
      <c r="AW45"/>
    </row>
    <row r="46" spans="2:49">
      <c r="B46" s="2">
        <v>0.1414</v>
      </c>
      <c r="C46" s="2">
        <v>22.205349999999999</v>
      </c>
      <c r="D46" s="2">
        <v>0.1958</v>
      </c>
      <c r="E46" s="2">
        <v>34.426169999999999</v>
      </c>
      <c r="F46" s="2"/>
      <c r="G46"/>
      <c r="H46" s="2">
        <v>0.1414</v>
      </c>
      <c r="I46" s="2">
        <v>11.269920000000001</v>
      </c>
      <c r="J46" s="2">
        <v>0.1958</v>
      </c>
      <c r="K46" s="2">
        <v>9.4446329999999996</v>
      </c>
      <c r="L46" s="2"/>
      <c r="M46"/>
      <c r="N46" s="2">
        <v>0.1414</v>
      </c>
      <c r="O46" s="2">
        <v>22.205349999999999</v>
      </c>
      <c r="P46" s="2">
        <v>0.1958</v>
      </c>
      <c r="Q46" s="2">
        <v>4.9274690000000003</v>
      </c>
      <c r="R46" s="2"/>
      <c r="S46"/>
      <c r="T46" s="2">
        <v>0.1414</v>
      </c>
      <c r="U46" s="2">
        <v>10.89475639</v>
      </c>
      <c r="V46" s="2">
        <v>0.1958</v>
      </c>
      <c r="W46" s="2">
        <v>5.3633829999999998</v>
      </c>
      <c r="X46" s="2"/>
      <c r="Y46"/>
      <c r="Z46" s="2">
        <v>0.1414</v>
      </c>
      <c r="AA46" s="2">
        <v>0.245341</v>
      </c>
      <c r="AB46" s="2">
        <v>0.1958</v>
      </c>
      <c r="AC46" s="2">
        <v>10.785069999999999</v>
      </c>
      <c r="AD46"/>
      <c r="AE46"/>
      <c r="AF46" s="2">
        <v>0.1414</v>
      </c>
      <c r="AG46" s="2">
        <v>0.16176599999999999</v>
      </c>
      <c r="AH46" s="2">
        <v>0.1958</v>
      </c>
      <c r="AI46" s="2">
        <v>23.050609999999999</v>
      </c>
      <c r="AJ46"/>
      <c r="AK46"/>
      <c r="AL46" s="2">
        <v>0.1414</v>
      </c>
      <c r="AM46" s="2">
        <v>2.4777439999999999</v>
      </c>
      <c r="AN46" s="2">
        <v>0.1958</v>
      </c>
      <c r="AO46" s="2">
        <v>4.8820610000000002</v>
      </c>
      <c r="AP46"/>
      <c r="AQ46"/>
      <c r="AR46" s="2">
        <v>0.1414</v>
      </c>
      <c r="AS46" s="2">
        <v>6.4058070000000003</v>
      </c>
      <c r="AT46" s="2">
        <v>0.1958</v>
      </c>
      <c r="AU46" s="2">
        <v>6.0390509999999997</v>
      </c>
      <c r="AV46"/>
      <c r="AW46"/>
    </row>
    <row r="47" spans="2:49">
      <c r="B47" s="2">
        <v>8.3599999999999994E-2</v>
      </c>
      <c r="C47" s="2">
        <v>19.10933</v>
      </c>
      <c r="D47" s="2">
        <v>0.20399999999999999</v>
      </c>
      <c r="E47" s="2">
        <v>24.81062</v>
      </c>
      <c r="F47" s="2"/>
      <c r="G47"/>
      <c r="H47" s="2">
        <v>8.3599999999999994E-2</v>
      </c>
      <c r="I47" s="2">
        <v>6.5878170000000003</v>
      </c>
      <c r="J47" s="2">
        <v>0.20399999999999999</v>
      </c>
      <c r="K47" s="2">
        <v>8.3439490000000003</v>
      </c>
      <c r="L47" s="2"/>
      <c r="M47"/>
      <c r="N47" s="2">
        <v>8.3599999999999994E-2</v>
      </c>
      <c r="O47" s="2">
        <v>19.764939999999999</v>
      </c>
      <c r="P47" s="2">
        <v>0.20399999999999999</v>
      </c>
      <c r="Q47" s="2">
        <v>10.91948</v>
      </c>
      <c r="R47" s="2"/>
      <c r="S47"/>
      <c r="T47" s="2">
        <v>8.3599999999999994E-2</v>
      </c>
      <c r="U47" s="2">
        <v>18.59115954</v>
      </c>
      <c r="V47" s="2">
        <v>0.20399999999999999</v>
      </c>
      <c r="W47" s="2">
        <v>34.638680000000001</v>
      </c>
      <c r="X47" s="2"/>
      <c r="Y47"/>
      <c r="Z47" s="2">
        <v>8.3599999999999994E-2</v>
      </c>
      <c r="AA47" s="2">
        <v>7.8098809999999999</v>
      </c>
      <c r="AB47" s="2">
        <v>0.20399999999999999</v>
      </c>
      <c r="AC47" s="2">
        <v>5.6031360000000001</v>
      </c>
      <c r="AD47"/>
      <c r="AE47"/>
      <c r="AF47" s="2">
        <v>8.3599999999999994E-2</v>
      </c>
      <c r="AG47" s="2">
        <v>23.75057</v>
      </c>
      <c r="AH47" s="2">
        <v>0.20399999999999999</v>
      </c>
      <c r="AI47" s="2">
        <v>33.801360000000003</v>
      </c>
      <c r="AJ47"/>
      <c r="AK47"/>
      <c r="AL47" s="2">
        <v>8.3599999999999994E-2</v>
      </c>
      <c r="AM47" s="2">
        <v>1.6720000000000001E-3</v>
      </c>
      <c r="AN47" s="2">
        <v>0.20399999999999999</v>
      </c>
      <c r="AO47" s="2">
        <v>2.473633</v>
      </c>
      <c r="AP47"/>
      <c r="AQ47"/>
      <c r="AR47" s="2">
        <v>8.3599999999999994E-2</v>
      </c>
      <c r="AS47" s="2">
        <v>4.996162</v>
      </c>
      <c r="AT47" s="2">
        <v>0.20399999999999999</v>
      </c>
      <c r="AU47" s="2">
        <v>3.5289100000000002</v>
      </c>
      <c r="AV47"/>
      <c r="AW47"/>
    </row>
    <row r="48" spans="2:49">
      <c r="B48" s="2">
        <v>9.0999999999999998E-2</v>
      </c>
      <c r="C48" s="2">
        <v>24.04402</v>
      </c>
      <c r="D48" s="2">
        <v>0.22819999999999999</v>
      </c>
      <c r="E48" s="2">
        <v>34.11195</v>
      </c>
      <c r="F48" s="2"/>
      <c r="G48"/>
      <c r="H48" s="2">
        <v>9.0999999999999998E-2</v>
      </c>
      <c r="I48" s="2">
        <v>7.0521269999999996</v>
      </c>
      <c r="J48" s="2">
        <v>0.22819999999999999</v>
      </c>
      <c r="K48" s="2">
        <v>0.217776</v>
      </c>
      <c r="L48" s="2"/>
      <c r="M48"/>
      <c r="N48" s="2">
        <v>9.0999999999999998E-2</v>
      </c>
      <c r="O48" s="2">
        <v>17.97456</v>
      </c>
      <c r="P48" s="2">
        <v>0.22819999999999999</v>
      </c>
      <c r="Q48" s="2">
        <v>18.313680000000002</v>
      </c>
      <c r="R48" s="2"/>
      <c r="S48"/>
      <c r="T48" s="2">
        <v>9.0999999999999998E-2</v>
      </c>
      <c r="U48" s="2">
        <v>0.14319321500000001</v>
      </c>
      <c r="V48" s="2">
        <v>0.22819999999999999</v>
      </c>
      <c r="W48" s="2">
        <v>36.485860000000002</v>
      </c>
      <c r="X48" s="2"/>
      <c r="Y48"/>
      <c r="Z48" s="2">
        <v>9.0999999999999998E-2</v>
      </c>
      <c r="AA48" s="2">
        <v>10.79632</v>
      </c>
      <c r="AB48" s="2">
        <v>0.22819999999999999</v>
      </c>
      <c r="AC48" s="2">
        <v>15.136950000000001</v>
      </c>
      <c r="AD48"/>
      <c r="AE48"/>
      <c r="AF48" s="2">
        <v>9.0999999999999998E-2</v>
      </c>
      <c r="AG48" s="2">
        <v>28.18938</v>
      </c>
      <c r="AH48" s="2">
        <v>0.22819999999999999</v>
      </c>
      <c r="AI48" s="2">
        <v>23.62275</v>
      </c>
      <c r="AJ48"/>
      <c r="AK48"/>
      <c r="AL48" s="2">
        <v>9.0999999999999998E-2</v>
      </c>
      <c r="AM48" s="2">
        <v>2.6001E-2</v>
      </c>
      <c r="AN48" s="2">
        <v>0.22819999999999999</v>
      </c>
      <c r="AO48" s="2">
        <v>4.9274690000000003</v>
      </c>
      <c r="AP48"/>
      <c r="AQ48"/>
      <c r="AR48" s="2">
        <v>9.0999999999999998E-2</v>
      </c>
      <c r="AS48" s="2">
        <v>1.4061170000000001</v>
      </c>
      <c r="AT48" s="2">
        <v>0.22819999999999999</v>
      </c>
      <c r="AU48" s="2">
        <v>2.0304530000000001</v>
      </c>
      <c r="AV48"/>
      <c r="AW48"/>
    </row>
    <row r="49" spans="2:49">
      <c r="B49" s="2">
        <v>0.1938</v>
      </c>
      <c r="C49" s="2">
        <v>3.6588000000000002E-2</v>
      </c>
      <c r="D49" s="2">
        <v>0.1946</v>
      </c>
      <c r="E49" s="2">
        <v>29.998000000000001</v>
      </c>
      <c r="F49" s="2"/>
      <c r="G49"/>
      <c r="H49" s="2">
        <v>0.1938</v>
      </c>
      <c r="I49" s="2">
        <v>6.3463750000000001</v>
      </c>
      <c r="J49" s="2">
        <v>0.1946</v>
      </c>
      <c r="K49" s="2">
        <v>9.6498760000000008</v>
      </c>
      <c r="L49" s="2"/>
      <c r="M49"/>
      <c r="N49" s="2">
        <v>0.1938</v>
      </c>
      <c r="O49" s="2">
        <v>18.306999999999999</v>
      </c>
      <c r="P49" s="2">
        <v>0.1946</v>
      </c>
      <c r="Q49" s="2">
        <v>20.453289999999999</v>
      </c>
      <c r="R49" s="2"/>
      <c r="S49"/>
      <c r="T49" s="2">
        <v>0.1938</v>
      </c>
      <c r="U49" s="2">
        <v>7.7133040299999998</v>
      </c>
      <c r="V49" s="2">
        <v>0.1946</v>
      </c>
      <c r="W49" s="2">
        <v>5.2144459999999997</v>
      </c>
      <c r="X49" s="2"/>
      <c r="Y49"/>
      <c r="Z49" s="2">
        <v>0.1938</v>
      </c>
      <c r="AA49" s="2">
        <v>10.15</v>
      </c>
      <c r="AB49" s="2">
        <v>0.1946</v>
      </c>
      <c r="AC49" s="2">
        <v>9.5027550000000005</v>
      </c>
      <c r="AD49"/>
      <c r="AE49"/>
      <c r="AF49" s="2">
        <v>0.1938</v>
      </c>
      <c r="AG49" s="2">
        <v>0.17290900000000001</v>
      </c>
      <c r="AH49" s="2">
        <v>0.1946</v>
      </c>
      <c r="AI49" s="2">
        <v>21.350549999999998</v>
      </c>
      <c r="AJ49"/>
      <c r="AK49"/>
      <c r="AL49" s="2">
        <v>0.1938</v>
      </c>
      <c r="AM49" s="2">
        <v>2.4145979999999998</v>
      </c>
      <c r="AN49" s="2">
        <v>0.1946</v>
      </c>
      <c r="AO49" s="2">
        <v>4.7022459999999997</v>
      </c>
      <c r="AP49"/>
      <c r="AQ49"/>
      <c r="AR49" s="2">
        <v>0.1938</v>
      </c>
      <c r="AS49" s="2">
        <v>0.28991499999999998</v>
      </c>
      <c r="AT49" s="2">
        <v>0.1946</v>
      </c>
      <c r="AU49" s="2">
        <v>5.6558089999999996</v>
      </c>
      <c r="AV49"/>
      <c r="AW49"/>
    </row>
    <row r="50" spans="2:49">
      <c r="B50" s="2">
        <v>0.19520000000000001</v>
      </c>
      <c r="C50" s="2">
        <v>4.4944999999999999E-2</v>
      </c>
      <c r="D50" s="2">
        <v>0.21279999999999999</v>
      </c>
      <c r="E50" s="2">
        <v>26.3781</v>
      </c>
      <c r="F50" s="2"/>
      <c r="G50"/>
      <c r="H50" s="2">
        <v>0.19520000000000001</v>
      </c>
      <c r="I50" s="2">
        <v>4.9032999999999998</v>
      </c>
      <c r="J50" s="2">
        <v>0.21279999999999999</v>
      </c>
      <c r="K50" s="2">
        <v>10.785069999999999</v>
      </c>
      <c r="L50" s="2"/>
      <c r="M50"/>
      <c r="N50" s="2">
        <v>0.19520000000000001</v>
      </c>
      <c r="O50" s="2">
        <v>19.705500000000001</v>
      </c>
      <c r="P50" s="2">
        <v>0.21279999999999999</v>
      </c>
      <c r="Q50" s="2">
        <v>14.72283</v>
      </c>
      <c r="R50" s="2"/>
      <c r="S50"/>
      <c r="T50" s="2">
        <v>0.19520000000000001</v>
      </c>
      <c r="U50" s="2">
        <v>42.326688539999999</v>
      </c>
      <c r="V50" s="2">
        <v>0.21279999999999999</v>
      </c>
      <c r="W50" s="2">
        <v>4.685899</v>
      </c>
      <c r="X50" s="2"/>
      <c r="Y50"/>
      <c r="Z50" s="2">
        <v>0.19520000000000001</v>
      </c>
      <c r="AA50" s="2">
        <v>18.476009999999999</v>
      </c>
      <c r="AB50" s="2">
        <v>0.21279999999999999</v>
      </c>
      <c r="AC50" s="2">
        <v>7.2341829999999998</v>
      </c>
      <c r="AD50"/>
      <c r="AE50"/>
      <c r="AF50" s="2">
        <v>0.19520000000000001</v>
      </c>
      <c r="AG50" s="2">
        <v>21.273009999999999</v>
      </c>
      <c r="AH50" s="2">
        <v>0.21279999999999999</v>
      </c>
      <c r="AI50" s="2">
        <v>34.956530000000001</v>
      </c>
      <c r="AJ50"/>
      <c r="AK50"/>
      <c r="AL50" s="2">
        <v>0.19520000000000001</v>
      </c>
      <c r="AM50" s="2">
        <v>3.0442019999999999</v>
      </c>
      <c r="AN50" s="2">
        <v>0.21279999999999999</v>
      </c>
      <c r="AO50" s="2">
        <v>4.1446389999999997</v>
      </c>
      <c r="AP50"/>
      <c r="AQ50"/>
      <c r="AR50" s="2">
        <v>0.19520000000000001</v>
      </c>
      <c r="AS50" s="2">
        <v>0.23419799999999999</v>
      </c>
      <c r="AT50" s="2">
        <v>0.21279999999999999</v>
      </c>
      <c r="AU50" s="2">
        <v>4.4842890000000004</v>
      </c>
      <c r="AV50"/>
      <c r="AW50"/>
    </row>
    <row r="51" spans="2:49">
      <c r="B51" s="2">
        <v>0.22</v>
      </c>
      <c r="C51" s="2">
        <v>2.6929999999999999E-2</v>
      </c>
      <c r="D51" s="2">
        <v>0.18240000000000001</v>
      </c>
      <c r="E51" s="2">
        <v>34.008420000000001</v>
      </c>
      <c r="F51" s="2"/>
      <c r="G51"/>
      <c r="H51" s="2">
        <v>0.22</v>
      </c>
      <c r="I51" s="2">
        <v>7.2285640000000004</v>
      </c>
      <c r="J51" s="2">
        <v>0.18240000000000001</v>
      </c>
      <c r="K51" s="2">
        <v>0.92795300000000003</v>
      </c>
      <c r="L51" s="2"/>
      <c r="M51"/>
      <c r="N51" s="2">
        <v>0.22</v>
      </c>
      <c r="O51" s="2">
        <v>15.277839999999999</v>
      </c>
      <c r="P51" s="2">
        <v>0.18240000000000001</v>
      </c>
      <c r="Q51" s="2">
        <v>20.832899999999999</v>
      </c>
      <c r="R51" s="2"/>
      <c r="S51"/>
      <c r="T51" s="2">
        <v>0.22</v>
      </c>
      <c r="U51" s="2">
        <v>38.151612700000001</v>
      </c>
      <c r="V51" s="2">
        <v>0.18240000000000001</v>
      </c>
      <c r="W51" s="2">
        <v>13.139010000000001</v>
      </c>
      <c r="X51" s="2"/>
      <c r="Y51"/>
      <c r="Z51" s="2">
        <v>0.22</v>
      </c>
      <c r="AA51" s="2">
        <v>10.762890000000001</v>
      </c>
      <c r="AB51" s="2">
        <v>0.18240000000000001</v>
      </c>
      <c r="AC51" s="2">
        <v>12.739420000000001</v>
      </c>
      <c r="AD51"/>
      <c r="AE51"/>
      <c r="AF51" s="2">
        <v>0.22</v>
      </c>
      <c r="AG51" s="2">
        <v>25.48338</v>
      </c>
      <c r="AH51" s="2">
        <v>0.18240000000000001</v>
      </c>
      <c r="AI51" s="2">
        <v>22.631049999999998</v>
      </c>
      <c r="AJ51"/>
      <c r="AK51"/>
      <c r="AL51" s="2">
        <v>0.22</v>
      </c>
      <c r="AM51" s="2">
        <v>1.6401289999999999</v>
      </c>
      <c r="AN51" s="2">
        <v>0.18240000000000001</v>
      </c>
      <c r="AO51" s="2">
        <v>4.8511839999999999</v>
      </c>
      <c r="AP51"/>
      <c r="AQ51"/>
      <c r="AR51" s="2">
        <v>0.22</v>
      </c>
      <c r="AS51" s="2">
        <v>0.23605499999999999</v>
      </c>
      <c r="AT51" s="2">
        <v>0.18240000000000001</v>
      </c>
      <c r="AU51" s="2">
        <v>6.2497429999999996</v>
      </c>
      <c r="AV51"/>
      <c r="AW51"/>
    </row>
    <row r="52" spans="2:49">
      <c r="B52" s="2">
        <v>0.25619999999999998</v>
      </c>
      <c r="C52" s="2">
        <v>16.698630000000001</v>
      </c>
      <c r="D52" s="2">
        <v>0.13719999999999999</v>
      </c>
      <c r="E52" s="2">
        <v>33.594299999999997</v>
      </c>
      <c r="F52" s="2"/>
      <c r="G52"/>
      <c r="H52" s="2">
        <v>0.25619999999999998</v>
      </c>
      <c r="I52" s="2">
        <v>6.2683710000000001</v>
      </c>
      <c r="J52" s="2">
        <v>0.13719999999999999</v>
      </c>
      <c r="K52" s="2">
        <v>9.8623840000000005</v>
      </c>
      <c r="L52" s="2"/>
      <c r="M52"/>
      <c r="N52" s="2">
        <v>0.25619999999999998</v>
      </c>
      <c r="O52" s="2">
        <v>15.70501</v>
      </c>
      <c r="P52" s="2">
        <v>0.13719999999999999</v>
      </c>
      <c r="Q52" s="2">
        <v>0.433917</v>
      </c>
      <c r="R52" s="2"/>
      <c r="S52"/>
      <c r="T52" s="2">
        <v>0.25619999999999998</v>
      </c>
      <c r="U52" s="2">
        <v>18.028415769999999</v>
      </c>
      <c r="V52" s="2">
        <v>0.13719999999999999</v>
      </c>
      <c r="W52" s="2">
        <v>12.701280000000001</v>
      </c>
      <c r="X52" s="2"/>
      <c r="Y52"/>
      <c r="Z52" s="2">
        <v>0.25619999999999998</v>
      </c>
      <c r="AA52" s="2">
        <v>4.9348729999999996</v>
      </c>
      <c r="AB52" s="2">
        <v>0.13719999999999999</v>
      </c>
      <c r="AC52" s="2">
        <v>11.43713</v>
      </c>
      <c r="AD52"/>
      <c r="AE52"/>
      <c r="AF52" s="2">
        <v>0.25619999999999998</v>
      </c>
      <c r="AG52" s="2">
        <v>27.76221</v>
      </c>
      <c r="AH52" s="2">
        <v>0.13719999999999999</v>
      </c>
      <c r="AI52" s="2">
        <v>23.406610000000001</v>
      </c>
      <c r="AJ52"/>
      <c r="AK52"/>
      <c r="AL52" s="2">
        <v>0.25619999999999998</v>
      </c>
      <c r="AM52" s="2">
        <v>0.81551399999999996</v>
      </c>
      <c r="AN52" s="2">
        <v>0.13719999999999999</v>
      </c>
      <c r="AO52" s="2">
        <v>4.0302110000000004</v>
      </c>
      <c r="AP52"/>
      <c r="AQ52"/>
      <c r="AR52" s="2">
        <v>0.25619999999999998</v>
      </c>
      <c r="AS52" s="2">
        <v>3.553086</v>
      </c>
      <c r="AT52" s="2">
        <v>0.13719999999999999</v>
      </c>
      <c r="AU52" s="2">
        <v>5.9082759999999999</v>
      </c>
      <c r="AV52"/>
      <c r="AW52"/>
    </row>
    <row r="53" spans="2:49">
      <c r="B53" s="2">
        <v>0.11020000000000001</v>
      </c>
      <c r="C53" s="2">
        <v>2.0986999999999999E-2</v>
      </c>
      <c r="D53" s="2">
        <v>0.155</v>
      </c>
      <c r="E53" s="2">
        <v>34.851179999999999</v>
      </c>
      <c r="F53" s="2"/>
      <c r="G53"/>
      <c r="H53" s="2">
        <v>0.11020000000000001</v>
      </c>
      <c r="I53" s="2">
        <v>11.65808</v>
      </c>
      <c r="J53" s="2">
        <v>0.155</v>
      </c>
      <c r="K53" s="2">
        <v>9.3865110000000005</v>
      </c>
      <c r="L53" s="2"/>
      <c r="M53"/>
      <c r="N53" s="2">
        <v>0.11020000000000001</v>
      </c>
      <c r="O53" s="2">
        <v>17.21866</v>
      </c>
      <c r="P53" s="2">
        <v>0.155</v>
      </c>
      <c r="Q53" s="2">
        <v>18.597020000000001</v>
      </c>
      <c r="R53" s="2"/>
      <c r="S53"/>
      <c r="T53" s="2">
        <v>0.11020000000000001</v>
      </c>
      <c r="U53" s="2">
        <v>35.889494210000002</v>
      </c>
      <c r="V53" s="2">
        <v>0.155</v>
      </c>
      <c r="W53" s="2">
        <v>41.233699999999999</v>
      </c>
      <c r="X53" s="2"/>
      <c r="Y53"/>
      <c r="Z53" s="2">
        <v>0.11020000000000001</v>
      </c>
      <c r="AA53" s="2">
        <v>0.19333900000000001</v>
      </c>
      <c r="AB53" s="2">
        <v>0.155</v>
      </c>
      <c r="AC53" s="2">
        <v>11.79494</v>
      </c>
      <c r="AD53"/>
      <c r="AE53"/>
      <c r="AF53" s="2">
        <v>0.11020000000000001</v>
      </c>
      <c r="AG53" s="2">
        <v>0.120906</v>
      </c>
      <c r="AH53" s="2">
        <v>0.155</v>
      </c>
      <c r="AI53" s="2">
        <v>10.58709</v>
      </c>
      <c r="AJ53"/>
      <c r="AK53"/>
      <c r="AL53" s="2">
        <v>0.11020000000000001</v>
      </c>
      <c r="AM53" s="2">
        <v>0.95480699999999996</v>
      </c>
      <c r="AN53" s="2">
        <v>0.155</v>
      </c>
      <c r="AO53" s="2">
        <v>5.0364469999999999</v>
      </c>
      <c r="AP53"/>
      <c r="AQ53"/>
      <c r="AR53" s="2">
        <v>0.11020000000000001</v>
      </c>
      <c r="AS53" s="2">
        <v>7.954745</v>
      </c>
      <c r="AT53" s="2">
        <v>0.155</v>
      </c>
      <c r="AU53" s="2">
        <v>1.779803</v>
      </c>
      <c r="AV53"/>
      <c r="AW53"/>
    </row>
    <row r="54" spans="2:49">
      <c r="B54" s="2">
        <v>0.18240000000000001</v>
      </c>
      <c r="C54" s="2">
        <v>30.70965</v>
      </c>
      <c r="D54" s="2">
        <v>0.23580000000000001</v>
      </c>
      <c r="E54" s="2">
        <v>29.09348</v>
      </c>
      <c r="F54" s="2"/>
      <c r="G54"/>
      <c r="H54" s="2">
        <v>0.18240000000000001</v>
      </c>
      <c r="I54" s="2">
        <v>0.14133599999999999</v>
      </c>
      <c r="J54" s="2">
        <v>0.23580000000000001</v>
      </c>
      <c r="K54" s="2">
        <v>0.773567</v>
      </c>
      <c r="L54" s="2"/>
      <c r="M54"/>
      <c r="N54" s="2">
        <v>0.18240000000000001</v>
      </c>
      <c r="O54" s="2">
        <v>28.362100000000002</v>
      </c>
      <c r="P54" s="2">
        <v>0.23580000000000001</v>
      </c>
      <c r="Q54" s="2">
        <v>14.951689999999999</v>
      </c>
      <c r="R54" s="2"/>
      <c r="S54"/>
      <c r="T54" s="2">
        <v>0.18240000000000001</v>
      </c>
      <c r="U54" s="2">
        <v>10.27629542</v>
      </c>
      <c r="V54" s="2">
        <v>0.23580000000000001</v>
      </c>
      <c r="W54" s="2">
        <v>30.46116</v>
      </c>
      <c r="X54" s="2"/>
      <c r="Y54"/>
      <c r="Z54" s="2">
        <v>0.18240000000000001</v>
      </c>
      <c r="AA54" s="2">
        <v>15.996600000000001</v>
      </c>
      <c r="AB54" s="2">
        <v>0.23580000000000001</v>
      </c>
      <c r="AC54" s="2">
        <v>9.6498760000000008</v>
      </c>
      <c r="AD54"/>
      <c r="AE54"/>
      <c r="AF54" s="2">
        <v>0.18240000000000001</v>
      </c>
      <c r="AG54" s="2">
        <v>22.6158</v>
      </c>
      <c r="AH54" s="2">
        <v>0.23580000000000001</v>
      </c>
      <c r="AI54" s="2">
        <v>35.387</v>
      </c>
      <c r="AJ54"/>
      <c r="AK54"/>
      <c r="AL54" s="2">
        <v>0.18240000000000001</v>
      </c>
      <c r="AM54" s="2">
        <v>5.6944840000000001</v>
      </c>
      <c r="AN54" s="2">
        <v>0.23580000000000001</v>
      </c>
      <c r="AO54" s="2">
        <v>4.4279830000000002</v>
      </c>
      <c r="AP54"/>
      <c r="AQ54"/>
      <c r="AR54" s="2">
        <v>0.18240000000000001</v>
      </c>
      <c r="AS54" s="2">
        <v>7.6427290000000001</v>
      </c>
      <c r="AT54" s="2">
        <v>0.23580000000000001</v>
      </c>
      <c r="AU54" s="2">
        <v>4.8057759999999998</v>
      </c>
      <c r="AV54"/>
      <c r="AW54"/>
    </row>
    <row r="55" spans="2:49">
      <c r="B55" s="2">
        <v>0.28660000000000002</v>
      </c>
      <c r="C55" s="2">
        <v>31.183250000000001</v>
      </c>
      <c r="D55" s="2">
        <v>0.27279999999999999</v>
      </c>
      <c r="E55" s="2">
        <v>26.3781</v>
      </c>
      <c r="F55" s="2"/>
      <c r="G55"/>
      <c r="H55" s="2">
        <v>0.28660000000000002</v>
      </c>
      <c r="I55" s="2">
        <v>5.4846159999999999</v>
      </c>
      <c r="J55" s="2">
        <v>0.27279999999999999</v>
      </c>
      <c r="K55" s="2">
        <v>10.140280000000001</v>
      </c>
      <c r="L55" s="2"/>
      <c r="M55"/>
      <c r="N55" s="2">
        <v>0.28660000000000002</v>
      </c>
      <c r="O55" s="2">
        <v>29.42258</v>
      </c>
      <c r="P55" s="2">
        <v>0.27279999999999999</v>
      </c>
      <c r="Q55" s="2">
        <v>12.859299999999999</v>
      </c>
      <c r="R55" s="2"/>
      <c r="S55"/>
      <c r="T55" s="2">
        <v>0.28660000000000002</v>
      </c>
      <c r="U55" s="2">
        <v>16.046740539999998</v>
      </c>
      <c r="V55" s="2">
        <v>0.27279999999999999</v>
      </c>
      <c r="W55" s="2">
        <v>4.6713690000000003</v>
      </c>
      <c r="X55" s="2"/>
      <c r="Y55"/>
      <c r="Z55" s="2">
        <v>0.28660000000000002</v>
      </c>
      <c r="AA55" s="2">
        <v>23.462700000000002</v>
      </c>
      <c r="AB55" s="2">
        <v>0.27279999999999999</v>
      </c>
      <c r="AC55" s="2">
        <v>5.2307930000000002</v>
      </c>
      <c r="AD55"/>
      <c r="AE55"/>
      <c r="AF55" s="2">
        <v>0.28660000000000002</v>
      </c>
      <c r="AG55" s="2">
        <v>26.436140000000002</v>
      </c>
      <c r="AH55" s="2">
        <v>0.27279999999999999</v>
      </c>
      <c r="AI55" s="2">
        <v>34.638680000000001</v>
      </c>
      <c r="AJ55"/>
      <c r="AK55"/>
      <c r="AL55" s="2">
        <v>0.28660000000000002</v>
      </c>
      <c r="AM55" s="2">
        <v>2.286448</v>
      </c>
      <c r="AN55" s="2">
        <v>0.27279999999999999</v>
      </c>
      <c r="AO55" s="2">
        <v>4.1446389999999997</v>
      </c>
      <c r="AP55"/>
      <c r="AQ55"/>
      <c r="AR55" s="2">
        <v>0.28660000000000002</v>
      </c>
      <c r="AS55" s="2">
        <v>6.2293690000000002</v>
      </c>
      <c r="AT55" s="2">
        <v>0.27279999999999999</v>
      </c>
      <c r="AU55" s="2">
        <v>4.7022459999999997</v>
      </c>
      <c r="AV55"/>
      <c r="AW55"/>
    </row>
    <row r="56" spans="2:49">
      <c r="B56" s="2">
        <v>8.3000000000000004E-2</v>
      </c>
      <c r="C56" s="2">
        <v>29.693739999999998</v>
      </c>
      <c r="D56" s="2">
        <v>0.20580000000000001</v>
      </c>
      <c r="E56" s="2">
        <v>26.3781</v>
      </c>
      <c r="F56" s="2"/>
      <c r="G56"/>
      <c r="H56" s="2">
        <v>8.3000000000000004E-2</v>
      </c>
      <c r="I56" s="2">
        <v>0.130193</v>
      </c>
      <c r="J56" s="2">
        <v>0.20580000000000001</v>
      </c>
      <c r="K56" s="2">
        <v>9.7098139999999997</v>
      </c>
      <c r="L56" s="2"/>
      <c r="M56"/>
      <c r="N56" s="2">
        <v>8.3000000000000004E-2</v>
      </c>
      <c r="O56" s="2">
        <v>25.639389999999999</v>
      </c>
      <c r="P56" s="2">
        <v>0.20580000000000001</v>
      </c>
      <c r="Q56" s="2">
        <v>13.01732</v>
      </c>
      <c r="R56" s="2"/>
      <c r="S56"/>
      <c r="T56" s="2">
        <v>8.3000000000000004E-2</v>
      </c>
      <c r="U56" s="2">
        <v>0.30663034700000003</v>
      </c>
      <c r="V56" s="2">
        <v>0.20580000000000001</v>
      </c>
      <c r="W56" s="2">
        <v>12.66132</v>
      </c>
      <c r="X56" s="2"/>
      <c r="Y56"/>
      <c r="Z56" s="2">
        <v>8.3000000000000004E-2</v>
      </c>
      <c r="AA56" s="2">
        <v>14.23593</v>
      </c>
      <c r="AB56" s="2">
        <v>0.20580000000000001</v>
      </c>
      <c r="AC56" s="2">
        <v>5.5159529999999997</v>
      </c>
      <c r="AD56"/>
      <c r="AE56"/>
      <c r="AF56" s="2">
        <v>8.3000000000000004E-2</v>
      </c>
      <c r="AG56" s="2">
        <v>21.800470000000001</v>
      </c>
      <c r="AH56" s="2">
        <v>0.20580000000000001</v>
      </c>
      <c r="AI56" s="2">
        <v>34.744019999999999</v>
      </c>
      <c r="AJ56"/>
      <c r="AK56"/>
      <c r="AL56" s="2">
        <v>8.3000000000000004E-2</v>
      </c>
      <c r="AM56" s="2">
        <v>7.2061E-2</v>
      </c>
      <c r="AN56" s="2">
        <v>0.20580000000000001</v>
      </c>
      <c r="AO56" s="2">
        <v>4.0556400000000004</v>
      </c>
      <c r="AP56"/>
      <c r="AQ56"/>
      <c r="AR56" s="2">
        <v>8.3000000000000004E-2</v>
      </c>
      <c r="AS56" s="2">
        <v>15.561999999999999</v>
      </c>
      <c r="AT56" s="2">
        <v>0.20580000000000001</v>
      </c>
      <c r="AU56" s="2">
        <v>4.4007389999999997</v>
      </c>
      <c r="AV56"/>
      <c r="AW56"/>
    </row>
    <row r="57" spans="2:49">
      <c r="B57" s="2">
        <v>0.1978</v>
      </c>
      <c r="C57" s="2">
        <v>4.1602E-2</v>
      </c>
      <c r="D57" s="2">
        <v>0.16320000000000001</v>
      </c>
      <c r="E57" s="2">
        <v>23.915179999999999</v>
      </c>
      <c r="F57" s="2"/>
      <c r="G57"/>
      <c r="H57" s="2">
        <v>0.1978</v>
      </c>
      <c r="I57" s="2">
        <v>7.5721540000000003</v>
      </c>
      <c r="J57" s="2">
        <v>0.16320000000000001</v>
      </c>
      <c r="K57" s="2">
        <v>6.487679</v>
      </c>
      <c r="L57" s="2"/>
      <c r="M57"/>
      <c r="N57" s="2">
        <v>0.1978</v>
      </c>
      <c r="O57" s="2">
        <v>0.26762799999999998</v>
      </c>
      <c r="P57" s="2">
        <v>0.16320000000000001</v>
      </c>
      <c r="Q57" s="2">
        <v>17.013200000000001</v>
      </c>
      <c r="R57" s="2"/>
      <c r="S57"/>
      <c r="T57" s="2">
        <v>0.1978</v>
      </c>
      <c r="U57" s="2">
        <v>6.9221197300000004</v>
      </c>
      <c r="V57" s="2">
        <v>0.16320000000000001</v>
      </c>
      <c r="W57" s="2">
        <v>29.273289999999999</v>
      </c>
      <c r="X57" s="2"/>
      <c r="Y57"/>
      <c r="Z57" s="2">
        <v>0.1978</v>
      </c>
      <c r="AA57" s="2">
        <v>19.228190000000001</v>
      </c>
      <c r="AB57" s="2">
        <v>0.16320000000000001</v>
      </c>
      <c r="AC57" s="2">
        <v>6.6729430000000001</v>
      </c>
      <c r="AD57"/>
      <c r="AE57"/>
      <c r="AF57" s="2">
        <v>0.1978</v>
      </c>
      <c r="AG57" s="2">
        <v>18.87717</v>
      </c>
      <c r="AH57" s="2">
        <v>0.16320000000000001</v>
      </c>
      <c r="AI57" s="2">
        <v>33.904890000000002</v>
      </c>
      <c r="AJ57"/>
      <c r="AK57"/>
      <c r="AL57" s="2">
        <v>0.1978</v>
      </c>
      <c r="AM57" s="2">
        <v>3.3153589999999999</v>
      </c>
      <c r="AN57" s="2">
        <v>0.16320000000000001</v>
      </c>
      <c r="AO57" s="2">
        <v>2.2974510000000001</v>
      </c>
      <c r="AP57"/>
      <c r="AQ57"/>
      <c r="AR57" s="2">
        <v>0.1978</v>
      </c>
      <c r="AS57" s="2">
        <v>8.7812169999999998</v>
      </c>
      <c r="AT57" s="2">
        <v>0.16320000000000001</v>
      </c>
      <c r="AU57" s="2">
        <v>3.4290129999999999</v>
      </c>
      <c r="AV57"/>
      <c r="AW57"/>
    </row>
    <row r="58" spans="2:49">
      <c r="B58" s="2">
        <v>0.25659999999999999</v>
      </c>
      <c r="C58" s="2">
        <v>26.842880000000001</v>
      </c>
      <c r="D58" s="2">
        <v>0.25800000000000001</v>
      </c>
      <c r="E58" s="2">
        <v>29.453109999999999</v>
      </c>
      <c r="F58" s="2"/>
      <c r="G58"/>
      <c r="H58" s="2">
        <v>0.25659999999999999</v>
      </c>
      <c r="I58" s="2">
        <v>0.11347699999999999</v>
      </c>
      <c r="J58" s="2">
        <v>0.25800000000000001</v>
      </c>
      <c r="K58" s="2">
        <v>0.23957100000000001</v>
      </c>
      <c r="L58" s="2"/>
      <c r="M58"/>
      <c r="N58" s="2">
        <v>0.25659999999999999</v>
      </c>
      <c r="O58" s="2">
        <v>34.177120000000002</v>
      </c>
      <c r="P58" s="2">
        <v>0.25800000000000001</v>
      </c>
      <c r="Q58" s="2">
        <v>28.56493</v>
      </c>
      <c r="R58" s="2"/>
      <c r="S58"/>
      <c r="T58" s="2">
        <v>0.25659999999999999</v>
      </c>
      <c r="U58" s="2">
        <v>60.130192530000002</v>
      </c>
      <c r="V58" s="2">
        <v>0.25800000000000001</v>
      </c>
      <c r="W58" s="2">
        <v>14.14706</v>
      </c>
      <c r="X58" s="2"/>
      <c r="Y58"/>
      <c r="Z58" s="2">
        <v>0.25659999999999999</v>
      </c>
      <c r="AA58" s="2">
        <v>24.866769999999999</v>
      </c>
      <c r="AB58" s="2">
        <v>0.25800000000000001</v>
      </c>
      <c r="AC58" s="2">
        <v>13.057270000000001</v>
      </c>
      <c r="AD58"/>
      <c r="AE58"/>
      <c r="AF58" s="2">
        <v>0.25659999999999999</v>
      </c>
      <c r="AG58" s="2">
        <v>23.75057</v>
      </c>
      <c r="AH58" s="2">
        <v>0.25800000000000001</v>
      </c>
      <c r="AI58" s="2">
        <v>22.839919999999999</v>
      </c>
      <c r="AJ58"/>
      <c r="AK58"/>
      <c r="AL58" s="2">
        <v>0.25659999999999999</v>
      </c>
      <c r="AM58" s="2">
        <v>1.1108150000000001</v>
      </c>
      <c r="AN58" s="2">
        <v>0.25800000000000001</v>
      </c>
      <c r="AO58" s="2">
        <v>5.1327119999999997</v>
      </c>
      <c r="AP58"/>
      <c r="AQ58"/>
      <c r="AR58" s="2">
        <v>0.25659999999999999</v>
      </c>
      <c r="AS58" s="2">
        <v>13.470750000000001</v>
      </c>
      <c r="AT58" s="2">
        <v>0.25800000000000001</v>
      </c>
      <c r="AU58" s="2">
        <v>5.9082759999999999</v>
      </c>
      <c r="AV58"/>
      <c r="AW58"/>
    </row>
    <row r="59" spans="2:49">
      <c r="B59" s="2">
        <v>0.23799999999999999</v>
      </c>
      <c r="C59" s="2">
        <v>31.27797</v>
      </c>
      <c r="D59" s="2">
        <v>0.21920000000000001</v>
      </c>
      <c r="E59" s="2">
        <v>31.503720000000001</v>
      </c>
      <c r="F59" s="2"/>
      <c r="G59"/>
      <c r="H59" s="2">
        <v>0.23799999999999999</v>
      </c>
      <c r="I59" s="2">
        <v>5.7297719999999996</v>
      </c>
      <c r="J59" s="2">
        <v>0.21920000000000001</v>
      </c>
      <c r="K59" s="2">
        <v>0.67003699999999999</v>
      </c>
      <c r="L59" s="2"/>
      <c r="M59"/>
      <c r="N59" s="2">
        <v>0.23799999999999999</v>
      </c>
      <c r="O59" s="2">
        <v>27.76221</v>
      </c>
      <c r="P59" s="2">
        <v>0.21920000000000001</v>
      </c>
      <c r="Q59" s="2">
        <v>26.784949999999998</v>
      </c>
      <c r="R59" s="2"/>
      <c r="S59"/>
      <c r="T59" s="2">
        <v>0.23799999999999999</v>
      </c>
      <c r="U59" s="2">
        <v>62.94576859</v>
      </c>
      <c r="V59" s="2">
        <v>0.21920000000000001</v>
      </c>
      <c r="W59" s="2">
        <v>15.18417</v>
      </c>
      <c r="X59" s="2"/>
      <c r="Y59"/>
      <c r="Z59" s="2">
        <v>0.23799999999999999</v>
      </c>
      <c r="AA59" s="2">
        <v>21.66675</v>
      </c>
      <c r="AB59" s="2">
        <v>0.21920000000000001</v>
      </c>
      <c r="AC59" s="2">
        <v>12.859299999999999</v>
      </c>
      <c r="AD59"/>
      <c r="AE59"/>
      <c r="AF59" s="2">
        <v>0.23799999999999999</v>
      </c>
      <c r="AG59" s="2">
        <v>25.875260000000001</v>
      </c>
      <c r="AH59" s="2">
        <v>0.21920000000000001</v>
      </c>
      <c r="AI59" s="2">
        <v>9.3283889999999996</v>
      </c>
      <c r="AJ59"/>
      <c r="AK59"/>
      <c r="AL59" s="2">
        <v>0.23799999999999999</v>
      </c>
      <c r="AM59" s="2">
        <v>4.9813039999999997</v>
      </c>
      <c r="AN59" s="2">
        <v>0.21920000000000001</v>
      </c>
      <c r="AO59" s="2">
        <v>4.0429250000000003</v>
      </c>
      <c r="AP59"/>
      <c r="AQ59"/>
      <c r="AR59" s="2">
        <v>0.23799999999999999</v>
      </c>
      <c r="AS59" s="2">
        <v>12.90429</v>
      </c>
      <c r="AT59" s="2">
        <v>0.21920000000000001</v>
      </c>
      <c r="AU59" s="2">
        <v>5.6376460000000002</v>
      </c>
      <c r="AV59"/>
      <c r="AW59"/>
    </row>
    <row r="60" spans="2:49">
      <c r="B60" s="2">
        <v>0.18840000000000001</v>
      </c>
      <c r="C60" s="2">
        <v>4.6431E-2</v>
      </c>
      <c r="D60" s="2">
        <v>0.1986</v>
      </c>
      <c r="E60" s="2">
        <v>31.503720000000001</v>
      </c>
      <c r="F60" s="2"/>
      <c r="G60"/>
      <c r="H60" s="2">
        <v>0.18840000000000001</v>
      </c>
      <c r="I60" s="2">
        <v>7.5721540000000003</v>
      </c>
      <c r="J60" s="2">
        <v>0.1986</v>
      </c>
      <c r="K60" s="2">
        <v>0.19961300000000001</v>
      </c>
      <c r="L60" s="2"/>
      <c r="M60"/>
      <c r="N60" s="2">
        <v>0.18840000000000001</v>
      </c>
      <c r="O60" s="2">
        <v>0.25462800000000002</v>
      </c>
      <c r="P60" s="2">
        <v>0.1986</v>
      </c>
      <c r="Q60" s="2">
        <v>30.090630000000001</v>
      </c>
      <c r="R60" s="2"/>
      <c r="S60"/>
      <c r="T60" s="2">
        <v>0.18840000000000001</v>
      </c>
      <c r="U60" s="2">
        <v>41.305206460000001</v>
      </c>
      <c r="V60" s="2">
        <v>0.1986</v>
      </c>
      <c r="W60" s="2">
        <v>14.45402</v>
      </c>
      <c r="X60" s="2"/>
      <c r="Y60"/>
      <c r="Z60" s="2">
        <v>0.18840000000000001</v>
      </c>
      <c r="AA60" s="2">
        <v>19.404630000000001</v>
      </c>
      <c r="AB60" s="2">
        <v>0.1986</v>
      </c>
      <c r="AC60" s="2">
        <v>13.76019</v>
      </c>
      <c r="AD60"/>
      <c r="AE60"/>
      <c r="AF60" s="2">
        <v>0.18840000000000001</v>
      </c>
      <c r="AG60" s="2">
        <v>20.008230000000001</v>
      </c>
      <c r="AH60" s="2">
        <v>0.1986</v>
      </c>
      <c r="AI60" s="2">
        <v>22.91076</v>
      </c>
      <c r="AJ60"/>
      <c r="AK60"/>
      <c r="AL60" s="2">
        <v>0.18840000000000001</v>
      </c>
      <c r="AM60" s="2">
        <v>2.3235929999999998</v>
      </c>
      <c r="AN60" s="2">
        <v>0.1986</v>
      </c>
      <c r="AO60" s="2">
        <v>3.7595809999999998</v>
      </c>
      <c r="AP60"/>
      <c r="AQ60"/>
      <c r="AR60" s="2">
        <v>0.18840000000000001</v>
      </c>
      <c r="AS60" s="2">
        <v>8.1553269999999998</v>
      </c>
      <c r="AT60" s="2">
        <v>0.1986</v>
      </c>
      <c r="AU60" s="2">
        <v>5.87195</v>
      </c>
      <c r="AV60"/>
      <c r="AW60"/>
    </row>
    <row r="61" spans="2:49">
      <c r="B61" s="2">
        <v>0.22140000000000001</v>
      </c>
      <c r="C61" s="2">
        <v>3.8445E-2</v>
      </c>
      <c r="D61" s="2">
        <v>0.36180000000000001</v>
      </c>
      <c r="E61" s="2">
        <v>30.929770000000001</v>
      </c>
      <c r="F61" s="2"/>
      <c r="G61"/>
      <c r="H61" s="2">
        <v>0.22140000000000001</v>
      </c>
      <c r="I61" s="2">
        <v>2.3958E-2</v>
      </c>
      <c r="J61" s="2">
        <v>0.36180000000000001</v>
      </c>
      <c r="K61" s="2">
        <v>0.201429</v>
      </c>
      <c r="L61" s="2"/>
      <c r="M61"/>
      <c r="N61" s="2">
        <v>0.22140000000000001</v>
      </c>
      <c r="O61" s="2">
        <v>17.699680000000001</v>
      </c>
      <c r="P61" s="2">
        <v>0.36180000000000001</v>
      </c>
      <c r="Q61" s="2">
        <v>27.199069999999999</v>
      </c>
      <c r="R61" s="2"/>
      <c r="S61"/>
      <c r="T61" s="2">
        <v>0.22140000000000001</v>
      </c>
      <c r="U61" s="2">
        <v>25.173218599999998</v>
      </c>
      <c r="V61" s="2">
        <v>0.36180000000000001</v>
      </c>
      <c r="W61" s="2">
        <v>13.01732</v>
      </c>
      <c r="X61" s="2"/>
      <c r="Y61"/>
      <c r="Z61" s="2">
        <v>0.22140000000000001</v>
      </c>
      <c r="AA61" s="2">
        <v>12.05925</v>
      </c>
      <c r="AB61" s="2">
        <v>0.36180000000000001</v>
      </c>
      <c r="AC61" s="2">
        <v>14.05988</v>
      </c>
      <c r="AD61"/>
      <c r="AE61"/>
      <c r="AF61" s="2">
        <v>0.22140000000000001</v>
      </c>
      <c r="AG61" s="2">
        <v>16.80078</v>
      </c>
      <c r="AH61" s="2">
        <v>0.36180000000000001</v>
      </c>
      <c r="AI61" s="2">
        <v>22.287759999999999</v>
      </c>
      <c r="AJ61"/>
      <c r="AK61"/>
      <c r="AL61" s="2">
        <v>0.22140000000000001</v>
      </c>
      <c r="AM61" s="2">
        <v>0.88237500000000002</v>
      </c>
      <c r="AN61" s="2">
        <v>0.36180000000000001</v>
      </c>
      <c r="AO61" s="2">
        <v>4.9910399999999999</v>
      </c>
      <c r="AP61"/>
      <c r="AQ61"/>
      <c r="AR61" s="2">
        <v>0.22140000000000001</v>
      </c>
      <c r="AS61" s="2">
        <v>0.35491899999999998</v>
      </c>
      <c r="AT61" s="2">
        <v>0.36180000000000001</v>
      </c>
      <c r="AU61" s="2">
        <v>6.347823</v>
      </c>
      <c r="AV61"/>
      <c r="AW61"/>
    </row>
    <row r="62" spans="2:49">
      <c r="B62" s="2">
        <v>0.20519999999999999</v>
      </c>
      <c r="C62" s="2">
        <v>2.8601000000000001E-2</v>
      </c>
      <c r="D62" s="2">
        <v>0.18940000000000001</v>
      </c>
      <c r="E62" s="2">
        <v>39.626260000000002</v>
      </c>
      <c r="F62" s="2"/>
      <c r="G62"/>
      <c r="H62" s="2">
        <v>0.20519999999999999</v>
      </c>
      <c r="I62" s="2">
        <v>3.2502000000000003E-2</v>
      </c>
      <c r="J62" s="2">
        <v>0.18940000000000001</v>
      </c>
      <c r="K62" s="2">
        <v>7.7445659999999998</v>
      </c>
      <c r="L62" s="2"/>
      <c r="M62"/>
      <c r="N62" s="2">
        <v>0.20519999999999999</v>
      </c>
      <c r="O62" s="2">
        <v>21.273009999999999</v>
      </c>
      <c r="P62" s="2">
        <v>0.18940000000000001</v>
      </c>
      <c r="Q62" s="2">
        <v>32.682510000000001</v>
      </c>
      <c r="R62" s="2"/>
      <c r="S62"/>
      <c r="T62" s="2">
        <v>0.20519999999999999</v>
      </c>
      <c r="U62" s="2">
        <v>36.665820590000003</v>
      </c>
      <c r="V62" s="2">
        <v>0.18940000000000001</v>
      </c>
      <c r="W62" s="2">
        <v>5.5849729999999997</v>
      </c>
      <c r="X62" s="2"/>
      <c r="Y62"/>
      <c r="Z62" s="2">
        <v>0.20519999999999999</v>
      </c>
      <c r="AA62" s="2">
        <v>12.170680000000001</v>
      </c>
      <c r="AB62" s="2">
        <v>0.18940000000000001</v>
      </c>
      <c r="AC62" s="2">
        <v>10.42544</v>
      </c>
      <c r="AD62"/>
      <c r="AE62"/>
      <c r="AF62" s="2">
        <v>0.20519999999999999</v>
      </c>
      <c r="AG62" s="2">
        <v>19.228190000000001</v>
      </c>
      <c r="AH62" s="2">
        <v>0.18940000000000001</v>
      </c>
      <c r="AI62" s="2">
        <v>10.329179999999999</v>
      </c>
      <c r="AJ62"/>
      <c r="AK62"/>
      <c r="AL62" s="2">
        <v>0.20519999999999999</v>
      </c>
      <c r="AM62" s="2">
        <v>3.497369</v>
      </c>
      <c r="AN62" s="2">
        <v>0.18940000000000001</v>
      </c>
      <c r="AO62" s="2">
        <v>3.979355</v>
      </c>
      <c r="AP62"/>
      <c r="AQ62"/>
      <c r="AR62" s="2">
        <v>0.20519999999999999</v>
      </c>
      <c r="AS62" s="2">
        <v>8.8629359999999995</v>
      </c>
      <c r="AT62" s="2">
        <v>0.18940000000000001</v>
      </c>
      <c r="AU62" s="2">
        <v>4.2245569999999999</v>
      </c>
      <c r="AV62"/>
      <c r="AW62"/>
    </row>
    <row r="63" spans="2:49">
      <c r="B63" s="2">
        <v>0.22600000000000001</v>
      </c>
      <c r="C63" s="2">
        <v>3.6588000000000002E-2</v>
      </c>
      <c r="D63" s="2">
        <v>0.28079999999999999</v>
      </c>
      <c r="E63" s="2">
        <v>32.184840000000001</v>
      </c>
      <c r="F63" s="2"/>
      <c r="G63"/>
      <c r="H63" s="2">
        <v>0.22600000000000001</v>
      </c>
      <c r="I63" s="2">
        <v>1.7458000000000001E-2</v>
      </c>
      <c r="J63" s="2">
        <v>0.28079999999999999</v>
      </c>
      <c r="K63" s="2">
        <v>0.75358700000000001</v>
      </c>
      <c r="L63" s="2"/>
      <c r="M63"/>
      <c r="N63" s="2">
        <v>0.22600000000000001</v>
      </c>
      <c r="O63" s="2">
        <v>21.934190000000001</v>
      </c>
      <c r="P63" s="2">
        <v>0.28079999999999999</v>
      </c>
      <c r="Q63" s="2">
        <v>29.362290000000002</v>
      </c>
      <c r="R63" s="2"/>
      <c r="S63"/>
      <c r="T63" s="2">
        <v>0.22600000000000001</v>
      </c>
      <c r="U63" s="2">
        <v>0.21191109999999999</v>
      </c>
      <c r="V63" s="2">
        <v>0.28079999999999999</v>
      </c>
      <c r="W63" s="2">
        <v>34.851179999999999</v>
      </c>
      <c r="X63" s="2"/>
      <c r="Y63"/>
      <c r="Z63" s="2">
        <v>0.22600000000000001</v>
      </c>
      <c r="AA63" s="2">
        <v>12.78543</v>
      </c>
      <c r="AB63" s="2">
        <v>0.28079999999999999</v>
      </c>
      <c r="AC63" s="2">
        <v>13.384209999999999</v>
      </c>
      <c r="AD63"/>
      <c r="AE63"/>
      <c r="AF63" s="2">
        <v>0.22600000000000001</v>
      </c>
      <c r="AG63" s="2">
        <v>0.19519600000000001</v>
      </c>
      <c r="AH63" s="2">
        <v>0.28079999999999999</v>
      </c>
      <c r="AI63" s="2">
        <v>9.1849000000000007</v>
      </c>
      <c r="AJ63"/>
      <c r="AK63"/>
      <c r="AL63" s="2">
        <v>0.22600000000000001</v>
      </c>
      <c r="AM63" s="2">
        <v>1.3838299999999999</v>
      </c>
      <c r="AN63" s="2">
        <v>0.28079999999999999</v>
      </c>
      <c r="AO63" s="2">
        <v>4.8057759999999998</v>
      </c>
      <c r="AP63"/>
      <c r="AQ63"/>
      <c r="AR63" s="2">
        <v>0.22600000000000001</v>
      </c>
      <c r="AS63" s="2">
        <v>0.37349100000000002</v>
      </c>
      <c r="AT63" s="2">
        <v>0.28079999999999999</v>
      </c>
      <c r="AU63" s="2">
        <v>2.1594120000000001</v>
      </c>
      <c r="AV63"/>
      <c r="AW63"/>
    </row>
    <row r="64" spans="2:49">
      <c r="B64" s="2">
        <v>0.1052</v>
      </c>
      <c r="C64" s="2">
        <v>4.5502000000000001E-2</v>
      </c>
      <c r="D64" s="2">
        <v>0.19220000000000001</v>
      </c>
      <c r="E64" s="2">
        <v>29.273289999999999</v>
      </c>
      <c r="F64" s="2"/>
      <c r="G64"/>
      <c r="H64" s="2">
        <v>0.1052</v>
      </c>
      <c r="I64" s="2">
        <v>2.4330000000000001E-2</v>
      </c>
      <c r="J64" s="2">
        <v>0.19220000000000001</v>
      </c>
      <c r="K64" s="2">
        <v>6.407762</v>
      </c>
      <c r="L64" s="2"/>
      <c r="M64"/>
      <c r="N64" s="2">
        <v>0.1052</v>
      </c>
      <c r="O64" s="2">
        <v>17.809259999999998</v>
      </c>
      <c r="P64" s="2">
        <v>0.19220000000000001</v>
      </c>
      <c r="Q64" s="2">
        <v>24.886900000000001</v>
      </c>
      <c r="R64" s="2"/>
      <c r="S64"/>
      <c r="T64" s="2">
        <v>0.1052</v>
      </c>
      <c r="U64" s="2">
        <v>0.21748282099999999</v>
      </c>
      <c r="V64" s="2">
        <v>0.19220000000000001</v>
      </c>
      <c r="W64" s="2">
        <v>33.492579999999997</v>
      </c>
      <c r="X64" s="2"/>
      <c r="Y64"/>
      <c r="Z64" s="2">
        <v>0.1052</v>
      </c>
      <c r="AA64" s="2">
        <v>12.47527</v>
      </c>
      <c r="AB64" s="2">
        <v>0.19220000000000001</v>
      </c>
      <c r="AC64" s="2">
        <v>10.392749999999999</v>
      </c>
      <c r="AD64"/>
      <c r="AE64"/>
      <c r="AF64" s="2">
        <v>0.1052</v>
      </c>
      <c r="AG64" s="2">
        <v>17.008790000000001</v>
      </c>
      <c r="AH64" s="2">
        <v>0.19220000000000001</v>
      </c>
      <c r="AI64" s="2">
        <v>23.33578</v>
      </c>
      <c r="AJ64"/>
      <c r="AK64"/>
      <c r="AL64" s="2">
        <v>0.1052</v>
      </c>
      <c r="AM64" s="2">
        <v>1.196248</v>
      </c>
      <c r="AN64" s="2">
        <v>0.19220000000000001</v>
      </c>
      <c r="AO64" s="2">
        <v>3.4944000000000002</v>
      </c>
      <c r="AP64"/>
      <c r="AQ64"/>
      <c r="AR64" s="2">
        <v>0.1052</v>
      </c>
      <c r="AS64" s="2">
        <v>0.37906299999999998</v>
      </c>
      <c r="AT64" s="2">
        <v>0.19220000000000001</v>
      </c>
      <c r="AU64" s="2">
        <v>5.9264390000000002</v>
      </c>
      <c r="AV64"/>
      <c r="AW64"/>
    </row>
    <row r="65" spans="2:49">
      <c r="B65" s="2">
        <v>6.8199999999999997E-2</v>
      </c>
      <c r="C65" s="2">
        <v>4.4944999999999999E-2</v>
      </c>
      <c r="D65" s="2">
        <v>0.22459999999999999</v>
      </c>
      <c r="E65" s="2">
        <v>32.882300000000001</v>
      </c>
      <c r="F65" s="2"/>
      <c r="G65"/>
      <c r="H65" s="2">
        <v>6.8199999999999997E-2</v>
      </c>
      <c r="I65" s="2">
        <v>3.2502000000000003E-2</v>
      </c>
      <c r="J65" s="2">
        <v>0.22459999999999999</v>
      </c>
      <c r="K65" s="2">
        <v>8.2658470000000008</v>
      </c>
      <c r="L65" s="2"/>
      <c r="M65"/>
      <c r="N65" s="2">
        <v>6.8199999999999997E-2</v>
      </c>
      <c r="O65" s="2">
        <v>0.77651199999999998</v>
      </c>
      <c r="P65" s="2">
        <v>0.22459999999999999</v>
      </c>
      <c r="Q65" s="2">
        <v>30.929770000000001</v>
      </c>
      <c r="R65" s="2"/>
      <c r="S65"/>
      <c r="T65" s="2">
        <v>6.8199999999999997E-2</v>
      </c>
      <c r="U65" s="2">
        <v>21.733609860000001</v>
      </c>
      <c r="V65" s="2">
        <v>0.22459999999999999</v>
      </c>
      <c r="W65" s="2">
        <v>5.1000180000000004</v>
      </c>
      <c r="X65" s="2"/>
      <c r="Y65"/>
      <c r="Z65" s="2">
        <v>6.8199999999999997E-2</v>
      </c>
      <c r="AA65" s="2">
        <v>0.29920099999999999</v>
      </c>
      <c r="AB65" s="2">
        <v>0.22459999999999999</v>
      </c>
      <c r="AC65" s="2">
        <v>14.05988</v>
      </c>
      <c r="AD65"/>
      <c r="AE65"/>
      <c r="AF65" s="2">
        <v>6.8199999999999997E-2</v>
      </c>
      <c r="AG65" s="2">
        <v>16.39404</v>
      </c>
      <c r="AH65" s="2">
        <v>0.22459999999999999</v>
      </c>
      <c r="AI65" s="2">
        <v>10.98668</v>
      </c>
      <c r="AJ65"/>
      <c r="AK65"/>
      <c r="AL65" s="2">
        <v>6.8199999999999997E-2</v>
      </c>
      <c r="AM65" s="2">
        <v>1.7087000000000001E-2</v>
      </c>
      <c r="AN65" s="2">
        <v>0.22459999999999999</v>
      </c>
      <c r="AO65" s="2">
        <v>5.1327119999999997</v>
      </c>
      <c r="AP65"/>
      <c r="AQ65"/>
      <c r="AR65" s="2">
        <v>6.8199999999999997E-2</v>
      </c>
      <c r="AS65" s="2">
        <v>10.72946</v>
      </c>
      <c r="AT65" s="2">
        <v>0.22459999999999999</v>
      </c>
      <c r="AU65" s="2">
        <v>5.87195</v>
      </c>
      <c r="AV65"/>
      <c r="AW65"/>
    </row>
    <row r="66" spans="2:49">
      <c r="B66" s="2">
        <v>8.5000000000000006E-2</v>
      </c>
      <c r="C66" s="2">
        <v>25.25122</v>
      </c>
      <c r="D66" s="2">
        <v>0.16239999999999999</v>
      </c>
      <c r="E66" s="2">
        <v>29.09348</v>
      </c>
      <c r="F66" s="2"/>
      <c r="G66"/>
      <c r="H66" s="2">
        <v>8.5000000000000006E-2</v>
      </c>
      <c r="I66" s="2">
        <v>14.67981</v>
      </c>
      <c r="J66" s="2">
        <v>0.16239999999999999</v>
      </c>
      <c r="K66" s="2">
        <v>7.5320580000000001</v>
      </c>
      <c r="L66" s="2"/>
      <c r="M66"/>
      <c r="N66" s="2">
        <v>8.5000000000000006E-2</v>
      </c>
      <c r="O66" s="2">
        <v>18.476009999999999</v>
      </c>
      <c r="P66" s="2">
        <v>0.16239999999999999</v>
      </c>
      <c r="Q66" s="2">
        <v>27.872920000000001</v>
      </c>
      <c r="R66" s="2"/>
      <c r="S66"/>
      <c r="T66" s="2">
        <v>8.5000000000000006E-2</v>
      </c>
      <c r="U66" s="2">
        <v>24.71448028</v>
      </c>
      <c r="V66" s="2">
        <v>0.16239999999999999</v>
      </c>
      <c r="W66" s="2">
        <v>34.320819999999998</v>
      </c>
      <c r="X66" s="2"/>
      <c r="Y66"/>
      <c r="Z66" s="2">
        <v>8.5000000000000006E-2</v>
      </c>
      <c r="AA66" s="2">
        <v>0.271343</v>
      </c>
      <c r="AB66" s="2">
        <v>0.16239999999999999</v>
      </c>
      <c r="AC66" s="2">
        <v>11.26276</v>
      </c>
      <c r="AD66"/>
      <c r="AE66"/>
      <c r="AF66" s="2">
        <v>8.5000000000000006E-2</v>
      </c>
      <c r="AG66" s="2">
        <v>0.174766</v>
      </c>
      <c r="AH66" s="2">
        <v>0.16239999999999999</v>
      </c>
      <c r="AI66" s="2">
        <v>23.987829999999999</v>
      </c>
      <c r="AJ66"/>
      <c r="AK66"/>
      <c r="AL66" s="2">
        <v>8.5000000000000006E-2</v>
      </c>
      <c r="AM66" s="2">
        <v>4.9497309999999999</v>
      </c>
      <c r="AN66" s="2">
        <v>0.16239999999999999</v>
      </c>
      <c r="AO66" s="2">
        <v>3.7123569999999999</v>
      </c>
      <c r="AP66"/>
      <c r="AQ66"/>
      <c r="AR66" s="2">
        <v>8.5000000000000006E-2</v>
      </c>
      <c r="AS66" s="2">
        <v>13.511609999999999</v>
      </c>
      <c r="AT66" s="2">
        <v>0.16239999999999999</v>
      </c>
      <c r="AU66" s="2">
        <v>1.745293</v>
      </c>
      <c r="AV66"/>
      <c r="AW66"/>
    </row>
    <row r="67" spans="2:49">
      <c r="B67" s="2"/>
      <c r="C67" s="2"/>
      <c r="D67" s="2">
        <v>0.21360000000000001</v>
      </c>
      <c r="E67" s="2">
        <v>33.185630000000003</v>
      </c>
      <c r="F67" s="2"/>
      <c r="G67"/>
      <c r="H67" s="2"/>
      <c r="I67" s="2"/>
      <c r="J67" s="2">
        <v>0.21360000000000001</v>
      </c>
      <c r="K67" s="2">
        <v>0.55379299999999998</v>
      </c>
      <c r="L67" s="2"/>
      <c r="M67"/>
      <c r="N67" s="2"/>
      <c r="O67" s="2"/>
      <c r="P67" s="2">
        <v>0.21360000000000001</v>
      </c>
      <c r="Q67" s="2">
        <v>30.553789999999999</v>
      </c>
      <c r="R67" s="2"/>
      <c r="S67"/>
      <c r="T67" s="2"/>
      <c r="U67" s="2"/>
      <c r="V67" s="2">
        <v>0.21360000000000001</v>
      </c>
      <c r="W67" s="2">
        <v>15.60919</v>
      </c>
      <c r="X67" s="2"/>
      <c r="Y67"/>
      <c r="Z67" s="2"/>
      <c r="AA67" s="2"/>
      <c r="AB67" s="2">
        <v>0.21360000000000001</v>
      </c>
      <c r="AC67" s="2">
        <v>16.599080000000001</v>
      </c>
      <c r="AD67"/>
      <c r="AE67"/>
      <c r="AF67" s="2"/>
      <c r="AG67" s="2"/>
      <c r="AH67" s="2">
        <v>0.21360000000000001</v>
      </c>
      <c r="AI67" s="2">
        <v>23.551919999999999</v>
      </c>
      <c r="AJ67"/>
      <c r="AK67"/>
      <c r="AL67" s="2"/>
      <c r="AM67" s="2"/>
      <c r="AN67" s="2">
        <v>0.21360000000000001</v>
      </c>
      <c r="AO67" s="2">
        <v>5.0364469999999999</v>
      </c>
      <c r="AP67"/>
      <c r="AQ67"/>
      <c r="AR67" s="2"/>
      <c r="AS67" s="2"/>
      <c r="AT67" s="2">
        <v>0.21360000000000001</v>
      </c>
      <c r="AU67" s="2">
        <v>2.0776780000000001</v>
      </c>
      <c r="AV67"/>
      <c r="AW67"/>
    </row>
    <row r="68" spans="2:49">
      <c r="B68" s="2"/>
      <c r="C68" s="2"/>
      <c r="D68" s="2">
        <v>0.14280000000000001</v>
      </c>
      <c r="E68" s="2">
        <v>30.46116</v>
      </c>
      <c r="F68" s="2"/>
      <c r="G68"/>
      <c r="H68" s="2"/>
      <c r="I68" s="2"/>
      <c r="J68" s="2">
        <v>0.14280000000000001</v>
      </c>
      <c r="K68" s="2">
        <v>0.68820000000000003</v>
      </c>
      <c r="L68" s="2"/>
      <c r="M68"/>
      <c r="N68" s="2"/>
      <c r="O68" s="2"/>
      <c r="P68" s="2">
        <v>0.14280000000000001</v>
      </c>
      <c r="Q68" s="2">
        <v>29.814550000000001</v>
      </c>
      <c r="R68" s="2"/>
      <c r="S68"/>
      <c r="T68" s="2"/>
      <c r="U68" s="2"/>
      <c r="V68" s="2">
        <v>0.14280000000000001</v>
      </c>
      <c r="W68" s="2">
        <v>28.7393</v>
      </c>
      <c r="X68" s="2"/>
      <c r="Y68"/>
      <c r="Z68" s="2"/>
      <c r="AA68" s="2"/>
      <c r="AB68" s="2">
        <v>0.14280000000000001</v>
      </c>
      <c r="AC68" s="2">
        <v>11.90573</v>
      </c>
      <c r="AD68"/>
      <c r="AE68"/>
      <c r="AF68" s="2"/>
      <c r="AG68" s="2"/>
      <c r="AH68" s="2">
        <v>0.14280000000000001</v>
      </c>
      <c r="AI68" s="2">
        <v>23.050609999999999</v>
      </c>
      <c r="AJ68"/>
      <c r="AK68"/>
      <c r="AL68" s="2"/>
      <c r="AM68" s="2"/>
      <c r="AN68" s="2">
        <v>0.14280000000000001</v>
      </c>
      <c r="AO68" s="2">
        <v>3.641521</v>
      </c>
      <c r="AP68"/>
      <c r="AQ68"/>
      <c r="AR68" s="2"/>
      <c r="AS68" s="2"/>
      <c r="AT68" s="2">
        <v>0.14280000000000001</v>
      </c>
      <c r="AU68" s="2">
        <v>4.9746930000000003</v>
      </c>
      <c r="AV68"/>
      <c r="AW68"/>
    </row>
    <row r="69" spans="2:49">
      <c r="B69" s="2"/>
      <c r="C69" s="2"/>
      <c r="D69" s="2">
        <v>0.2324</v>
      </c>
      <c r="E69" s="2">
        <v>27.618639999999999</v>
      </c>
      <c r="F69" s="2"/>
      <c r="G69"/>
      <c r="H69" s="2"/>
      <c r="I69" s="2"/>
      <c r="J69" s="2">
        <v>0.2324</v>
      </c>
      <c r="K69" s="2">
        <v>0.53563000000000005</v>
      </c>
      <c r="L69" s="2"/>
      <c r="M69"/>
      <c r="N69" s="2"/>
      <c r="O69" s="2"/>
      <c r="P69" s="2">
        <v>0.2324</v>
      </c>
      <c r="Q69" s="2">
        <v>26.45983</v>
      </c>
      <c r="R69" s="2"/>
      <c r="S69"/>
      <c r="T69" s="2"/>
      <c r="U69" s="2"/>
      <c r="V69" s="2">
        <v>0.2324</v>
      </c>
      <c r="W69" s="2">
        <v>31.988679999999999</v>
      </c>
      <c r="X69" s="2"/>
      <c r="Y69"/>
      <c r="Z69" s="2"/>
      <c r="AA69" s="2"/>
      <c r="AB69" s="2">
        <v>0.2324</v>
      </c>
      <c r="AC69" s="2">
        <v>9.2993279999999992</v>
      </c>
      <c r="AD69"/>
      <c r="AE69"/>
      <c r="AF69" s="2"/>
      <c r="AG69" s="2"/>
      <c r="AH69" s="2">
        <v>0.2324</v>
      </c>
      <c r="AI69" s="2">
        <v>37.048920000000003</v>
      </c>
      <c r="AJ69"/>
      <c r="AK69"/>
      <c r="AL69" s="2"/>
      <c r="AM69" s="2"/>
      <c r="AN69" s="2">
        <v>0.2324</v>
      </c>
      <c r="AO69" s="2">
        <v>4.0810680000000001</v>
      </c>
      <c r="AP69"/>
      <c r="AQ69"/>
      <c r="AR69" s="2"/>
      <c r="AS69" s="2"/>
      <c r="AT69" s="2">
        <v>0.2324</v>
      </c>
      <c r="AU69" s="2">
        <v>1.463765</v>
      </c>
      <c r="AV69"/>
      <c r="AW69"/>
    </row>
    <row r="71" spans="2:49" ht="15" thickBot="1">
      <c r="B71" s="4" t="s">
        <v>1483</v>
      </c>
      <c r="C71" s="4" t="s">
        <v>1527</v>
      </c>
    </row>
    <row r="72" spans="2:49" s="61" customFormat="1" ht="18.75">
      <c r="B72" s="247" t="s">
        <v>1074</v>
      </c>
      <c r="C72" s="248"/>
      <c r="D72" s="248"/>
      <c r="E72" s="248"/>
      <c r="F72" s="62"/>
      <c r="G72" s="62"/>
      <c r="H72" s="248" t="s">
        <v>1073</v>
      </c>
      <c r="I72" s="248"/>
      <c r="J72" s="248"/>
      <c r="K72" s="248"/>
      <c r="L72" s="248"/>
      <c r="M72" s="248"/>
      <c r="N72" s="248"/>
      <c r="O72" s="248"/>
      <c r="P72" s="248"/>
      <c r="Q72" s="248"/>
      <c r="R72" s="62"/>
      <c r="S72" s="62"/>
      <c r="T72" s="248" t="s">
        <v>1075</v>
      </c>
      <c r="U72" s="248"/>
      <c r="V72" s="248"/>
      <c r="W72" s="248"/>
      <c r="X72" s="248"/>
      <c r="Y72" s="248"/>
      <c r="Z72" s="248"/>
      <c r="AA72" s="248"/>
      <c r="AB72" s="248"/>
      <c r="AC72" s="248"/>
      <c r="AD72" s="62"/>
      <c r="AE72" s="62"/>
      <c r="AF72" s="248" t="s">
        <v>1486</v>
      </c>
      <c r="AG72" s="248"/>
      <c r="AH72" s="248"/>
      <c r="AI72" s="248"/>
      <c r="AJ72" s="248"/>
      <c r="AK72" s="248"/>
      <c r="AL72" s="248"/>
      <c r="AM72" s="248"/>
      <c r="AN72" s="248"/>
      <c r="AO72" s="248"/>
      <c r="AP72" s="62"/>
      <c r="AQ72" s="62"/>
      <c r="AR72" s="62"/>
      <c r="AS72" s="62"/>
      <c r="AT72" s="62"/>
      <c r="AU72" s="63"/>
    </row>
    <row r="73" spans="2:49" s="61" customFormat="1" ht="15.75">
      <c r="B73" s="249" t="s">
        <v>1064</v>
      </c>
      <c r="C73" s="250"/>
      <c r="D73" s="250"/>
      <c r="E73" s="250"/>
      <c r="H73" s="250" t="s">
        <v>1072</v>
      </c>
      <c r="I73" s="250"/>
      <c r="J73" s="250"/>
      <c r="K73" s="250"/>
      <c r="L73" s="250"/>
      <c r="M73" s="250"/>
      <c r="N73" s="250"/>
      <c r="O73" s="250"/>
      <c r="P73" s="250"/>
      <c r="Q73" s="250"/>
      <c r="T73" s="250" t="s">
        <v>1076</v>
      </c>
      <c r="U73" s="250"/>
      <c r="V73" s="250"/>
      <c r="W73" s="250"/>
      <c r="X73" s="250"/>
      <c r="Y73" s="250"/>
      <c r="Z73" s="250"/>
      <c r="AA73" s="250"/>
      <c r="AB73" s="250"/>
      <c r="AC73" s="250"/>
      <c r="AF73" s="250" t="s">
        <v>1078</v>
      </c>
      <c r="AG73" s="250"/>
      <c r="AH73" s="250"/>
      <c r="AI73" s="250"/>
      <c r="AJ73" s="250"/>
      <c r="AK73" s="250"/>
      <c r="AL73" s="250"/>
      <c r="AM73" s="250"/>
      <c r="AN73" s="250"/>
      <c r="AO73" s="250"/>
      <c r="AU73" s="64"/>
    </row>
    <row r="74" spans="2:49">
      <c r="B74" s="29" t="s">
        <v>1065</v>
      </c>
      <c r="C74" s="9">
        <v>20241025</v>
      </c>
      <c r="D74" s="9"/>
      <c r="E74" s="9"/>
      <c r="G74" s="4" t="s">
        <v>1485</v>
      </c>
      <c r="H74" s="3" t="s">
        <v>1068</v>
      </c>
      <c r="I74" s="235">
        <v>20241025</v>
      </c>
      <c r="J74" s="235"/>
      <c r="K74" s="235"/>
      <c r="L74" s="235" t="s">
        <v>1069</v>
      </c>
      <c r="M74" s="235"/>
      <c r="N74" s="235"/>
      <c r="O74" s="235" t="s">
        <v>1070</v>
      </c>
      <c r="P74" s="235"/>
      <c r="Q74" s="235"/>
      <c r="S74" s="4" t="s">
        <v>1485</v>
      </c>
      <c r="T74" s="3" t="s">
        <v>1093</v>
      </c>
      <c r="U74" s="235">
        <v>20241025</v>
      </c>
      <c r="V74" s="235"/>
      <c r="W74" s="235"/>
      <c r="X74" s="235" t="s">
        <v>1069</v>
      </c>
      <c r="Y74" s="235"/>
      <c r="Z74" s="235"/>
      <c r="AA74" s="235" t="s">
        <v>1070</v>
      </c>
      <c r="AB74" s="235"/>
      <c r="AC74" s="235"/>
      <c r="AE74" s="4" t="s">
        <v>1485</v>
      </c>
      <c r="AF74" s="3" t="s">
        <v>765</v>
      </c>
      <c r="AG74" s="235">
        <v>20241025</v>
      </c>
      <c r="AH74" s="235"/>
      <c r="AI74" s="235"/>
      <c r="AJ74" s="235" t="s">
        <v>1069</v>
      </c>
      <c r="AK74" s="235"/>
      <c r="AL74" s="235"/>
      <c r="AM74" s="235" t="s">
        <v>1070</v>
      </c>
      <c r="AN74" s="235"/>
      <c r="AO74" s="235"/>
      <c r="AQ74" s="4" t="s">
        <v>1485</v>
      </c>
      <c r="AU74" s="30"/>
    </row>
    <row r="75" spans="2:49">
      <c r="B75" s="29">
        <v>1E-3</v>
      </c>
      <c r="C75" s="4">
        <v>1.5100776999999999E-2</v>
      </c>
      <c r="D75" s="4">
        <v>2.7990142999999999E-2</v>
      </c>
      <c r="E75" s="4">
        <v>1.6996272E-2</v>
      </c>
      <c r="F75" s="4">
        <f>AVERAGE(C75:E75)</f>
        <v>2.0029063999999999E-2</v>
      </c>
      <c r="H75" s="2">
        <v>1E-3</v>
      </c>
      <c r="I75" s="2">
        <v>0.16029569699999999</v>
      </c>
      <c r="J75" s="2">
        <v>0.18304163800000001</v>
      </c>
      <c r="K75" s="2">
        <v>0.12617678700000001</v>
      </c>
      <c r="L75" s="2">
        <v>0.21441499999999999</v>
      </c>
      <c r="M75" s="2">
        <v>0.191797</v>
      </c>
      <c r="N75" s="2">
        <v>0.196321</v>
      </c>
      <c r="O75" s="2">
        <v>0.213509</v>
      </c>
      <c r="P75" s="2">
        <v>0.186172</v>
      </c>
      <c r="Q75" s="2">
        <v>0.182755</v>
      </c>
      <c r="R75" s="4">
        <f>AVERAGE(I75:Q75)</f>
        <v>0.183831458</v>
      </c>
      <c r="T75" s="2">
        <v>0.01</v>
      </c>
      <c r="U75" s="2">
        <v>8.8456400000000001E-4</v>
      </c>
      <c r="V75" s="2">
        <v>8.8456400000000001E-4</v>
      </c>
      <c r="W75" s="2">
        <v>3.1591600000000002E-4</v>
      </c>
      <c r="X75" s="2">
        <v>3.016E-3</v>
      </c>
      <c r="Y75" s="10">
        <v>-5.9999999999999995E-4</v>
      </c>
      <c r="Z75" s="2">
        <v>7.54E-4</v>
      </c>
      <c r="AA75" s="2">
        <v>1E-3</v>
      </c>
      <c r="AB75" s="2">
        <v>1E-3</v>
      </c>
      <c r="AC75" s="2">
        <v>1E-3</v>
      </c>
      <c r="AF75" s="2">
        <v>0.01</v>
      </c>
      <c r="AG75" s="2">
        <v>8.2201302000000004E-2</v>
      </c>
      <c r="AH75" s="2">
        <v>5.9834459999999999E-2</v>
      </c>
      <c r="AI75" s="2">
        <v>5.8886713E-2</v>
      </c>
      <c r="AJ75" s="2">
        <v>6.7099000000000006E-2</v>
      </c>
      <c r="AK75" s="2">
        <v>6.3328999999999996E-2</v>
      </c>
      <c r="AL75" s="2">
        <v>7.4940000000000007E-2</v>
      </c>
      <c r="AM75" s="2">
        <v>8.5369E-2</v>
      </c>
      <c r="AN75" s="2">
        <v>8.8786000000000004E-2</v>
      </c>
      <c r="AO75" s="2">
        <v>9.0495000000000006E-2</v>
      </c>
      <c r="AP75" s="4">
        <f>AVERAGE(AG75:AO75)</f>
        <v>7.4548941666666674E-2</v>
      </c>
      <c r="AU75" s="30"/>
    </row>
    <row r="76" spans="2:49">
      <c r="B76" s="29">
        <v>0.1</v>
      </c>
      <c r="C76" s="4">
        <v>1.4911228E-2</v>
      </c>
      <c r="D76" s="4">
        <v>1.5669426E-2</v>
      </c>
      <c r="E76" s="4" t="s">
        <v>1066</v>
      </c>
      <c r="H76" s="2">
        <v>0.1</v>
      </c>
      <c r="I76" s="2">
        <v>0.222847034</v>
      </c>
      <c r="J76" s="2">
        <v>0.20010109300000001</v>
      </c>
      <c r="K76" s="2">
        <v>0.21336955799999999</v>
      </c>
      <c r="L76" s="2">
        <v>0.37273800000000001</v>
      </c>
      <c r="M76" s="2">
        <v>0.30488500000000002</v>
      </c>
      <c r="N76" s="2">
        <v>0.33805800000000003</v>
      </c>
      <c r="O76" s="2">
        <v>0.28697499999999998</v>
      </c>
      <c r="P76" s="2">
        <v>0.27672400000000003</v>
      </c>
      <c r="Q76" s="2">
        <v>0.26476499999999997</v>
      </c>
      <c r="T76" s="2">
        <v>0.1</v>
      </c>
      <c r="U76" s="2">
        <v>7.1396979999999999E-3</v>
      </c>
      <c r="V76" s="2">
        <v>2.4009600000000002E-3</v>
      </c>
      <c r="W76" s="2">
        <v>5.812851E-3</v>
      </c>
      <c r="X76" s="2">
        <v>7.3879999999999996E-3</v>
      </c>
      <c r="Y76" s="2">
        <v>1.6285000000000001E-2</v>
      </c>
      <c r="Z76" s="2">
        <v>8.5950000000000002E-3</v>
      </c>
      <c r="AA76" s="2">
        <v>1.2586E-2</v>
      </c>
      <c r="AB76" s="2">
        <v>1.0878000000000001E-2</v>
      </c>
      <c r="AC76" s="2">
        <v>9.5110000000000004E-3</v>
      </c>
      <c r="AD76" s="4">
        <f>AVERAGE(U76:AC76)</f>
        <v>8.955167666666668E-3</v>
      </c>
      <c r="AF76" s="2">
        <v>1</v>
      </c>
      <c r="AG76" s="2">
        <v>6.3435901000000003E-2</v>
      </c>
      <c r="AH76" s="2">
        <v>7.3861123000000001E-2</v>
      </c>
      <c r="AI76" s="2">
        <v>6.5331396E-2</v>
      </c>
      <c r="AJ76" s="2">
        <v>7.3130000000000001E-2</v>
      </c>
      <c r="AK76" s="2">
        <v>7.5693999999999997E-2</v>
      </c>
      <c r="AL76" s="2">
        <v>7.1773000000000003E-2</v>
      </c>
      <c r="AM76" s="2">
        <v>9.3911999999999995E-2</v>
      </c>
      <c r="AN76" s="2">
        <v>9.9038000000000001E-2</v>
      </c>
      <c r="AO76" s="2">
        <v>9.9038000000000001E-2</v>
      </c>
      <c r="AU76" s="30"/>
    </row>
    <row r="77" spans="2:49">
      <c r="B77" s="29">
        <v>1</v>
      </c>
      <c r="C77" s="4">
        <v>1.9839514999999999E-2</v>
      </c>
      <c r="D77" s="4">
        <v>1.8323118999999999E-2</v>
      </c>
      <c r="E77" s="4" t="s">
        <v>1067</v>
      </c>
      <c r="H77" s="2">
        <v>0.5</v>
      </c>
      <c r="I77" s="2">
        <v>1.6766917290000001</v>
      </c>
      <c r="J77" s="2">
        <v>1.602767423</v>
      </c>
      <c r="K77" s="2">
        <v>1.538320591</v>
      </c>
      <c r="L77" s="2">
        <v>2.4158620000000002</v>
      </c>
      <c r="M77" s="2">
        <v>2.4535589999999998</v>
      </c>
      <c r="N77" s="2">
        <v>2.4384800000000002</v>
      </c>
      <c r="O77" s="2">
        <v>2.942024</v>
      </c>
      <c r="P77" s="2">
        <v>3.0171990000000002</v>
      </c>
      <c r="Q77" s="2">
        <v>2.8600150000000002</v>
      </c>
      <c r="T77" s="2">
        <v>0.5</v>
      </c>
      <c r="U77" s="2">
        <v>6.8553737000000003E-2</v>
      </c>
      <c r="V77" s="2">
        <v>5.2821128000000002E-2</v>
      </c>
      <c r="W77" s="2">
        <v>6.9880583999999996E-2</v>
      </c>
      <c r="X77" s="2">
        <v>0.12092899999999999</v>
      </c>
      <c r="Y77" s="2">
        <v>0.10585</v>
      </c>
      <c r="Z77" s="2">
        <v>0.123945</v>
      </c>
      <c r="AA77" s="2">
        <v>0.100746</v>
      </c>
      <c r="AB77" s="2">
        <v>9.5619999999999997E-2</v>
      </c>
      <c r="AC77" s="2">
        <v>9.9038000000000001E-2</v>
      </c>
      <c r="AF77" s="2">
        <v>10</v>
      </c>
      <c r="AG77" s="2">
        <v>0.13754975699999999</v>
      </c>
      <c r="AH77" s="2">
        <v>0.15650470699999999</v>
      </c>
      <c r="AI77" s="2">
        <v>0.150818222</v>
      </c>
      <c r="AJ77" s="2">
        <v>0.12545200000000001</v>
      </c>
      <c r="AK77" s="2">
        <v>0.128468</v>
      </c>
      <c r="AL77" s="2">
        <v>0.40741899999999998</v>
      </c>
      <c r="AM77" s="2">
        <v>0.22717699999999999</v>
      </c>
      <c r="AN77" s="2">
        <v>0.20496600000000001</v>
      </c>
      <c r="AO77" s="2">
        <v>0.20496600000000001</v>
      </c>
      <c r="AU77" s="30"/>
    </row>
    <row r="78" spans="2:49">
      <c r="B78" s="29">
        <v>5</v>
      </c>
      <c r="C78" s="4">
        <v>4.8271939999999999E-2</v>
      </c>
      <c r="D78" s="4">
        <v>4.7513741999999998E-2</v>
      </c>
      <c r="E78" s="4">
        <v>2.3820054E-2</v>
      </c>
      <c r="H78" s="2">
        <v>1</v>
      </c>
      <c r="I78" s="2">
        <v>6.309281607</v>
      </c>
      <c r="J78" s="2">
        <v>6.0041069059999996</v>
      </c>
      <c r="K78" s="2">
        <v>6.1367915589999997</v>
      </c>
      <c r="L78" s="2">
        <v>5.6758139999999999</v>
      </c>
      <c r="M78" s="10" t="s">
        <v>1071</v>
      </c>
      <c r="N78" s="2">
        <v>5.746683</v>
      </c>
      <c r="O78" s="2">
        <v>6.6238970000000004</v>
      </c>
      <c r="P78" s="2">
        <v>6.9160539999999999</v>
      </c>
      <c r="Q78" s="2">
        <v>6.7691210000000002</v>
      </c>
      <c r="T78" s="2">
        <v>1</v>
      </c>
      <c r="U78" s="2">
        <v>0.275920895</v>
      </c>
      <c r="V78" s="2">
        <v>0.239906489</v>
      </c>
      <c r="W78" s="2">
        <v>0.27971188499999999</v>
      </c>
      <c r="X78" s="2"/>
      <c r="Y78" s="2">
        <v>0.11339</v>
      </c>
      <c r="Z78" s="2">
        <v>9.3787999999999996E-2</v>
      </c>
      <c r="AA78" s="2">
        <v>0.24426200000000001</v>
      </c>
      <c r="AB78" s="2">
        <v>0.23059399999999999</v>
      </c>
      <c r="AC78" s="2">
        <v>0.21521699999999999</v>
      </c>
      <c r="AF78" s="2">
        <v>50</v>
      </c>
      <c r="AG78" s="2">
        <v>4.6298730020000001</v>
      </c>
      <c r="AH78" s="2">
        <v>4.9407341880000004</v>
      </c>
      <c r="AI78" s="2">
        <v>4.4744424089999999</v>
      </c>
      <c r="AJ78" s="10" t="s">
        <v>1077</v>
      </c>
      <c r="AK78" s="2">
        <v>4.3655010000000001</v>
      </c>
      <c r="AL78" s="2">
        <v>4.2192400000000001</v>
      </c>
      <c r="AM78" s="2">
        <v>5.9814910000000001</v>
      </c>
      <c r="AN78" s="2">
        <v>6.285609</v>
      </c>
      <c r="AO78" s="2">
        <v>6.5828920000000002</v>
      </c>
      <c r="AU78" s="30"/>
    </row>
    <row r="79" spans="2:49">
      <c r="B79" s="29">
        <v>10</v>
      </c>
      <c r="C79" s="4">
        <v>2.3344285079999998</v>
      </c>
      <c r="D79" s="4">
        <v>2.6471851900000001</v>
      </c>
      <c r="E79" s="4">
        <v>1.991343906</v>
      </c>
      <c r="H79" s="2">
        <v>2</v>
      </c>
      <c r="I79" s="2">
        <v>16.256839580000001</v>
      </c>
      <c r="J79" s="2">
        <v>15.669236120000001</v>
      </c>
      <c r="K79" s="2">
        <v>15.337524480000001</v>
      </c>
      <c r="L79" s="2">
        <v>13.371829999999999</v>
      </c>
      <c r="M79" s="2">
        <v>13.45476</v>
      </c>
      <c r="N79" s="2">
        <v>13.830220000000001</v>
      </c>
      <c r="O79" s="2">
        <v>14.86753</v>
      </c>
      <c r="P79" s="2">
        <v>15.23657</v>
      </c>
      <c r="Q79" s="2">
        <v>15.42451</v>
      </c>
      <c r="T79" s="2">
        <v>2.5</v>
      </c>
      <c r="U79" s="2">
        <v>1.47387376</v>
      </c>
      <c r="V79" s="2">
        <v>1.413217919</v>
      </c>
      <c r="W79" s="2">
        <v>1.517470146</v>
      </c>
      <c r="X79" s="2">
        <v>1.5232209999999999</v>
      </c>
      <c r="Y79" s="2">
        <v>1.4613989999999999</v>
      </c>
      <c r="Z79" s="2">
        <v>1.3980699999999999</v>
      </c>
      <c r="AA79" s="2">
        <v>2.5456460000000001</v>
      </c>
      <c r="AB79" s="2">
        <v>2.4516770000000001</v>
      </c>
      <c r="AC79" s="2">
        <v>2.4516770000000001</v>
      </c>
      <c r="AF79" s="2">
        <v>100</v>
      </c>
      <c r="AG79" s="2">
        <v>11.49725153</v>
      </c>
      <c r="AH79" s="2">
        <v>11.96543881</v>
      </c>
      <c r="AI79" s="2">
        <v>11.427118220000001</v>
      </c>
      <c r="AJ79" s="2">
        <v>8.3386610000000001</v>
      </c>
      <c r="AK79" s="2">
        <v>8.7593490000000003</v>
      </c>
      <c r="AL79" s="2">
        <v>9.1151990000000005</v>
      </c>
      <c r="AM79" s="2">
        <v>10.54496</v>
      </c>
      <c r="AN79" s="2">
        <v>10.973800000000001</v>
      </c>
      <c r="AO79" s="2">
        <v>11.17712</v>
      </c>
      <c r="AU79" s="30"/>
    </row>
    <row r="80" spans="2:49">
      <c r="B80" s="29">
        <v>25</v>
      </c>
      <c r="C80" s="4">
        <v>12.113287420000001</v>
      </c>
      <c r="D80" s="4">
        <v>12.22512163</v>
      </c>
      <c r="E80" s="4">
        <v>10.42061035</v>
      </c>
      <c r="H80" s="2">
        <v>5</v>
      </c>
      <c r="I80" s="2">
        <v>29.153787829999999</v>
      </c>
      <c r="J80" s="2">
        <v>28.53775194</v>
      </c>
      <c r="K80" s="2">
        <v>28.103683579999998</v>
      </c>
      <c r="L80" s="2">
        <v>26.44481</v>
      </c>
      <c r="M80" s="2">
        <v>26.20356</v>
      </c>
      <c r="N80" s="2">
        <v>26.20356</v>
      </c>
      <c r="O80" s="2">
        <v>28.0078</v>
      </c>
      <c r="P80" s="2">
        <v>27.753229999999999</v>
      </c>
      <c r="Q80" s="2">
        <v>27.498660000000001</v>
      </c>
      <c r="T80" s="2">
        <v>5</v>
      </c>
      <c r="U80" s="2">
        <v>2.927718456</v>
      </c>
      <c r="V80" s="2">
        <v>2.7324824670000001</v>
      </c>
      <c r="W80" s="2">
        <v>3.098313009</v>
      </c>
      <c r="X80" s="2">
        <v>4.2313029999999996</v>
      </c>
      <c r="Y80" s="2">
        <v>2.8079010000000002</v>
      </c>
      <c r="Z80" s="2">
        <v>4.0518700000000001</v>
      </c>
      <c r="AA80" s="2">
        <v>4.1755789999999999</v>
      </c>
      <c r="AB80" s="2">
        <v>3.9722650000000002</v>
      </c>
      <c r="AC80" s="2">
        <v>3.960305</v>
      </c>
      <c r="AF80" s="2">
        <v>500</v>
      </c>
      <c r="AG80" s="2">
        <v>21.607822079999998</v>
      </c>
      <c r="AH80" s="2">
        <v>21.674164399999999</v>
      </c>
      <c r="AI80" s="2">
        <v>20.893220450000001</v>
      </c>
      <c r="AJ80" s="2">
        <v>11.867010000000001</v>
      </c>
      <c r="AK80" s="2">
        <v>12.310309999999999</v>
      </c>
      <c r="AL80" s="2">
        <v>12.424910000000001</v>
      </c>
      <c r="AM80" s="2">
        <v>13.64423</v>
      </c>
      <c r="AN80" s="2">
        <v>13.85609</v>
      </c>
      <c r="AO80" s="2">
        <v>14.02694</v>
      </c>
      <c r="AU80" s="30"/>
    </row>
    <row r="81" spans="2:49">
      <c r="B81" s="29">
        <v>50</v>
      </c>
      <c r="C81" s="4">
        <v>13.27901687</v>
      </c>
      <c r="D81" s="4">
        <v>13.199406079999999</v>
      </c>
      <c r="E81" s="4">
        <v>11.25273267</v>
      </c>
      <c r="H81" s="2">
        <v>10</v>
      </c>
      <c r="I81" s="2">
        <v>34.277310919999998</v>
      </c>
      <c r="J81" s="2">
        <v>33.757945280000001</v>
      </c>
      <c r="K81" s="2">
        <v>34.068806469999998</v>
      </c>
      <c r="L81" s="2">
        <v>30.155609999999999</v>
      </c>
      <c r="M81" s="2">
        <v>30.61852</v>
      </c>
      <c r="N81" s="2">
        <v>30.900480000000002</v>
      </c>
      <c r="O81" s="2">
        <v>32.332079999999998</v>
      </c>
      <c r="P81" s="2">
        <v>33.13167</v>
      </c>
      <c r="Q81" s="2">
        <v>32.631070000000001</v>
      </c>
      <c r="T81" s="2">
        <v>10</v>
      </c>
      <c r="U81" s="2">
        <v>3.9759272129999998</v>
      </c>
      <c r="V81" s="2">
        <v>3.8072281540000001</v>
      </c>
      <c r="W81" s="2">
        <v>4.1408352810000002</v>
      </c>
      <c r="X81" s="2">
        <v>4.9098309999999996</v>
      </c>
      <c r="Y81" s="2">
        <v>4.8344389999999997</v>
      </c>
      <c r="Z81" s="2">
        <v>4.7892039999999998</v>
      </c>
      <c r="AA81" s="2">
        <v>4.8914520000000001</v>
      </c>
      <c r="AB81" s="2">
        <v>4.9529589999999999</v>
      </c>
      <c r="AC81" s="2">
        <v>4.7718550000000004</v>
      </c>
      <c r="AF81" s="2">
        <v>1000</v>
      </c>
      <c r="AG81" s="2">
        <v>22.347065140000002</v>
      </c>
      <c r="AH81" s="2">
        <v>22.692045239999999</v>
      </c>
      <c r="AI81" s="2">
        <v>21.941429200000002</v>
      </c>
      <c r="AJ81" s="2">
        <v>15.30036</v>
      </c>
      <c r="AK81" s="2">
        <v>15.82358</v>
      </c>
      <c r="AL81" s="2">
        <v>15.48884</v>
      </c>
      <c r="AM81" s="2">
        <v>17.649010000000001</v>
      </c>
      <c r="AN81" s="2">
        <v>18.086390000000002</v>
      </c>
      <c r="AO81" s="2">
        <v>18.706589999999998</v>
      </c>
      <c r="AU81" s="30"/>
    </row>
    <row r="82" spans="2:49">
      <c r="B82" s="29">
        <v>100</v>
      </c>
      <c r="C82" s="4">
        <v>15.10437859</v>
      </c>
      <c r="D82" s="4">
        <v>14.603967900000001</v>
      </c>
      <c r="E82" s="4">
        <v>11.18449485</v>
      </c>
      <c r="F82" s="4">
        <f>AVERAGE(C82:E82)</f>
        <v>13.630947113333335</v>
      </c>
      <c r="G82" s="4">
        <f>F82/F75</f>
        <v>680.55836824593177</v>
      </c>
      <c r="H82" s="2">
        <v>50</v>
      </c>
      <c r="I82" s="2">
        <v>39.687053769999999</v>
      </c>
      <c r="J82" s="2">
        <v>38.612308079999998</v>
      </c>
      <c r="K82" s="2">
        <v>38.729828769999997</v>
      </c>
      <c r="L82" s="2">
        <v>34.596200000000003</v>
      </c>
      <c r="M82" s="2">
        <v>35.342579999999998</v>
      </c>
      <c r="N82" s="2">
        <v>34.807299999999998</v>
      </c>
      <c r="O82" s="2">
        <v>37.209919999999997</v>
      </c>
      <c r="P82" s="2">
        <v>36.982689999999998</v>
      </c>
      <c r="Q82" s="2">
        <v>37.322679999999998</v>
      </c>
      <c r="R82" s="4">
        <f>AVERAGE(I82:Q82)</f>
        <v>37.03228451333333</v>
      </c>
      <c r="S82" s="4">
        <f>R82/R75</f>
        <v>201.44693903985316</v>
      </c>
      <c r="T82" s="2">
        <v>20</v>
      </c>
      <c r="U82" s="2">
        <v>4.4194730519999998</v>
      </c>
      <c r="V82" s="2">
        <v>4.4327415180000003</v>
      </c>
      <c r="W82" s="2">
        <v>4.7170657739999999</v>
      </c>
      <c r="X82" s="2">
        <v>5.1586249999999998</v>
      </c>
      <c r="Y82" s="2">
        <v>5.1902900000000001</v>
      </c>
      <c r="Z82" s="2">
        <v>5.1737029999999997</v>
      </c>
      <c r="AA82" s="2">
        <v>5.3852159999999998</v>
      </c>
      <c r="AB82" s="2">
        <v>5.3356680000000001</v>
      </c>
      <c r="AC82" s="2">
        <v>5.2041120000000003</v>
      </c>
      <c r="AD82" s="4">
        <f>AVERAGE(U82:AC82)</f>
        <v>5.0018771493333336</v>
      </c>
      <c r="AE82" s="4">
        <f>AD82/AD76</f>
        <v>558.54645446243831</v>
      </c>
      <c r="AF82" s="2">
        <v>10000</v>
      </c>
      <c r="AG82" s="2">
        <v>26.117204780000002</v>
      </c>
      <c r="AH82" s="2">
        <v>26.763568589999998</v>
      </c>
      <c r="AI82" s="2">
        <v>26.357932649999999</v>
      </c>
      <c r="AJ82" s="2">
        <v>22.286190000000001</v>
      </c>
      <c r="AK82" s="2">
        <v>22.150480000000002</v>
      </c>
      <c r="AL82" s="2">
        <v>19.964110000000002</v>
      </c>
      <c r="AM82" s="2">
        <v>21.336010000000002</v>
      </c>
      <c r="AN82" s="2">
        <v>21.271090000000001</v>
      </c>
      <c r="AO82" s="2">
        <v>21.14124</v>
      </c>
      <c r="AP82" s="4">
        <f>AVERAGE(AG82:AO82)</f>
        <v>23.043091780000001</v>
      </c>
      <c r="AQ82" s="4">
        <f>AP82/AP75</f>
        <v>309.10018660001094</v>
      </c>
      <c r="AU82" s="30"/>
    </row>
    <row r="83" spans="2:49">
      <c r="B83" s="29"/>
      <c r="AU83" s="30"/>
    </row>
    <row r="84" spans="2:49">
      <c r="B84" s="29"/>
      <c r="AU84" s="30"/>
    </row>
    <row r="85" spans="2:49" ht="18.75">
      <c r="B85" s="249" t="s">
        <v>1487</v>
      </c>
      <c r="C85" s="250"/>
      <c r="D85" s="250"/>
      <c r="E85" s="250"/>
      <c r="F85" s="250"/>
      <c r="G85" s="250"/>
      <c r="H85" s="250"/>
      <c r="I85" s="250"/>
      <c r="J85" s="250"/>
      <c r="K85" s="250"/>
      <c r="N85" s="250" t="s">
        <v>1488</v>
      </c>
      <c r="O85" s="250"/>
      <c r="P85" s="250"/>
      <c r="Q85" s="250"/>
      <c r="R85" s="250"/>
      <c r="S85" s="250"/>
      <c r="T85" s="250"/>
      <c r="U85" s="250"/>
      <c r="V85" s="250"/>
      <c r="W85" s="250"/>
      <c r="Z85" s="250" t="s">
        <v>1489</v>
      </c>
      <c r="AA85" s="250"/>
      <c r="AB85" s="250"/>
      <c r="AC85" s="250"/>
      <c r="AD85" s="250"/>
      <c r="AE85" s="250"/>
      <c r="AF85" s="250"/>
      <c r="AG85" s="250"/>
      <c r="AH85" s="250"/>
      <c r="AI85" s="250"/>
      <c r="AL85" s="250" t="s">
        <v>1490</v>
      </c>
      <c r="AM85" s="250"/>
      <c r="AN85" s="250"/>
      <c r="AO85" s="250"/>
      <c r="AP85" s="250"/>
      <c r="AQ85" s="250"/>
      <c r="AR85" s="250"/>
      <c r="AS85" s="250"/>
      <c r="AT85" s="250"/>
      <c r="AU85" s="251"/>
    </row>
    <row r="86" spans="2:49" ht="15.75">
      <c r="B86" s="249" t="s">
        <v>1599</v>
      </c>
      <c r="C86" s="250"/>
      <c r="D86" s="250"/>
      <c r="E86" s="250"/>
      <c r="F86" s="250"/>
      <c r="G86" s="250"/>
      <c r="H86" s="250"/>
      <c r="I86" s="250"/>
      <c r="J86" s="250"/>
      <c r="K86" s="250"/>
      <c r="N86" s="250" t="s">
        <v>1081</v>
      </c>
      <c r="O86" s="250"/>
      <c r="P86" s="250"/>
      <c r="Q86" s="250"/>
      <c r="R86" s="250"/>
      <c r="S86" s="250"/>
      <c r="T86" s="250"/>
      <c r="U86" s="250"/>
      <c r="V86" s="250"/>
      <c r="W86" s="250"/>
      <c r="Z86" s="250" t="s">
        <v>1083</v>
      </c>
      <c r="AA86" s="250"/>
      <c r="AB86" s="250"/>
      <c r="AC86" s="250"/>
      <c r="AD86" s="250"/>
      <c r="AE86" s="250"/>
      <c r="AF86" s="250"/>
      <c r="AG86" s="250"/>
      <c r="AH86" s="250"/>
      <c r="AI86" s="250"/>
      <c r="AL86" s="250" t="s">
        <v>1085</v>
      </c>
      <c r="AM86" s="250"/>
      <c r="AN86" s="250"/>
      <c r="AO86" s="250"/>
      <c r="AP86" s="250"/>
      <c r="AQ86" s="250"/>
      <c r="AR86" s="250"/>
      <c r="AS86" s="250"/>
      <c r="AT86" s="250"/>
      <c r="AU86" s="251"/>
    </row>
    <row r="87" spans="2:49">
      <c r="B87" s="38" t="s">
        <v>1079</v>
      </c>
      <c r="C87" s="235">
        <v>20241025</v>
      </c>
      <c r="D87" s="235"/>
      <c r="E87" s="235"/>
      <c r="F87" s="235" t="s">
        <v>1069</v>
      </c>
      <c r="G87" s="235"/>
      <c r="H87" s="235"/>
      <c r="I87" s="235" t="s">
        <v>1070</v>
      </c>
      <c r="J87" s="235"/>
      <c r="K87" s="235"/>
      <c r="M87" s="4" t="s">
        <v>1485</v>
      </c>
      <c r="N87" s="3" t="s">
        <v>1080</v>
      </c>
      <c r="O87" s="235">
        <v>20241025</v>
      </c>
      <c r="P87" s="235"/>
      <c r="Q87" s="235"/>
      <c r="R87" s="235" t="s">
        <v>1069</v>
      </c>
      <c r="S87" s="235"/>
      <c r="T87" s="235"/>
      <c r="U87" s="235" t="s">
        <v>1070</v>
      </c>
      <c r="V87" s="235"/>
      <c r="W87" s="235"/>
      <c r="Y87" s="4" t="s">
        <v>1485</v>
      </c>
      <c r="Z87" s="3" t="s">
        <v>1082</v>
      </c>
      <c r="AA87" s="235">
        <v>20241025</v>
      </c>
      <c r="AB87" s="235"/>
      <c r="AC87" s="235"/>
      <c r="AD87" s="235" t="s">
        <v>1069</v>
      </c>
      <c r="AE87" s="235"/>
      <c r="AF87" s="235"/>
      <c r="AG87" s="235" t="s">
        <v>1070</v>
      </c>
      <c r="AH87" s="235"/>
      <c r="AI87" s="235"/>
      <c r="AK87" s="4" t="s">
        <v>1485</v>
      </c>
      <c r="AL87" s="3" t="s">
        <v>1084</v>
      </c>
      <c r="AM87" s="235">
        <v>20241025</v>
      </c>
      <c r="AN87" s="235"/>
      <c r="AO87" s="235"/>
      <c r="AP87" s="235" t="s">
        <v>1069</v>
      </c>
      <c r="AQ87" s="235"/>
      <c r="AR87" s="235"/>
      <c r="AS87" s="235" t="s">
        <v>1070</v>
      </c>
      <c r="AT87" s="235"/>
      <c r="AU87" s="236"/>
      <c r="AW87" s="4" t="s">
        <v>1485</v>
      </c>
    </row>
    <row r="88" spans="2:49">
      <c r="B88" s="39">
        <v>0.01</v>
      </c>
      <c r="C88" s="2">
        <v>0.16029569699999999</v>
      </c>
      <c r="D88" s="2">
        <v>0.16029569699999999</v>
      </c>
      <c r="E88" s="2">
        <v>0.169773172</v>
      </c>
      <c r="F88" s="2">
        <v>0.11339</v>
      </c>
      <c r="G88" s="2">
        <v>0.10585</v>
      </c>
      <c r="H88" s="2">
        <v>0.123945</v>
      </c>
      <c r="I88" s="2">
        <v>0.16225300000000001</v>
      </c>
      <c r="J88" s="2">
        <v>0.155419</v>
      </c>
      <c r="K88" s="2">
        <v>0.16054399999999999</v>
      </c>
      <c r="L88" s="4">
        <f>AVERAGE(C88:K88)</f>
        <v>0.14575172955555557</v>
      </c>
      <c r="N88" s="2">
        <v>0.01</v>
      </c>
      <c r="O88" s="2">
        <v>5.8886713E-2</v>
      </c>
      <c r="P88" s="2">
        <v>5.9455360999999998E-2</v>
      </c>
      <c r="Q88" s="2">
        <v>5.8507613999999999E-2</v>
      </c>
      <c r="R88" s="2">
        <v>3.3172E-2</v>
      </c>
      <c r="S88" s="2">
        <v>1.5228999999999999E-2</v>
      </c>
      <c r="T88" s="2">
        <v>2.3824000000000001E-2</v>
      </c>
      <c r="U88" s="2">
        <v>1.7711999999999999E-2</v>
      </c>
      <c r="V88" s="2">
        <v>1.9932999999999999E-2</v>
      </c>
      <c r="W88" s="2">
        <v>1.9932999999999999E-2</v>
      </c>
      <c r="X88" s="4">
        <f>AVERAGE(O88:W88)</f>
        <v>3.4072520888888881E-2</v>
      </c>
      <c r="Z88" s="2">
        <v>1E-3</v>
      </c>
      <c r="AA88" s="2">
        <v>6.0782207999999997E-2</v>
      </c>
      <c r="AB88" s="2">
        <v>6.8932835999999997E-2</v>
      </c>
      <c r="AC88" s="2">
        <v>5.9834459999999999E-2</v>
      </c>
      <c r="AD88" s="2">
        <v>3.1514E-2</v>
      </c>
      <c r="AE88" s="2">
        <v>2.9100999999999998E-2</v>
      </c>
      <c r="AF88" s="2">
        <v>3.6037E-2</v>
      </c>
      <c r="AG88" s="2">
        <v>3.4797000000000002E-2</v>
      </c>
      <c r="AH88" s="2">
        <v>3.1551000000000003E-2</v>
      </c>
      <c r="AI88" s="2">
        <v>3.3430000000000001E-2</v>
      </c>
      <c r="AJ88" s="4">
        <f>AVERAGE(AA88:AI88)</f>
        <v>4.2886611555555558E-2</v>
      </c>
      <c r="AL88" s="2">
        <v>0.01</v>
      </c>
      <c r="AM88" s="2">
        <v>0.11290832100000001</v>
      </c>
      <c r="AN88" s="2">
        <v>0.109117331</v>
      </c>
      <c r="AO88" s="2">
        <v>0.116699311</v>
      </c>
      <c r="AP88" s="2">
        <v>6.9209999999999994E-2</v>
      </c>
      <c r="AQ88" s="2">
        <v>6.7551E-2</v>
      </c>
      <c r="AR88" s="2">
        <v>7.5392000000000001E-2</v>
      </c>
      <c r="AS88" s="2">
        <v>7.7852000000000005E-2</v>
      </c>
      <c r="AT88" s="2">
        <v>8.1951999999999997E-2</v>
      </c>
      <c r="AU88" s="20">
        <v>8.3660999999999999E-2</v>
      </c>
      <c r="AV88" s="4">
        <f>AVERAGE(AM88:AU88)</f>
        <v>8.8260329222222225E-2</v>
      </c>
    </row>
    <row r="89" spans="2:49">
      <c r="B89" s="39">
        <v>0.1</v>
      </c>
      <c r="C89" s="2">
        <v>0.167877677</v>
      </c>
      <c r="D89" s="2">
        <v>0.16598218200000001</v>
      </c>
      <c r="E89" s="2">
        <v>0.16408668700000001</v>
      </c>
      <c r="F89" s="2">
        <v>0.11339</v>
      </c>
      <c r="G89" s="2">
        <v>0.117913</v>
      </c>
      <c r="H89" s="2">
        <v>0.111882</v>
      </c>
      <c r="I89" s="2">
        <v>0.16054399999999999</v>
      </c>
      <c r="J89" s="2">
        <v>0.15712699999999999</v>
      </c>
      <c r="K89" s="2">
        <v>0.16567000000000001</v>
      </c>
      <c r="N89" s="2">
        <v>1</v>
      </c>
      <c r="O89" s="2">
        <v>5.8507613999999999E-2</v>
      </c>
      <c r="P89" s="2">
        <v>5.206293E-2</v>
      </c>
      <c r="Q89" s="2">
        <v>5.3389776999999999E-2</v>
      </c>
      <c r="R89" s="2">
        <v>2.4427000000000001E-2</v>
      </c>
      <c r="S89" s="2">
        <v>1.8546E-2</v>
      </c>
      <c r="T89" s="2">
        <v>2.699E-2</v>
      </c>
      <c r="U89" s="2">
        <v>1.942E-2</v>
      </c>
      <c r="V89" s="2">
        <v>2.0275000000000001E-2</v>
      </c>
      <c r="W89" s="2">
        <v>2.1982999999999999E-2</v>
      </c>
      <c r="Z89" s="2">
        <v>0.01</v>
      </c>
      <c r="AA89" s="2">
        <v>5.8507613999999999E-2</v>
      </c>
      <c r="AB89" s="2">
        <v>5.9834459999999999E-2</v>
      </c>
      <c r="AC89" s="2">
        <v>5.7559866000000001E-2</v>
      </c>
      <c r="AD89" s="2">
        <v>4.5837999999999997E-2</v>
      </c>
      <c r="AE89" s="2">
        <v>4.4179999999999997E-2</v>
      </c>
      <c r="AF89" s="2">
        <v>4.3124000000000003E-2</v>
      </c>
      <c r="AG89" s="2">
        <v>5.6494999999999997E-2</v>
      </c>
      <c r="AH89" s="2">
        <v>5.8715999999999997E-2</v>
      </c>
      <c r="AI89" s="2">
        <v>6.1108000000000003E-2</v>
      </c>
      <c r="AL89" s="2">
        <v>0.1</v>
      </c>
      <c r="AM89" s="2">
        <v>0.116699311</v>
      </c>
      <c r="AN89" s="2">
        <v>0.114803816</v>
      </c>
      <c r="AO89" s="2">
        <v>0.12049030099999999</v>
      </c>
      <c r="AP89" s="2">
        <v>7.5693999999999997E-2</v>
      </c>
      <c r="AQ89" s="2">
        <v>9.3787999999999996E-2</v>
      </c>
      <c r="AR89" s="2">
        <v>8.7756000000000001E-2</v>
      </c>
      <c r="AS89" s="2">
        <v>9.5619999999999997E-2</v>
      </c>
      <c r="AT89" s="2">
        <v>9.2202999999999993E-2</v>
      </c>
      <c r="AU89" s="20">
        <v>9.3911999999999995E-2</v>
      </c>
    </row>
    <row r="90" spans="2:49">
      <c r="B90" s="39">
        <v>1</v>
      </c>
      <c r="C90" s="2">
        <v>0.20957856799999999</v>
      </c>
      <c r="D90" s="2">
        <v>0.20010109300000001</v>
      </c>
      <c r="E90" s="2">
        <v>0.184937133</v>
      </c>
      <c r="F90" s="2">
        <v>0.17219499999999999</v>
      </c>
      <c r="G90" s="2">
        <v>0.187274</v>
      </c>
      <c r="H90" s="2">
        <v>0.19028999999999999</v>
      </c>
      <c r="I90" s="2">
        <v>0.261347</v>
      </c>
      <c r="J90" s="2">
        <v>0.26989000000000002</v>
      </c>
      <c r="K90" s="2">
        <v>0.288684</v>
      </c>
      <c r="N90" s="2">
        <v>5</v>
      </c>
      <c r="O90" s="2">
        <v>0.12996777700000001</v>
      </c>
      <c r="P90" s="2">
        <v>0.131863272</v>
      </c>
      <c r="Q90" s="2">
        <v>0.14513173700000001</v>
      </c>
      <c r="R90" s="2">
        <v>9.2280000000000001E-2</v>
      </c>
      <c r="S90" s="2">
        <v>0.17521100000000001</v>
      </c>
      <c r="T90" s="2">
        <v>0.102835</v>
      </c>
      <c r="U90" s="2">
        <v>0.116123</v>
      </c>
      <c r="V90" s="2">
        <v>0.13320799999999999</v>
      </c>
      <c r="W90" s="2">
        <v>0.140042</v>
      </c>
      <c r="Z90" s="2">
        <v>0.1</v>
      </c>
      <c r="AA90" s="2">
        <v>0.97156757400000004</v>
      </c>
      <c r="AB90" s="2">
        <v>0.74789916000000001</v>
      </c>
      <c r="AC90" s="2">
        <v>0.75737663499999996</v>
      </c>
      <c r="AD90" s="2">
        <v>1.1055489999999999</v>
      </c>
      <c r="AE90" s="2">
        <v>1.1945110000000001</v>
      </c>
      <c r="AF90" s="2">
        <v>1.202051</v>
      </c>
      <c r="AG90" s="2">
        <v>2.2791160000000001</v>
      </c>
      <c r="AH90" s="2">
        <v>2.4055469999999999</v>
      </c>
      <c r="AI90" s="2">
        <v>2.3747940000000001</v>
      </c>
      <c r="AL90" s="2">
        <v>0.5</v>
      </c>
      <c r="AM90" s="2">
        <v>0.17356416299999999</v>
      </c>
      <c r="AN90" s="2">
        <v>0.17356416299999999</v>
      </c>
      <c r="AO90" s="2">
        <v>0.17356416299999999</v>
      </c>
      <c r="AP90" s="2">
        <v>0.10585</v>
      </c>
      <c r="AQ90" s="2">
        <v>0.108866</v>
      </c>
      <c r="AR90" s="2">
        <v>0.111882</v>
      </c>
      <c r="AS90" s="2">
        <v>0.11783100000000001</v>
      </c>
      <c r="AT90" s="2">
        <v>0.114414</v>
      </c>
      <c r="AU90" s="20">
        <v>0.11783100000000001</v>
      </c>
    </row>
    <row r="91" spans="2:49">
      <c r="B91" s="39">
        <v>10</v>
      </c>
      <c r="C91" s="2">
        <v>6.6485752199999997</v>
      </c>
      <c r="D91" s="2">
        <v>6.4874581410000003</v>
      </c>
      <c r="E91" s="2">
        <v>5.4563088390000001</v>
      </c>
      <c r="F91" s="2">
        <v>5.4873339999999997</v>
      </c>
      <c r="G91" s="2">
        <v>5.5551870000000001</v>
      </c>
      <c r="H91" s="2">
        <v>5.6064540000000003</v>
      </c>
      <c r="I91" s="2">
        <v>10.83883</v>
      </c>
      <c r="J91" s="2">
        <v>10.60989</v>
      </c>
      <c r="K91" s="2">
        <v>10.83883</v>
      </c>
      <c r="N91" s="2">
        <v>10</v>
      </c>
      <c r="O91" s="2">
        <v>0.42376950800000002</v>
      </c>
      <c r="P91" s="2">
        <v>0.40481455700000002</v>
      </c>
      <c r="Q91" s="2">
        <v>0.42566500299999999</v>
      </c>
      <c r="R91" s="2">
        <v>0.35916799999999999</v>
      </c>
      <c r="S91" s="2">
        <v>0.37726199999999999</v>
      </c>
      <c r="T91" s="2">
        <v>0.402895</v>
      </c>
      <c r="U91" s="2">
        <v>0.58767599999999998</v>
      </c>
      <c r="V91" s="2">
        <v>0.59280100000000002</v>
      </c>
      <c r="W91" s="2">
        <v>0.611595</v>
      </c>
      <c r="Z91" s="2">
        <v>0.5</v>
      </c>
      <c r="AA91" s="2">
        <v>11.25273267</v>
      </c>
      <c r="AB91" s="2">
        <v>9.861439313</v>
      </c>
      <c r="AC91" s="2">
        <v>9.8917672329999995</v>
      </c>
      <c r="AD91" s="2">
        <v>13.29041</v>
      </c>
      <c r="AE91" s="2">
        <v>13.41405</v>
      </c>
      <c r="AF91" s="2">
        <v>13.661339999999999</v>
      </c>
      <c r="AG91" s="2">
        <v>16.19847</v>
      </c>
      <c r="AH91" s="2">
        <v>16.449629999999999</v>
      </c>
      <c r="AI91" s="2">
        <v>17.01173</v>
      </c>
      <c r="AL91" s="2">
        <v>1</v>
      </c>
      <c r="AM91" s="2">
        <v>0.21336955799999999</v>
      </c>
      <c r="AN91" s="2">
        <v>0.21526505300000001</v>
      </c>
      <c r="AO91" s="2">
        <v>0.23422000400000001</v>
      </c>
      <c r="AP91" s="2">
        <v>0.13148399999999999</v>
      </c>
      <c r="AQ91" s="2">
        <v>0.12545200000000001</v>
      </c>
      <c r="AR91" s="2">
        <v>0.119421</v>
      </c>
      <c r="AS91" s="2">
        <v>0.15029300000000001</v>
      </c>
      <c r="AT91" s="2">
        <v>0.14516799999999999</v>
      </c>
      <c r="AU91" s="20">
        <v>0.163962</v>
      </c>
    </row>
    <row r="92" spans="2:49">
      <c r="B92" s="39">
        <v>50</v>
      </c>
      <c r="C92" s="2">
        <v>28.103683579999998</v>
      </c>
      <c r="D92" s="2">
        <v>27.42509635</v>
      </c>
      <c r="E92" s="2">
        <v>27.341694570000001</v>
      </c>
      <c r="F92" s="2">
        <v>17.081119999999999</v>
      </c>
      <c r="G92" s="2">
        <v>17.133900000000001</v>
      </c>
      <c r="H92" s="2">
        <v>17.55911</v>
      </c>
      <c r="I92" s="2">
        <v>20.069990000000001</v>
      </c>
      <c r="J92" s="2">
        <v>20.756820000000001</v>
      </c>
      <c r="K92" s="2">
        <v>21.14124</v>
      </c>
      <c r="N92" s="2">
        <v>20</v>
      </c>
      <c r="O92" s="2">
        <v>4.6147090420000003</v>
      </c>
      <c r="P92" s="2">
        <v>4.3910406269999998</v>
      </c>
      <c r="Q92" s="2">
        <v>4.5730081509999998</v>
      </c>
      <c r="R92" s="2">
        <v>1.931846</v>
      </c>
      <c r="S92" s="2">
        <v>1.987636</v>
      </c>
      <c r="T92" s="2">
        <v>2.1776239999999998</v>
      </c>
      <c r="U92" s="2">
        <v>2.3235380000000001</v>
      </c>
      <c r="V92" s="2">
        <v>2.2791160000000001</v>
      </c>
      <c r="W92" s="2">
        <v>2.3525830000000001</v>
      </c>
      <c r="Z92" s="2">
        <v>1</v>
      </c>
      <c r="AA92" s="2">
        <v>16.507044919999998</v>
      </c>
      <c r="AB92" s="2">
        <v>14.558476020000001</v>
      </c>
      <c r="AC92" s="2">
        <v>14.38219498</v>
      </c>
      <c r="AD92" s="2">
        <v>20.522010000000002</v>
      </c>
      <c r="AE92" s="2">
        <v>20.900480000000002</v>
      </c>
      <c r="AF92" s="2">
        <v>20.965319999999998</v>
      </c>
      <c r="AG92" s="2">
        <v>23.244430000000001</v>
      </c>
      <c r="AH92" s="2">
        <v>23.457999999999998</v>
      </c>
      <c r="AI92" s="2">
        <v>24.038900000000002</v>
      </c>
      <c r="AL92" s="2">
        <v>5</v>
      </c>
      <c r="AM92" s="2">
        <v>0.69861628899999995</v>
      </c>
      <c r="AN92" s="2">
        <v>0.62469198199999998</v>
      </c>
      <c r="AO92" s="2">
        <v>0.58299109100000002</v>
      </c>
      <c r="AP92" s="2">
        <v>0.360676</v>
      </c>
      <c r="AQ92" s="2">
        <v>0.29583799999999999</v>
      </c>
      <c r="AR92" s="2">
        <v>0.31996400000000003</v>
      </c>
      <c r="AS92" s="2">
        <v>0.42024</v>
      </c>
      <c r="AT92" s="2">
        <v>0.39973799999999998</v>
      </c>
      <c r="AU92" s="20">
        <v>0.40998899999999999</v>
      </c>
    </row>
    <row r="93" spans="2:49">
      <c r="B93" s="39">
        <v>100</v>
      </c>
      <c r="C93" s="2">
        <v>30.427560499999998</v>
      </c>
      <c r="D93" s="2">
        <v>30.520439750000001</v>
      </c>
      <c r="E93" s="2">
        <v>30.150818220000001</v>
      </c>
      <c r="F93" s="2">
        <v>27.768699999999999</v>
      </c>
      <c r="G93" s="2">
        <v>28.282869999999999</v>
      </c>
      <c r="H93" s="2">
        <v>28.45627</v>
      </c>
      <c r="I93" s="2">
        <v>29.501049999999999</v>
      </c>
      <c r="J93" s="2">
        <v>29.86326</v>
      </c>
      <c r="K93" s="2">
        <v>29.86326</v>
      </c>
      <c r="N93" s="2">
        <v>50</v>
      </c>
      <c r="O93" s="2">
        <v>4.673469388</v>
      </c>
      <c r="P93" s="2">
        <v>4.9255702279999998</v>
      </c>
      <c r="Q93" s="2">
        <v>5.25728186</v>
      </c>
      <c r="R93" s="2">
        <v>5.3863089999999998</v>
      </c>
      <c r="S93" s="2">
        <v>5.4526539999999999</v>
      </c>
      <c r="T93" s="2">
        <v>5.5898669999999999</v>
      </c>
      <c r="U93" s="2">
        <v>5.1887350000000003</v>
      </c>
      <c r="V93" s="2">
        <v>5.2536589999999999</v>
      </c>
      <c r="W93" s="2">
        <v>5.2365740000000001</v>
      </c>
      <c r="Z93" s="2">
        <v>5</v>
      </c>
      <c r="AA93" s="2">
        <v>26.92847665</v>
      </c>
      <c r="AB93" s="2">
        <v>26.03759398</v>
      </c>
      <c r="AC93" s="2">
        <v>25.643331020000002</v>
      </c>
      <c r="AD93" s="2">
        <v>24.128769999999999</v>
      </c>
      <c r="AE93" s="2">
        <v>24.05489</v>
      </c>
      <c r="AF93" s="2">
        <v>24.801269999999999</v>
      </c>
      <c r="AG93" s="2">
        <v>26.027619999999999</v>
      </c>
      <c r="AH93" s="2">
        <v>26.917760000000001</v>
      </c>
      <c r="AI93" s="2">
        <v>26.509429999999998</v>
      </c>
      <c r="AL93" s="2">
        <v>10</v>
      </c>
      <c r="AM93" s="2">
        <v>0.97346306900000001</v>
      </c>
      <c r="AN93" s="2">
        <v>1.030327921</v>
      </c>
      <c r="AO93" s="2">
        <v>0.99052252500000004</v>
      </c>
      <c r="AP93" s="2">
        <v>0.57780500000000001</v>
      </c>
      <c r="AQ93" s="2">
        <v>1.205066</v>
      </c>
      <c r="AR93" s="2">
        <v>0.62304000000000004</v>
      </c>
      <c r="AS93" s="2">
        <v>0.697021</v>
      </c>
      <c r="AT93" s="2">
        <v>0.67310199999999998</v>
      </c>
      <c r="AU93" s="20">
        <v>0.68335299999999999</v>
      </c>
    </row>
    <row r="94" spans="2:49">
      <c r="B94" s="39">
        <v>500</v>
      </c>
      <c r="C94" s="2">
        <v>30.057938969999999</v>
      </c>
      <c r="D94" s="2">
        <v>30.708093760000001</v>
      </c>
      <c r="E94" s="2">
        <v>30.89574777</v>
      </c>
      <c r="F94" s="2">
        <v>30.713509999999999</v>
      </c>
      <c r="G94" s="2">
        <v>31.185459999999999</v>
      </c>
      <c r="H94" s="2">
        <v>30.995480000000001</v>
      </c>
      <c r="I94" s="2">
        <v>31.359929999999999</v>
      </c>
      <c r="J94" s="2">
        <v>31.74606</v>
      </c>
      <c r="K94" s="2">
        <v>31.552990000000001</v>
      </c>
      <c r="N94" s="2">
        <v>100</v>
      </c>
      <c r="O94" s="2">
        <v>9.2719403549999999</v>
      </c>
      <c r="P94" s="2">
        <v>8.7468882289999996</v>
      </c>
      <c r="Q94" s="2">
        <v>8.9648701590000002</v>
      </c>
      <c r="R94" s="2">
        <v>7.6510860000000003</v>
      </c>
      <c r="S94" s="2">
        <v>7.5349820000000003</v>
      </c>
      <c r="T94" s="2">
        <v>7.5817249999999996</v>
      </c>
      <c r="U94" s="2">
        <v>7.0681130000000003</v>
      </c>
      <c r="V94" s="2">
        <v>6.9382650000000003</v>
      </c>
      <c r="W94" s="2">
        <v>7.0681130000000003</v>
      </c>
      <c r="Z94" s="2">
        <v>10</v>
      </c>
      <c r="AA94" s="2">
        <v>28.19087635</v>
      </c>
      <c r="AB94" s="2">
        <v>26.03759398</v>
      </c>
      <c r="AC94" s="2">
        <v>27.17489101</v>
      </c>
      <c r="AD94" s="2">
        <v>24.351929999999999</v>
      </c>
      <c r="AE94" s="2">
        <v>24.878170000000001</v>
      </c>
      <c r="AF94" s="2">
        <v>26.123640000000002</v>
      </c>
      <c r="AG94" s="2">
        <v>27.58409</v>
      </c>
      <c r="AH94" s="2">
        <v>28.18036</v>
      </c>
      <c r="AI94" s="2">
        <v>27.92238</v>
      </c>
      <c r="AL94" s="2">
        <v>100</v>
      </c>
      <c r="AM94" s="2">
        <v>3.6897074619999999</v>
      </c>
      <c r="AN94" s="2">
        <v>3.7351993430000001</v>
      </c>
      <c r="AO94" s="2">
        <v>3.712453402</v>
      </c>
      <c r="AP94" s="2">
        <v>2.4234019999999998</v>
      </c>
      <c r="AQ94" s="2">
        <v>2.298251</v>
      </c>
      <c r="AR94" s="2">
        <v>2.3118210000000001</v>
      </c>
      <c r="AS94" s="2">
        <v>2.3235380000000001</v>
      </c>
      <c r="AT94" s="2">
        <v>2.3167040000000001</v>
      </c>
      <c r="AU94" s="20">
        <v>2.3987129999999999</v>
      </c>
    </row>
    <row r="95" spans="2:49">
      <c r="B95" s="39">
        <v>1000</v>
      </c>
      <c r="C95" s="2">
        <v>28.53775194</v>
      </c>
      <c r="D95" s="2">
        <v>29.331964360000001</v>
      </c>
      <c r="E95" s="2">
        <v>29.153787829999999</v>
      </c>
      <c r="F95" s="2">
        <v>30.526540000000001</v>
      </c>
      <c r="G95" s="2">
        <v>30.247589999999999</v>
      </c>
      <c r="H95" s="2">
        <v>30.61852</v>
      </c>
      <c r="I95" s="2">
        <v>29.86326</v>
      </c>
      <c r="J95" s="2">
        <v>31.07461</v>
      </c>
      <c r="K95" s="2">
        <v>30.790990000000001</v>
      </c>
      <c r="L95" s="4">
        <f>AVERAGE(C95:K95)</f>
        <v>30.01611268111111</v>
      </c>
      <c r="M95" s="4">
        <f>L95/L88</f>
        <v>205.94001026704794</v>
      </c>
      <c r="N95" s="2">
        <v>1000</v>
      </c>
      <c r="O95" s="2">
        <v>12.261136029999999</v>
      </c>
      <c r="P95" s="2">
        <v>11.391103810000001</v>
      </c>
      <c r="Q95" s="2">
        <v>11.53137044</v>
      </c>
      <c r="R95" s="2">
        <v>10.659230000000001</v>
      </c>
      <c r="S95" s="2">
        <v>9.8721350000000001</v>
      </c>
      <c r="T95" s="2">
        <v>9.8419779999999992</v>
      </c>
      <c r="U95" s="2">
        <v>9.3524119999999993</v>
      </c>
      <c r="V95" s="2">
        <v>9.154223</v>
      </c>
      <c r="W95" s="2">
        <v>9.2379409999999993</v>
      </c>
      <c r="X95" s="4">
        <f>AVERAGE(O95:W95)</f>
        <v>10.366836586666668</v>
      </c>
      <c r="Y95" s="4">
        <f>X95/X88</f>
        <v>304.25798609011389</v>
      </c>
      <c r="Z95" s="2">
        <v>100</v>
      </c>
      <c r="AA95" s="2">
        <v>28.975611300000001</v>
      </c>
      <c r="AB95" s="2">
        <v>27.09338472</v>
      </c>
      <c r="AC95" s="2">
        <v>26.600556009999998</v>
      </c>
      <c r="AD95" s="2">
        <v>27.18215</v>
      </c>
      <c r="AE95" s="2">
        <v>27.016279999999998</v>
      </c>
      <c r="AF95" s="2">
        <v>26.851929999999999</v>
      </c>
      <c r="AG95" s="2">
        <v>28.87744</v>
      </c>
      <c r="AH95" s="2">
        <v>29.053419999999999</v>
      </c>
      <c r="AI95" s="2">
        <v>28.87744</v>
      </c>
      <c r="AJ95" s="4">
        <f>AVERAGE(AA95:AI95)</f>
        <v>27.836468003333337</v>
      </c>
      <c r="AK95" s="4">
        <f>AJ95/AJ88</f>
        <v>649.07128340679981</v>
      </c>
      <c r="AL95" s="2">
        <v>1000</v>
      </c>
      <c r="AM95" s="2">
        <v>5.6629177989999997</v>
      </c>
      <c r="AN95" s="2">
        <v>5.6269033930000001</v>
      </c>
      <c r="AO95" s="2">
        <v>5.5757250269999998</v>
      </c>
      <c r="AP95" s="2">
        <v>3.6809409999999998</v>
      </c>
      <c r="AQ95" s="2">
        <v>3.5904699999999998</v>
      </c>
      <c r="AR95" s="2">
        <v>3.5030160000000001</v>
      </c>
      <c r="AS95" s="2">
        <v>3.4631240000000001</v>
      </c>
      <c r="AT95" s="2">
        <v>3.4204110000000001</v>
      </c>
      <c r="AU95" s="20">
        <v>3.4204110000000001</v>
      </c>
      <c r="AV95" s="4">
        <f>AVERAGE(AM95:AU95)</f>
        <v>4.2159910243333334</v>
      </c>
      <c r="AW95" s="4">
        <f>AV95/AV88</f>
        <v>47.767678429096875</v>
      </c>
    </row>
    <row r="96" spans="2:49">
      <c r="B96" s="29"/>
      <c r="AU96" s="30"/>
    </row>
    <row r="97" spans="2:49">
      <c r="B97" s="29"/>
      <c r="AU97" s="30"/>
    </row>
    <row r="98" spans="2:49">
      <c r="B98" s="29"/>
      <c r="AU98" s="30"/>
    </row>
    <row r="99" spans="2:49">
      <c r="B99" s="29"/>
      <c r="AU99" s="30"/>
    </row>
    <row r="100" spans="2:49" ht="18.75">
      <c r="B100" s="249" t="s">
        <v>1494</v>
      </c>
      <c r="C100" s="250"/>
      <c r="D100" s="250"/>
      <c r="E100" s="250"/>
      <c r="F100" s="250"/>
      <c r="G100" s="250"/>
      <c r="H100" s="250"/>
      <c r="I100" s="250"/>
      <c r="J100" s="250"/>
      <c r="K100" s="250"/>
      <c r="N100" s="250" t="s">
        <v>1493</v>
      </c>
      <c r="O100" s="250"/>
      <c r="P100" s="250"/>
      <c r="Q100" s="250"/>
      <c r="R100" s="250"/>
      <c r="S100" s="250"/>
      <c r="T100" s="250"/>
      <c r="U100" s="250"/>
      <c r="V100" s="250"/>
      <c r="W100" s="250"/>
      <c r="Z100" s="250" t="s">
        <v>1492</v>
      </c>
      <c r="AA100" s="250"/>
      <c r="AB100" s="250"/>
      <c r="AC100" s="250"/>
      <c r="AD100" s="250"/>
      <c r="AE100" s="250"/>
      <c r="AF100" s="250"/>
      <c r="AG100" s="250"/>
      <c r="AH100" s="250"/>
      <c r="AI100" s="250"/>
      <c r="AL100" s="250" t="s">
        <v>1491</v>
      </c>
      <c r="AM100" s="250"/>
      <c r="AN100" s="250"/>
      <c r="AO100" s="250"/>
      <c r="AP100" s="250"/>
      <c r="AQ100" s="250"/>
      <c r="AR100" s="250"/>
      <c r="AS100" s="250"/>
      <c r="AT100" s="250"/>
      <c r="AU100" s="251"/>
    </row>
    <row r="101" spans="2:49" ht="15.75">
      <c r="B101" s="249" t="s">
        <v>1086</v>
      </c>
      <c r="C101" s="250"/>
      <c r="D101" s="250"/>
      <c r="E101" s="250"/>
      <c r="F101" s="250"/>
      <c r="G101" s="250"/>
      <c r="H101" s="250"/>
      <c r="I101" s="250"/>
      <c r="J101" s="250"/>
      <c r="K101" s="250"/>
      <c r="N101" s="250" t="s">
        <v>1567</v>
      </c>
      <c r="O101" s="250"/>
      <c r="P101" s="250"/>
      <c r="Q101" s="250"/>
      <c r="R101" s="250"/>
      <c r="S101" s="250"/>
      <c r="T101" s="250"/>
      <c r="U101" s="250"/>
      <c r="V101" s="250"/>
      <c r="W101" s="250"/>
      <c r="Z101" s="250" t="s">
        <v>1089</v>
      </c>
      <c r="AA101" s="250"/>
      <c r="AB101" s="250"/>
      <c r="AC101" s="250"/>
      <c r="AD101" s="250"/>
      <c r="AE101" s="250"/>
      <c r="AF101" s="250"/>
      <c r="AG101" s="250"/>
      <c r="AH101" s="250"/>
      <c r="AI101" s="250"/>
      <c r="AL101" s="250" t="s">
        <v>1092</v>
      </c>
      <c r="AM101" s="250"/>
      <c r="AN101" s="250"/>
      <c r="AO101" s="250"/>
      <c r="AP101" s="250"/>
      <c r="AQ101" s="250"/>
      <c r="AR101" s="250"/>
      <c r="AS101" s="250"/>
      <c r="AT101" s="250"/>
      <c r="AU101" s="251"/>
    </row>
    <row r="102" spans="2:49">
      <c r="B102" s="38" t="s">
        <v>728</v>
      </c>
      <c r="C102" s="235">
        <v>20241025</v>
      </c>
      <c r="D102" s="235"/>
      <c r="E102" s="235"/>
      <c r="F102" s="235" t="s">
        <v>1069</v>
      </c>
      <c r="G102" s="235"/>
      <c r="H102" s="235"/>
      <c r="I102" s="235" t="s">
        <v>1070</v>
      </c>
      <c r="J102" s="235"/>
      <c r="K102" s="235"/>
      <c r="M102" s="4" t="s">
        <v>1485</v>
      </c>
      <c r="N102" s="3" t="s">
        <v>1088</v>
      </c>
      <c r="O102" s="235">
        <v>20241025</v>
      </c>
      <c r="P102" s="235"/>
      <c r="Q102" s="235"/>
      <c r="R102" s="235" t="s">
        <v>1069</v>
      </c>
      <c r="S102" s="235"/>
      <c r="T102" s="235"/>
      <c r="U102" s="235" t="s">
        <v>1070</v>
      </c>
      <c r="V102" s="235"/>
      <c r="W102" s="235"/>
      <c r="Y102" s="4" t="s">
        <v>1485</v>
      </c>
      <c r="Z102" s="3" t="s">
        <v>1087</v>
      </c>
      <c r="AA102" s="235" t="s">
        <v>1069</v>
      </c>
      <c r="AB102" s="235"/>
      <c r="AC102" s="235"/>
      <c r="AD102" s="235" t="s">
        <v>1070</v>
      </c>
      <c r="AE102" s="235"/>
      <c r="AF102" s="235"/>
      <c r="AG102" s="235" t="s">
        <v>1484</v>
      </c>
      <c r="AH102" s="235"/>
      <c r="AI102" s="235"/>
      <c r="AL102" s="3" t="s">
        <v>1090</v>
      </c>
      <c r="AM102" s="235">
        <v>20241025</v>
      </c>
      <c r="AN102" s="235"/>
      <c r="AO102" s="235"/>
      <c r="AP102" s="235" t="s">
        <v>1069</v>
      </c>
      <c r="AQ102" s="235"/>
      <c r="AR102" s="235"/>
      <c r="AS102" s="235" t="s">
        <v>1070</v>
      </c>
      <c r="AT102" s="235"/>
      <c r="AU102" s="236"/>
      <c r="AW102" s="4" t="s">
        <v>1485</v>
      </c>
    </row>
    <row r="103" spans="2:49">
      <c r="B103" s="39">
        <v>0.01</v>
      </c>
      <c r="C103" s="2">
        <v>0.111012826</v>
      </c>
      <c r="D103" s="2">
        <v>0.109117331</v>
      </c>
      <c r="E103" s="2">
        <v>0.114803816</v>
      </c>
      <c r="F103" s="2">
        <v>3.2267999999999998E-2</v>
      </c>
      <c r="G103" s="2">
        <v>3.1966224000000001E-2</v>
      </c>
      <c r="H103" s="2">
        <v>2.5180999999999999E-2</v>
      </c>
      <c r="I103" s="2">
        <v>5.9741000000000002E-2</v>
      </c>
      <c r="J103" s="2">
        <v>5.8715999999999997E-2</v>
      </c>
      <c r="K103" s="2">
        <v>5.7008000000000003E-2</v>
      </c>
      <c r="L103" s="4">
        <f>AVERAGE(C103:K103)</f>
        <v>6.6646021888888879E-2</v>
      </c>
      <c r="N103" s="2">
        <v>1E-3</v>
      </c>
      <c r="O103" s="2">
        <v>9.4427245000000007E-2</v>
      </c>
      <c r="P103" s="2">
        <v>9.1695501999999998E-2</v>
      </c>
      <c r="Q103" s="2">
        <v>9.7158987000000002E-2</v>
      </c>
      <c r="R103" s="2">
        <v>5.0210999999999999E-2</v>
      </c>
      <c r="S103" s="2">
        <v>4.9155999999999998E-2</v>
      </c>
      <c r="T103" s="2">
        <v>5.5488999999999997E-2</v>
      </c>
      <c r="U103" s="2">
        <v>9.3911999999999995E-2</v>
      </c>
      <c r="V103" s="2">
        <v>9.2202999999999993E-2</v>
      </c>
      <c r="W103" s="2">
        <v>9.5619999999999997E-2</v>
      </c>
      <c r="X103" s="4">
        <f>AVERAGE(O103:W103)</f>
        <v>7.998585933333334E-2</v>
      </c>
      <c r="Z103" s="4">
        <v>0.01</v>
      </c>
      <c r="AA103" s="2">
        <v>0.17116630699999999</v>
      </c>
      <c r="AB103" s="2">
        <v>0.19222462200000001</v>
      </c>
      <c r="AC103" s="2">
        <v>0.187365011</v>
      </c>
      <c r="AD103" s="2">
        <v>0.14957799999999999</v>
      </c>
      <c r="AE103" s="2">
        <v>0.15410099999999999</v>
      </c>
      <c r="AF103" s="2">
        <v>0.155609</v>
      </c>
      <c r="AG103" s="4">
        <f>AVERAGE(AA103:AF103)</f>
        <v>0.16834065666666667</v>
      </c>
      <c r="AI103" s="2"/>
      <c r="AL103" s="2">
        <v>0.01</v>
      </c>
      <c r="AM103" s="2">
        <v>3.1387514999999998E-2</v>
      </c>
      <c r="AN103" s="2">
        <v>2.5896646999999998E-2</v>
      </c>
      <c r="AO103" s="2">
        <v>3.1037034000000002E-2</v>
      </c>
      <c r="AP103" s="2">
        <v>2.1864000000000001E-2</v>
      </c>
      <c r="AQ103" s="10" t="s">
        <v>1091</v>
      </c>
      <c r="AR103" s="2">
        <v>1.8245000000000001E-2</v>
      </c>
      <c r="AS103" s="2">
        <v>6.1449999999999998E-2</v>
      </c>
      <c r="AT103" s="2">
        <v>5.8375000000000003E-2</v>
      </c>
      <c r="AU103" s="20">
        <v>6.4353999999999995E-2</v>
      </c>
      <c r="AV103" s="4">
        <f>AVERAGE(AM103:AU103)</f>
        <v>3.9076149500000004E-2</v>
      </c>
    </row>
    <row r="104" spans="2:49">
      <c r="B104" s="39">
        <v>0.1</v>
      </c>
      <c r="C104" s="2">
        <v>0.107221836</v>
      </c>
      <c r="D104" s="2">
        <v>0.10343084600000001</v>
      </c>
      <c r="E104" s="2">
        <v>0.111012826</v>
      </c>
      <c r="F104" s="2">
        <v>3.6942000000000003E-2</v>
      </c>
      <c r="G104" s="2">
        <v>3.7696018999999997E-2</v>
      </c>
      <c r="H104" s="2">
        <v>3.9355000000000001E-2</v>
      </c>
      <c r="I104" s="2">
        <v>6.4696000000000004E-2</v>
      </c>
      <c r="J104" s="2">
        <v>6.2816999999999998E-2</v>
      </c>
      <c r="K104" s="2">
        <v>6.5209000000000003E-2</v>
      </c>
      <c r="N104" s="2">
        <v>0.01</v>
      </c>
      <c r="O104" s="2">
        <v>0.132671645</v>
      </c>
      <c r="P104" s="2">
        <v>0.14359861600000001</v>
      </c>
      <c r="Q104" s="2">
        <v>0.13540338699999999</v>
      </c>
      <c r="R104" s="2">
        <v>5.7449E-2</v>
      </c>
      <c r="S104" s="2">
        <v>6.3028000000000001E-2</v>
      </c>
      <c r="T104" s="2">
        <v>6.2122999999999998E-2</v>
      </c>
      <c r="U104" s="2">
        <v>0.10758</v>
      </c>
      <c r="V104" s="2">
        <v>0.110997</v>
      </c>
      <c r="W104" s="2">
        <v>0.110997</v>
      </c>
      <c r="Z104" s="4">
        <v>1</v>
      </c>
      <c r="AA104" s="2">
        <v>0.187365011</v>
      </c>
      <c r="AB104" s="2">
        <v>0.197084233</v>
      </c>
      <c r="AC104" s="2">
        <v>0.19222462200000001</v>
      </c>
      <c r="AD104" s="2">
        <v>0.155609</v>
      </c>
      <c r="AE104" s="2">
        <v>0.15862499999999999</v>
      </c>
      <c r="AF104" s="2">
        <v>0.160133</v>
      </c>
      <c r="AI104" s="2"/>
      <c r="AL104" s="2">
        <v>0.1</v>
      </c>
      <c r="AM104" s="2">
        <v>2.7532225E-2</v>
      </c>
      <c r="AN104" s="2">
        <v>2.5896646999999998E-2</v>
      </c>
      <c r="AO104" s="2">
        <v>2.5896646999999998E-2</v>
      </c>
      <c r="AP104" s="2">
        <v>2.3220999999999999E-2</v>
      </c>
      <c r="AQ104" s="2">
        <v>1.6586E-2</v>
      </c>
      <c r="AR104" s="2">
        <v>2.2617999999999999E-2</v>
      </c>
      <c r="AS104" s="2">
        <v>6.2475000000000003E-2</v>
      </c>
      <c r="AT104" s="2">
        <v>6.0082999999999998E-2</v>
      </c>
      <c r="AU104" s="20">
        <v>6.3328999999999996E-2</v>
      </c>
    </row>
    <row r="105" spans="2:49">
      <c r="B105" s="39">
        <v>1</v>
      </c>
      <c r="C105" s="2">
        <v>0.135654262</v>
      </c>
      <c r="D105" s="2">
        <v>0.131863272</v>
      </c>
      <c r="E105" s="2">
        <v>0.12807228200000001</v>
      </c>
      <c r="F105" s="2">
        <v>4.5234999999999997E-2</v>
      </c>
      <c r="G105" s="2">
        <v>6.0162846999999998E-2</v>
      </c>
      <c r="H105" s="2">
        <v>4.4783000000000003E-2</v>
      </c>
      <c r="I105" s="2">
        <v>7.2897000000000003E-2</v>
      </c>
      <c r="J105" s="2">
        <v>6.8967000000000001E-2</v>
      </c>
      <c r="K105" s="2">
        <v>6.4353999999999995E-2</v>
      </c>
      <c r="N105" s="2">
        <v>0.1</v>
      </c>
      <c r="O105" s="2">
        <v>2.2484064830000001</v>
      </c>
      <c r="P105" s="2">
        <v>2.5024585689999999</v>
      </c>
      <c r="Q105" s="2">
        <v>2.690948825</v>
      </c>
      <c r="R105" s="65">
        <v>7.4940000000000007E-2</v>
      </c>
      <c r="S105" s="65">
        <v>7.6146000000000005E-2</v>
      </c>
      <c r="T105" s="65">
        <v>8.1725000000000006E-2</v>
      </c>
      <c r="U105" s="2">
        <v>0.43219999999999997</v>
      </c>
      <c r="V105" s="2">
        <v>0.32627099999999998</v>
      </c>
      <c r="W105" s="2">
        <v>0.57571600000000001</v>
      </c>
      <c r="Z105" s="4">
        <v>5</v>
      </c>
      <c r="AA105" s="2">
        <v>0.28131749499999997</v>
      </c>
      <c r="AB105" s="2">
        <v>0.29751619899999998</v>
      </c>
      <c r="AC105" s="2">
        <v>0.291036717</v>
      </c>
      <c r="AD105" s="2">
        <v>0.310917</v>
      </c>
      <c r="AE105" s="2">
        <v>0.310917</v>
      </c>
      <c r="AF105" s="2">
        <v>0.30488500000000002</v>
      </c>
      <c r="AI105" s="2"/>
      <c r="AL105" s="2">
        <v>1</v>
      </c>
      <c r="AM105" s="2">
        <v>3.8747614999999999E-2</v>
      </c>
      <c r="AN105" s="2">
        <v>3.6761556000000001E-2</v>
      </c>
      <c r="AO105" s="2">
        <v>3.8046653E-2</v>
      </c>
      <c r="AP105" s="2">
        <v>1.8998999999999999E-2</v>
      </c>
      <c r="AQ105" s="2">
        <v>1.9602000000000001E-2</v>
      </c>
      <c r="AR105" s="2">
        <v>2.2315999999999999E-2</v>
      </c>
      <c r="AS105" s="2">
        <v>8.0926999999999999E-2</v>
      </c>
      <c r="AT105" s="2">
        <v>7.4947E-2</v>
      </c>
      <c r="AU105" s="20">
        <v>7.4947E-2</v>
      </c>
    </row>
    <row r="106" spans="2:49">
      <c r="B106" s="39">
        <v>5</v>
      </c>
      <c r="C106" s="2">
        <v>0.47305237900000002</v>
      </c>
      <c r="D106" s="2">
        <v>0.48632084399999997</v>
      </c>
      <c r="E106" s="2">
        <v>0.53560371500000004</v>
      </c>
      <c r="F106" s="2">
        <v>0.15862499999999999</v>
      </c>
      <c r="G106" s="2">
        <v>0.164656212</v>
      </c>
      <c r="H106" s="2">
        <v>0.22497</v>
      </c>
      <c r="I106" s="2">
        <v>0.28697499999999998</v>
      </c>
      <c r="J106" s="2">
        <v>0.21521699999999999</v>
      </c>
      <c r="K106" s="2">
        <v>0.26647300000000002</v>
      </c>
      <c r="N106" s="2">
        <v>0.5</v>
      </c>
      <c r="O106" s="2">
        <v>8.472682571</v>
      </c>
      <c r="P106" s="2">
        <v>9.2621562560000008</v>
      </c>
      <c r="Q106" s="2">
        <v>9.233472956</v>
      </c>
      <c r="R106" s="2">
        <v>5.4692400000000001</v>
      </c>
      <c r="S106" s="2">
        <v>5.286791</v>
      </c>
      <c r="T106" s="2">
        <v>6.3422799999999997</v>
      </c>
      <c r="U106" s="2">
        <v>7.1552480000000003</v>
      </c>
      <c r="V106" s="2">
        <v>6.442793</v>
      </c>
      <c r="W106" s="2">
        <v>6.3829940000000001</v>
      </c>
      <c r="Z106" s="4">
        <v>10</v>
      </c>
      <c r="AA106" s="2">
        <v>0.65226781899999997</v>
      </c>
      <c r="AB106" s="2">
        <v>0.69924405999999995</v>
      </c>
      <c r="AC106" s="2">
        <v>0.66846652299999998</v>
      </c>
      <c r="AD106" s="2">
        <v>1.0452349999999999</v>
      </c>
      <c r="AE106" s="2">
        <v>0.88841999999999999</v>
      </c>
      <c r="AF106" s="2">
        <v>1.1221350000000001</v>
      </c>
      <c r="AI106" s="2"/>
      <c r="AL106" s="2">
        <v>10</v>
      </c>
      <c r="AM106" s="2"/>
      <c r="AN106" s="2"/>
      <c r="AO106" s="2"/>
      <c r="AP106" s="2">
        <v>0.475271</v>
      </c>
      <c r="AQ106" s="2">
        <v>0.48431800000000003</v>
      </c>
      <c r="AR106" s="2">
        <v>0.47677900000000001</v>
      </c>
      <c r="AS106" s="2">
        <v>0.60134399999999999</v>
      </c>
      <c r="AT106" s="2">
        <v>0.53642000000000001</v>
      </c>
      <c r="AU106" s="20">
        <v>0.49883300000000003</v>
      </c>
    </row>
    <row r="107" spans="2:49">
      <c r="B107" s="39">
        <v>10</v>
      </c>
      <c r="C107" s="2">
        <v>1.8814051940000001</v>
      </c>
      <c r="D107" s="2">
        <v>1.523156631</v>
      </c>
      <c r="E107" s="2">
        <v>1.2786377710000001</v>
      </c>
      <c r="F107" s="2">
        <v>0.384801</v>
      </c>
      <c r="G107" s="2">
        <v>0.67430639299999995</v>
      </c>
      <c r="H107" s="2">
        <v>1.3030759999999999</v>
      </c>
      <c r="I107" s="2">
        <v>0.48516399999999998</v>
      </c>
      <c r="J107" s="2">
        <v>0.63893200000000006</v>
      </c>
      <c r="K107" s="2">
        <v>0.74998600000000004</v>
      </c>
      <c r="N107" s="2">
        <v>1</v>
      </c>
      <c r="O107" s="2">
        <v>11.48169732</v>
      </c>
      <c r="P107" s="2">
        <v>12.435075579999999</v>
      </c>
      <c r="Q107" s="2">
        <v>12.246585319999999</v>
      </c>
      <c r="R107" s="2">
        <v>12.38721</v>
      </c>
      <c r="S107" s="2">
        <v>10.88993</v>
      </c>
      <c r="T107" s="2">
        <v>10.99095</v>
      </c>
      <c r="U107" s="2">
        <v>11.31551</v>
      </c>
      <c r="V107" s="2">
        <v>10.60989</v>
      </c>
      <c r="W107" s="2">
        <v>10.773910000000001</v>
      </c>
      <c r="Z107" s="4">
        <v>20</v>
      </c>
      <c r="AA107" s="2">
        <v>1.949784017</v>
      </c>
      <c r="AB107" s="2">
        <v>2.0372570190000001</v>
      </c>
      <c r="AC107" s="2">
        <v>2.0502159830000002</v>
      </c>
      <c r="AD107" s="2">
        <v>3.160736</v>
      </c>
      <c r="AE107" s="2">
        <v>3.1516890000000002</v>
      </c>
      <c r="AF107" s="2">
        <v>3.3220749999999999</v>
      </c>
      <c r="AI107" s="2"/>
      <c r="AL107" s="2">
        <v>20</v>
      </c>
      <c r="AM107" s="2">
        <v>0.57358152600000001</v>
      </c>
      <c r="AN107" s="2">
        <v>0.63316328499999996</v>
      </c>
      <c r="AO107" s="2">
        <v>0.66470657</v>
      </c>
      <c r="AP107" s="2">
        <v>1.3196619999999999</v>
      </c>
      <c r="AQ107" s="2">
        <v>1.3799760000000001</v>
      </c>
      <c r="AR107" s="2">
        <v>1.3498190000000001</v>
      </c>
      <c r="AS107" s="2">
        <v>1.3001309999999999</v>
      </c>
      <c r="AT107" s="2">
        <v>1.2796289999999999</v>
      </c>
      <c r="AU107" s="20">
        <v>1.3223419999999999</v>
      </c>
    </row>
    <row r="108" spans="2:49">
      <c r="B108" s="39">
        <v>50</v>
      </c>
      <c r="C108" s="2">
        <v>5.2402224049999999</v>
      </c>
      <c r="D108" s="2">
        <v>4.745498199</v>
      </c>
      <c r="E108" s="2">
        <v>4.9558981490000003</v>
      </c>
      <c r="F108" s="2">
        <v>2.951146</v>
      </c>
      <c r="G108" s="2">
        <v>3.7035585040000001</v>
      </c>
      <c r="H108" s="2">
        <v>3.892039</v>
      </c>
      <c r="I108" s="2">
        <v>4.3327640000000001</v>
      </c>
      <c r="J108" s="2">
        <v>3.0462440000000002</v>
      </c>
      <c r="K108" s="2">
        <v>2.9146879999999999</v>
      </c>
      <c r="N108" s="2">
        <v>5</v>
      </c>
      <c r="O108" s="2">
        <v>14.22983063</v>
      </c>
      <c r="P108" s="2">
        <v>15.08350027</v>
      </c>
      <c r="Q108" s="2">
        <v>15.175013659999999</v>
      </c>
      <c r="R108" s="2">
        <v>15.727080000000001</v>
      </c>
      <c r="S108" s="2">
        <v>16.167369999999998</v>
      </c>
      <c r="T108" s="2">
        <v>16.26538</v>
      </c>
      <c r="U108" s="2">
        <v>14.50703</v>
      </c>
      <c r="V108" s="2">
        <v>14.821400000000001</v>
      </c>
      <c r="W108" s="2">
        <v>15.2827</v>
      </c>
      <c r="Z108" s="4">
        <v>50</v>
      </c>
      <c r="AA108" s="2">
        <v>5.6333693299999998</v>
      </c>
      <c r="AB108" s="2">
        <v>5.8455723539999997</v>
      </c>
      <c r="AC108" s="2">
        <v>5.8828293739999999</v>
      </c>
      <c r="AD108" s="2">
        <v>11.093489999999999</v>
      </c>
      <c r="AE108" s="2">
        <v>11.298550000000001</v>
      </c>
      <c r="AF108" s="2">
        <v>11.508139999999999</v>
      </c>
      <c r="AI108" s="2"/>
      <c r="AL108" s="2">
        <v>50</v>
      </c>
      <c r="AM108" s="2">
        <v>2.287433311</v>
      </c>
      <c r="AN108" s="2">
        <v>2.2944429300000002</v>
      </c>
      <c r="AO108" s="2">
        <v>2.2582265659999998</v>
      </c>
      <c r="AP108" s="2">
        <v>3.6130879999999999</v>
      </c>
      <c r="AQ108" s="2">
        <v>3.6130879999999999</v>
      </c>
      <c r="AR108" s="2">
        <v>3.5467430000000002</v>
      </c>
      <c r="AS108" s="2">
        <v>4.1106559999999996</v>
      </c>
      <c r="AT108" s="2">
        <v>3.7433230000000002</v>
      </c>
      <c r="AU108" s="20">
        <v>3.7433230000000002</v>
      </c>
    </row>
    <row r="109" spans="2:49">
      <c r="B109" s="39">
        <v>100</v>
      </c>
      <c r="C109" s="2">
        <v>5.3558476019999999</v>
      </c>
      <c r="D109" s="2">
        <v>5.6269033930000001</v>
      </c>
      <c r="E109" s="2">
        <v>5.5074872050000003</v>
      </c>
      <c r="F109" s="2">
        <v>4.0277440000000002</v>
      </c>
      <c r="G109" s="2">
        <v>4.2720144749999998</v>
      </c>
      <c r="H109" s="2">
        <v>4.2584439999999999</v>
      </c>
      <c r="I109" s="2">
        <v>4.5258269999999996</v>
      </c>
      <c r="J109" s="2">
        <v>4.5121589999999996</v>
      </c>
      <c r="K109" s="2">
        <v>4.4421090000000003</v>
      </c>
      <c r="N109" s="2">
        <v>10</v>
      </c>
      <c r="O109" s="2">
        <v>15.128574029999999</v>
      </c>
      <c r="P109" s="2">
        <v>15.79238754</v>
      </c>
      <c r="Q109" s="2">
        <v>15.889364410000001</v>
      </c>
      <c r="R109" s="2">
        <v>16.465920000000001</v>
      </c>
      <c r="S109" s="2">
        <v>16.167369999999998</v>
      </c>
      <c r="T109" s="2">
        <v>16.770510000000002</v>
      </c>
      <c r="U109" s="2">
        <v>15.47064</v>
      </c>
      <c r="V109" s="2">
        <v>15.807219999999999</v>
      </c>
      <c r="W109" s="2">
        <v>15.952450000000001</v>
      </c>
      <c r="Z109" s="4">
        <v>100</v>
      </c>
      <c r="AA109" s="2">
        <v>12.42710583</v>
      </c>
      <c r="AB109" s="2">
        <v>12.697624190000001</v>
      </c>
      <c r="AC109" s="2">
        <v>12.73650108</v>
      </c>
      <c r="AD109" s="2">
        <v>13.169779999999999</v>
      </c>
      <c r="AE109" s="2">
        <v>13.12907</v>
      </c>
      <c r="AF109" s="2">
        <v>13.788</v>
      </c>
      <c r="AI109" s="2"/>
      <c r="AL109" s="2">
        <v>100</v>
      </c>
      <c r="AM109" s="2">
        <v>4.0375014599999997</v>
      </c>
      <c r="AN109" s="2">
        <v>4.0246504930000002</v>
      </c>
      <c r="AO109" s="2">
        <v>3.92651583</v>
      </c>
      <c r="AP109" s="2">
        <v>5.9080219999999999</v>
      </c>
      <c r="AQ109" s="2">
        <v>5.8718339999999998</v>
      </c>
      <c r="AR109" s="2">
        <v>6.0376960000000004</v>
      </c>
      <c r="AS109" s="2">
        <v>5.55436</v>
      </c>
      <c r="AT109" s="2">
        <v>5.8721449999999997</v>
      </c>
      <c r="AU109" s="20">
        <v>5.8003869999999997</v>
      </c>
    </row>
    <row r="110" spans="2:49">
      <c r="B110" s="39">
        <v>1000</v>
      </c>
      <c r="C110" s="2">
        <v>5.8771087380000004</v>
      </c>
      <c r="D110" s="2">
        <v>6.0420168070000004</v>
      </c>
      <c r="E110" s="2">
        <v>6.0041069059999996</v>
      </c>
      <c r="F110" s="2">
        <v>4.7017490000000004</v>
      </c>
      <c r="G110" s="2">
        <v>4.8645958990000002</v>
      </c>
      <c r="H110" s="2">
        <v>4.6866709999999996</v>
      </c>
      <c r="I110" s="2">
        <v>5.2041120000000003</v>
      </c>
      <c r="J110" s="2">
        <v>5.1716499999999996</v>
      </c>
      <c r="K110" s="2">
        <v>5.1408959999999997</v>
      </c>
      <c r="L110" s="4">
        <f>AVERAGE(C110:K110)</f>
        <v>5.2992118166666664</v>
      </c>
      <c r="M110" s="4">
        <f>L110/L103</f>
        <v>79.512800111331813</v>
      </c>
      <c r="N110" s="2">
        <v>25</v>
      </c>
      <c r="O110" s="2">
        <v>15.31569842</v>
      </c>
      <c r="P110" s="2">
        <v>15.840193040000001</v>
      </c>
      <c r="Q110" s="2">
        <v>16.183026770000001</v>
      </c>
      <c r="R110" s="2">
        <v>17.29222</v>
      </c>
      <c r="S110" s="2">
        <v>17.504829999999998</v>
      </c>
      <c r="T110" s="2">
        <v>16.925809999999998</v>
      </c>
      <c r="U110" s="2">
        <v>16.14893</v>
      </c>
      <c r="V110" s="2">
        <v>16.449629999999999</v>
      </c>
      <c r="W110" s="2">
        <v>15.566319999999999</v>
      </c>
      <c r="X110" s="4">
        <f>AVERAGE(O110:W110)</f>
        <v>16.358517581111109</v>
      </c>
      <c r="Y110" s="4">
        <f>X110/X103</f>
        <v>204.51761995752983</v>
      </c>
      <c r="Z110" s="4">
        <v>200</v>
      </c>
      <c r="AA110" s="2">
        <v>15.167926570000001</v>
      </c>
      <c r="AB110" s="2">
        <v>15.59233261</v>
      </c>
      <c r="AC110" s="2">
        <v>15.59233261</v>
      </c>
      <c r="AD110" s="2">
        <v>14.4801</v>
      </c>
      <c r="AE110" s="2">
        <v>14.70326</v>
      </c>
      <c r="AF110" s="2">
        <v>14.30368</v>
      </c>
      <c r="AH110" s="4">
        <f>AG110/AG103</f>
        <v>0</v>
      </c>
      <c r="AI110" s="2"/>
      <c r="AL110" s="2">
        <v>200</v>
      </c>
      <c r="AM110" s="2">
        <v>5.6228435689999996</v>
      </c>
      <c r="AN110" s="2">
        <v>5.6742474400000003</v>
      </c>
      <c r="AO110" s="2">
        <v>5.4183963549999996</v>
      </c>
      <c r="AP110" s="2">
        <v>7.7219540000000002</v>
      </c>
      <c r="AQ110" s="2">
        <v>8.0370930000000005</v>
      </c>
      <c r="AR110" s="2">
        <v>7.842581</v>
      </c>
      <c r="AS110" s="2">
        <v>8.2948350000000008</v>
      </c>
      <c r="AT110" s="2">
        <v>8.3717179999999995</v>
      </c>
      <c r="AU110" s="20">
        <v>8.219659</v>
      </c>
      <c r="AV110" s="4">
        <f>AVERAGE(AM110:AU110)</f>
        <v>7.2448141515555555</v>
      </c>
      <c r="AW110" s="4">
        <f>AV110/AV103</f>
        <v>185.40245761818355</v>
      </c>
    </row>
    <row r="111" spans="2:49" ht="15" thickBo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>
        <v>500</v>
      </c>
      <c r="AA111" s="22">
        <v>17.249460039999999</v>
      </c>
      <c r="AB111" s="22">
        <v>17.249460039999999</v>
      </c>
      <c r="AC111" s="22">
        <v>17.038876890000001</v>
      </c>
      <c r="AD111" s="22">
        <v>15.39385</v>
      </c>
      <c r="AE111" s="22">
        <v>15.871829999999999</v>
      </c>
      <c r="AF111" s="22">
        <v>15.67883</v>
      </c>
      <c r="AG111" s="4">
        <f>AVERAGE(AA111:AF111)</f>
        <v>16.413717828333336</v>
      </c>
      <c r="AH111" s="4">
        <f>AG111/AG103</f>
        <v>97.502992760889214</v>
      </c>
      <c r="AI111" s="32"/>
      <c r="AJ111" s="32"/>
      <c r="AK111" s="32"/>
      <c r="AL111" s="22">
        <v>500</v>
      </c>
      <c r="AM111" s="22">
        <v>7.1731375829999999</v>
      </c>
      <c r="AN111" s="22">
        <v>7.239728961</v>
      </c>
      <c r="AO111" s="22">
        <v>7.2841232140000001</v>
      </c>
      <c r="AP111" s="22">
        <v>10.594390000000001</v>
      </c>
      <c r="AQ111" s="22">
        <v>10.85676</v>
      </c>
      <c r="AR111" s="22">
        <v>10.79041</v>
      </c>
      <c r="AS111" s="22">
        <v>10.193009999999999</v>
      </c>
      <c r="AT111" s="22">
        <v>10.60989</v>
      </c>
      <c r="AU111" s="23">
        <v>10.54496</v>
      </c>
      <c r="AV111" s="4">
        <f>AVERAGE(AM111:AU111)</f>
        <v>9.4762677508888906</v>
      </c>
      <c r="AW111" s="4">
        <f>AV111/AV103</f>
        <v>242.50771563070435</v>
      </c>
    </row>
    <row r="112" spans="2:49">
      <c r="Z112" s="2"/>
      <c r="AA112" s="2"/>
      <c r="AB112" s="2"/>
      <c r="AC112" s="2"/>
      <c r="AD112" s="2"/>
      <c r="AE112" s="2"/>
    </row>
    <row r="114" spans="2:27">
      <c r="B114" s="4" t="s">
        <v>1536</v>
      </c>
    </row>
    <row r="115" spans="2:27">
      <c r="B115" s="4" t="s">
        <v>1528</v>
      </c>
      <c r="C115" s="4" t="s">
        <v>1529</v>
      </c>
      <c r="D115" s="4" t="s">
        <v>1530</v>
      </c>
      <c r="E115" s="4" t="s">
        <v>1531</v>
      </c>
      <c r="F115" s="4" t="s">
        <v>1532</v>
      </c>
      <c r="G115" s="4" t="s">
        <v>1553</v>
      </c>
      <c r="H115" s="4" t="s">
        <v>1554</v>
      </c>
      <c r="I115" s="4" t="s">
        <v>1484</v>
      </c>
      <c r="J115" s="4" t="s">
        <v>1595</v>
      </c>
    </row>
    <row r="116" spans="2:27" ht="16.5">
      <c r="B116" s="4" t="s">
        <v>1533</v>
      </c>
      <c r="C116" s="4" t="s">
        <v>1527</v>
      </c>
      <c r="D116" s="4" t="s">
        <v>1555</v>
      </c>
      <c r="E116" s="4">
        <v>0</v>
      </c>
      <c r="F116" s="4" t="s">
        <v>1568</v>
      </c>
      <c r="G116" s="4">
        <f>F75</f>
        <v>2.0029063999999999E-2</v>
      </c>
      <c r="H116" s="4">
        <f>F82</f>
        <v>13.630947113333335</v>
      </c>
      <c r="I116" s="4">
        <f>H116/G116</f>
        <v>680.55836824593177</v>
      </c>
      <c r="J116" s="4">
        <f>AVERAGE(I116:I127)</f>
        <v>298.39416958347903</v>
      </c>
    </row>
    <row r="117" spans="2:27">
      <c r="B117" s="4" t="s">
        <v>1534</v>
      </c>
      <c r="C117" s="4" t="s">
        <v>1527</v>
      </c>
      <c r="D117" s="4" t="s">
        <v>1556</v>
      </c>
      <c r="E117" s="4">
        <v>0</v>
      </c>
      <c r="F117" s="4" t="s">
        <v>1546</v>
      </c>
      <c r="G117" s="4">
        <f>R75</f>
        <v>0.183831458</v>
      </c>
      <c r="H117" s="4">
        <f>R82</f>
        <v>37.03228451333333</v>
      </c>
      <c r="I117" s="4">
        <f t="shared" ref="I117:I127" si="0">H117/G117</f>
        <v>201.44693903985316</v>
      </c>
    </row>
    <row r="118" spans="2:27">
      <c r="B118" s="4" t="s">
        <v>1535</v>
      </c>
      <c r="C118" s="4" t="s">
        <v>1527</v>
      </c>
      <c r="D118" s="4" t="s">
        <v>1557</v>
      </c>
      <c r="E118" s="4">
        <v>0</v>
      </c>
      <c r="F118" s="4" t="s">
        <v>1547</v>
      </c>
      <c r="G118" s="4">
        <f>AD76</f>
        <v>8.955167666666668E-3</v>
      </c>
      <c r="H118" s="4">
        <f>AD82</f>
        <v>5.0018771493333336</v>
      </c>
      <c r="I118" s="4">
        <f t="shared" si="0"/>
        <v>558.54645446243831</v>
      </c>
    </row>
    <row r="119" spans="2:27">
      <c r="B119" s="4" t="s">
        <v>1537</v>
      </c>
      <c r="C119" s="4" t="s">
        <v>1527</v>
      </c>
      <c r="D119" s="4" t="s">
        <v>1558</v>
      </c>
      <c r="E119" s="4">
        <v>0</v>
      </c>
      <c r="F119" s="4" t="s">
        <v>1548</v>
      </c>
      <c r="G119" s="4">
        <f>AP75</f>
        <v>7.4548941666666674E-2</v>
      </c>
      <c r="H119" s="4">
        <f>AP82</f>
        <v>23.043091780000001</v>
      </c>
      <c r="I119" s="4">
        <f t="shared" si="0"/>
        <v>309.10018660001094</v>
      </c>
    </row>
    <row r="120" spans="2:27">
      <c r="B120" s="4" t="s">
        <v>1538</v>
      </c>
      <c r="C120" s="4" t="s">
        <v>1527</v>
      </c>
      <c r="D120" s="4" t="s">
        <v>1559</v>
      </c>
      <c r="E120" s="4">
        <v>0</v>
      </c>
      <c r="F120" s="4" t="s">
        <v>1549</v>
      </c>
      <c r="G120" s="4">
        <f>L88</f>
        <v>0.14575172955555557</v>
      </c>
      <c r="H120" s="4">
        <f>L95</f>
        <v>30.01611268111111</v>
      </c>
      <c r="I120" s="4">
        <f t="shared" si="0"/>
        <v>205.94001026704794</v>
      </c>
    </row>
    <row r="121" spans="2:27">
      <c r="B121" s="4" t="s">
        <v>1539</v>
      </c>
      <c r="C121" s="4" t="s">
        <v>1527</v>
      </c>
      <c r="D121" s="4" t="s">
        <v>1560</v>
      </c>
      <c r="E121" s="4">
        <v>0</v>
      </c>
      <c r="F121" s="4" t="s">
        <v>1550</v>
      </c>
      <c r="G121" s="4">
        <f>X88</f>
        <v>3.4072520888888881E-2</v>
      </c>
      <c r="H121" s="4">
        <f>X95</f>
        <v>10.366836586666668</v>
      </c>
      <c r="I121" s="4">
        <f t="shared" si="0"/>
        <v>304.25798609011389</v>
      </c>
    </row>
    <row r="122" spans="2:27">
      <c r="B122" s="4" t="s">
        <v>1540</v>
      </c>
      <c r="C122" s="4" t="s">
        <v>1527</v>
      </c>
      <c r="D122" s="4" t="s">
        <v>1561</v>
      </c>
      <c r="E122" s="4">
        <v>0</v>
      </c>
      <c r="F122" s="4" t="s">
        <v>1551</v>
      </c>
      <c r="G122" s="4">
        <f>AJ88</f>
        <v>4.2886611555555558E-2</v>
      </c>
      <c r="H122" s="4">
        <f>AJ95</f>
        <v>27.836468003333337</v>
      </c>
      <c r="I122" s="4">
        <f t="shared" si="0"/>
        <v>649.07128340679981</v>
      </c>
    </row>
    <row r="123" spans="2:27">
      <c r="B123" s="4" t="s">
        <v>1541</v>
      </c>
      <c r="C123" s="4" t="s">
        <v>1527</v>
      </c>
      <c r="D123" s="4" t="s">
        <v>1562</v>
      </c>
      <c r="E123" s="4">
        <v>0</v>
      </c>
      <c r="F123" s="4" t="s">
        <v>1550</v>
      </c>
      <c r="G123" s="4">
        <f>AV88</f>
        <v>8.8260329222222225E-2</v>
      </c>
      <c r="H123" s="4">
        <f>AV95</f>
        <v>4.2159910243333334</v>
      </c>
      <c r="I123" s="4">
        <f t="shared" si="0"/>
        <v>47.767678429096875</v>
      </c>
    </row>
    <row r="124" spans="2:27">
      <c r="B124" s="4" t="s">
        <v>1542</v>
      </c>
      <c r="C124" s="4" t="s">
        <v>1527</v>
      </c>
      <c r="D124" s="4" t="s">
        <v>1563</v>
      </c>
      <c r="E124" s="4">
        <v>0</v>
      </c>
      <c r="F124" s="4" t="s">
        <v>1550</v>
      </c>
      <c r="G124" s="4">
        <f>L103</f>
        <v>6.6646021888888879E-2</v>
      </c>
      <c r="H124" s="4">
        <f>L110</f>
        <v>5.2992118166666664</v>
      </c>
      <c r="I124" s="4">
        <f t="shared" si="0"/>
        <v>79.512800111331813</v>
      </c>
    </row>
    <row r="125" spans="2:27">
      <c r="B125" s="4" t="s">
        <v>1543</v>
      </c>
      <c r="C125" s="4" t="s">
        <v>1527</v>
      </c>
      <c r="D125" s="4" t="s">
        <v>1564</v>
      </c>
      <c r="E125" s="4">
        <v>0</v>
      </c>
      <c r="F125" s="4" t="s">
        <v>1552</v>
      </c>
      <c r="G125" s="4">
        <f>X103</f>
        <v>7.998585933333334E-2</v>
      </c>
      <c r="H125" s="4">
        <f>X110</f>
        <v>16.358517581111109</v>
      </c>
      <c r="I125" s="4">
        <f t="shared" si="0"/>
        <v>204.51761995752983</v>
      </c>
      <c r="AA125" s="4">
        <v>4.5599999999999996</v>
      </c>
    </row>
    <row r="126" spans="2:27">
      <c r="B126" s="4" t="s">
        <v>1544</v>
      </c>
      <c r="C126" s="4" t="s">
        <v>1527</v>
      </c>
      <c r="D126" s="4" t="s">
        <v>1565</v>
      </c>
      <c r="E126" s="4">
        <v>0</v>
      </c>
      <c r="F126" s="4" t="s">
        <v>1242</v>
      </c>
      <c r="G126" s="4">
        <f>AG103</f>
        <v>0.16834065666666667</v>
      </c>
      <c r="H126" s="4">
        <f>AG111</f>
        <v>16.413717828333336</v>
      </c>
      <c r="I126" s="4">
        <f t="shared" si="0"/>
        <v>97.502992760889214</v>
      </c>
    </row>
    <row r="127" spans="2:27">
      <c r="B127" s="4" t="s">
        <v>1545</v>
      </c>
      <c r="C127" s="4" t="s">
        <v>1527</v>
      </c>
      <c r="D127" s="4" t="s">
        <v>1566</v>
      </c>
      <c r="E127" s="4">
        <v>0</v>
      </c>
      <c r="F127" s="4" t="s">
        <v>1242</v>
      </c>
      <c r="G127" s="4">
        <f>AV103</f>
        <v>3.9076149500000004E-2</v>
      </c>
      <c r="H127" s="4">
        <f>AV111</f>
        <v>9.4762677508888906</v>
      </c>
      <c r="I127" s="4">
        <f t="shared" si="0"/>
        <v>242.50771563070435</v>
      </c>
    </row>
    <row r="136" spans="2:5" ht="15">
      <c r="B136" s="68" t="s">
        <v>1515</v>
      </c>
      <c r="C136" s="218" t="s">
        <v>1099</v>
      </c>
      <c r="D136" s="218"/>
      <c r="E136" s="218"/>
    </row>
    <row r="137" spans="2:5">
      <c r="B137" s="66" t="s">
        <v>1100</v>
      </c>
      <c r="C137" s="2">
        <v>0</v>
      </c>
      <c r="D137" s="2">
        <v>0</v>
      </c>
      <c r="E137" s="2">
        <v>0</v>
      </c>
    </row>
    <row r="138" spans="2:5">
      <c r="B138" s="66" t="s">
        <v>1094</v>
      </c>
      <c r="C138" s="2">
        <v>28</v>
      </c>
      <c r="D138" s="2">
        <v>25</v>
      </c>
      <c r="E138" s="2">
        <v>27</v>
      </c>
    </row>
    <row r="139" spans="2:5">
      <c r="B139" s="66" t="s">
        <v>1095</v>
      </c>
      <c r="C139" s="2">
        <v>229</v>
      </c>
      <c r="D139" s="2">
        <v>206</v>
      </c>
      <c r="E139" s="2">
        <v>232</v>
      </c>
    </row>
    <row r="140" spans="2:5">
      <c r="B140" s="66" t="s">
        <v>1096</v>
      </c>
      <c r="C140" s="2">
        <v>226</v>
      </c>
      <c r="D140" s="2">
        <v>257</v>
      </c>
      <c r="E140" s="2">
        <v>268</v>
      </c>
    </row>
    <row r="141" spans="2:5">
      <c r="B141" s="66" t="s">
        <v>1097</v>
      </c>
      <c r="C141" s="2">
        <v>1</v>
      </c>
      <c r="D141" s="2">
        <v>0</v>
      </c>
      <c r="E141" s="2">
        <v>0</v>
      </c>
    </row>
    <row r="142" spans="2:5">
      <c r="B142" s="66" t="s">
        <v>1098</v>
      </c>
      <c r="C142" s="2">
        <v>144</v>
      </c>
      <c r="D142" s="2">
        <v>158</v>
      </c>
      <c r="E142" s="2">
        <v>145</v>
      </c>
    </row>
  </sheetData>
  <mergeCells count="58">
    <mergeCell ref="C136:E136"/>
    <mergeCell ref="AL100:AU100"/>
    <mergeCell ref="AL101:AU101"/>
    <mergeCell ref="AM102:AO102"/>
    <mergeCell ref="AP102:AR102"/>
    <mergeCell ref="AS102:AU102"/>
    <mergeCell ref="Z100:AI100"/>
    <mergeCell ref="Z101:AI101"/>
    <mergeCell ref="AA102:AC102"/>
    <mergeCell ref="AD102:AF102"/>
    <mergeCell ref="AG102:AI102"/>
    <mergeCell ref="N100:W100"/>
    <mergeCell ref="N101:W101"/>
    <mergeCell ref="O102:Q102"/>
    <mergeCell ref="R102:T102"/>
    <mergeCell ref="U102:W102"/>
    <mergeCell ref="B100:K100"/>
    <mergeCell ref="B101:K101"/>
    <mergeCell ref="C102:E102"/>
    <mergeCell ref="F102:H102"/>
    <mergeCell ref="I102:K102"/>
    <mergeCell ref="AL85:AU85"/>
    <mergeCell ref="AL86:AU86"/>
    <mergeCell ref="AM87:AO87"/>
    <mergeCell ref="AP87:AR87"/>
    <mergeCell ref="AS87:AU87"/>
    <mergeCell ref="Z85:AI85"/>
    <mergeCell ref="Z86:AI86"/>
    <mergeCell ref="AA87:AC87"/>
    <mergeCell ref="AD87:AF87"/>
    <mergeCell ref="AG87:AI87"/>
    <mergeCell ref="N85:W85"/>
    <mergeCell ref="N86:W86"/>
    <mergeCell ref="O87:Q87"/>
    <mergeCell ref="R87:T87"/>
    <mergeCell ref="U87:W87"/>
    <mergeCell ref="C87:E87"/>
    <mergeCell ref="F87:H87"/>
    <mergeCell ref="I87:K87"/>
    <mergeCell ref="B85:K85"/>
    <mergeCell ref="B86:K86"/>
    <mergeCell ref="AG74:AI74"/>
    <mergeCell ref="AJ74:AL74"/>
    <mergeCell ref="AM74:AO74"/>
    <mergeCell ref="AF72:AO72"/>
    <mergeCell ref="AF73:AO73"/>
    <mergeCell ref="T72:AC72"/>
    <mergeCell ref="T73:AC73"/>
    <mergeCell ref="U74:W74"/>
    <mergeCell ref="X74:Z74"/>
    <mergeCell ref="AA74:AC74"/>
    <mergeCell ref="I74:K74"/>
    <mergeCell ref="L74:N74"/>
    <mergeCell ref="O74:Q74"/>
    <mergeCell ref="B72:E72"/>
    <mergeCell ref="B73:E73"/>
    <mergeCell ref="H72:Q72"/>
    <mergeCell ref="H73:Q73"/>
  </mergeCells>
  <phoneticPr fontId="3" type="noConversion"/>
  <conditionalFormatting sqref="G116:G1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{46F49ED4-9E29-403F-B8A7-54B28F124117}</x14:id>
        </ext>
      </extLst>
    </cfRule>
  </conditionalFormatting>
  <conditionalFormatting sqref="G116:H1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{31E869B0-2336-4D3C-8D2D-D96390106E98}</x14:id>
        </ext>
      </extLst>
    </cfRule>
  </conditionalFormatting>
  <conditionalFormatting sqref="H116:H12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{3C4827B2-5FF4-49AE-95AF-DFB3BCF4927E}</x14:id>
        </ext>
      </extLst>
    </cfRule>
  </conditionalFormatting>
  <conditionalFormatting sqref="I116:I1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{04C6E5A7-239B-4E99-B662-313C303BCF38}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49ED4-9E29-403F-B8A7-54B28F124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G116:G127</xm:sqref>
        </x14:conditionalFormatting>
        <x14:conditionalFormatting xmlns:xm="http://schemas.microsoft.com/office/excel/2006/main">
          <x14:cfRule type="dataBar" id="{31E869B0-2336-4D3C-8D2D-D96390106E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G116:H127</xm:sqref>
        </x14:conditionalFormatting>
        <x14:conditionalFormatting xmlns:xm="http://schemas.microsoft.com/office/excel/2006/main">
          <x14:cfRule type="dataBar" id="{3C4827B2-5FF4-49AE-95AF-DFB3BCF49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H116:H127</xm:sqref>
        </x14:conditionalFormatting>
        <x14:conditionalFormatting xmlns:xm="http://schemas.microsoft.com/office/excel/2006/main">
          <x14:cfRule type="dataBar" id="{04C6E5A7-239B-4E99-B662-313C303BC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I116:I127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546F-580B-4B1B-B209-825AEA89EDC4}">
  <dimension ref="A1:X139"/>
  <sheetViews>
    <sheetView topLeftCell="A101" zoomScale="90" zoomScaleNormal="90" workbookViewId="0">
      <selection activeCell="O121" sqref="O121"/>
    </sheetView>
  </sheetViews>
  <sheetFormatPr defaultRowHeight="14.25"/>
  <cols>
    <col min="1" max="1" width="23" customWidth="1"/>
    <col min="6" max="6" width="23" customWidth="1"/>
    <col min="7" max="7" width="15.625" customWidth="1"/>
    <col min="10" max="10" width="5.5" customWidth="1"/>
    <col min="11" max="11" width="25.125" customWidth="1"/>
    <col min="15" max="15" width="31.375" customWidth="1"/>
    <col min="19" max="19" width="32.75" customWidth="1"/>
  </cols>
  <sheetData>
    <row r="1" spans="1:21">
      <c r="A1" s="79" t="s">
        <v>1504</v>
      </c>
      <c r="B1" s="3" t="s">
        <v>1499</v>
      </c>
      <c r="C1" s="3" t="s">
        <v>253</v>
      </c>
      <c r="D1" s="3" t="s">
        <v>254</v>
      </c>
      <c r="F1" s="91" t="s">
        <v>1505</v>
      </c>
      <c r="G1" s="3" t="s">
        <v>91</v>
      </c>
      <c r="H1" s="3" t="s">
        <v>253</v>
      </c>
      <c r="I1" s="3" t="s">
        <v>254</v>
      </c>
      <c r="K1" s="91" t="s">
        <v>1506</v>
      </c>
      <c r="L1" s="3" t="s">
        <v>1500</v>
      </c>
      <c r="M1" s="3" t="s">
        <v>254</v>
      </c>
      <c r="O1" s="91" t="s">
        <v>1507</v>
      </c>
      <c r="P1" s="3" t="s">
        <v>1501</v>
      </c>
      <c r="Q1" s="3" t="s">
        <v>254</v>
      </c>
      <c r="S1" s="91" t="s">
        <v>1508</v>
      </c>
      <c r="T1" s="3" t="s">
        <v>1502</v>
      </c>
      <c r="U1" s="3" t="s">
        <v>254</v>
      </c>
    </row>
    <row r="2" spans="1:21">
      <c r="B2" s="1" t="s">
        <v>335</v>
      </c>
      <c r="C2" s="2">
        <v>21.2</v>
      </c>
      <c r="D2" s="2">
        <v>28.4</v>
      </c>
      <c r="G2" s="1" t="s">
        <v>255</v>
      </c>
      <c r="H2" s="2">
        <v>75.233333329999994</v>
      </c>
      <c r="I2" s="2">
        <v>4669.3333329999996</v>
      </c>
      <c r="L2" s="1" t="s">
        <v>362</v>
      </c>
      <c r="M2" s="2">
        <v>6736</v>
      </c>
      <c r="P2" s="1" t="s">
        <v>417</v>
      </c>
      <c r="Q2" s="2">
        <v>7517</v>
      </c>
      <c r="T2" s="1" t="s">
        <v>426</v>
      </c>
      <c r="U2" s="2">
        <v>7797</v>
      </c>
    </row>
    <row r="3" spans="1:21">
      <c r="B3" s="1" t="s">
        <v>336</v>
      </c>
      <c r="C3" s="2">
        <v>28.1</v>
      </c>
      <c r="D3" s="2">
        <v>1590</v>
      </c>
      <c r="G3" s="1" t="s">
        <v>256</v>
      </c>
      <c r="H3" s="2">
        <v>89.9</v>
      </c>
      <c r="I3" s="2">
        <v>5121</v>
      </c>
      <c r="L3" s="1" t="s">
        <v>341</v>
      </c>
      <c r="M3" s="2">
        <v>6074</v>
      </c>
      <c r="P3" s="1" t="s">
        <v>342</v>
      </c>
      <c r="Q3" s="2">
        <v>7116</v>
      </c>
      <c r="T3" s="1" t="s">
        <v>368</v>
      </c>
      <c r="U3" s="2">
        <v>6778</v>
      </c>
    </row>
    <row r="4" spans="1:21">
      <c r="B4" s="1" t="s">
        <v>337</v>
      </c>
      <c r="C4" s="2">
        <v>28.3</v>
      </c>
      <c r="D4" s="2">
        <v>29.8</v>
      </c>
      <c r="G4" s="1" t="s">
        <v>257</v>
      </c>
      <c r="H4" s="2">
        <v>154</v>
      </c>
      <c r="I4" s="2">
        <v>4804</v>
      </c>
      <c r="L4" s="1" t="s">
        <v>404</v>
      </c>
      <c r="M4" s="2">
        <v>5891</v>
      </c>
      <c r="P4" s="1" t="s">
        <v>344</v>
      </c>
      <c r="Q4" s="2">
        <v>6966</v>
      </c>
      <c r="T4" s="1" t="s">
        <v>357</v>
      </c>
      <c r="U4" s="2">
        <v>6778</v>
      </c>
    </row>
    <row r="5" spans="1:21">
      <c r="B5" s="1" t="s">
        <v>338</v>
      </c>
      <c r="C5" s="2">
        <v>33</v>
      </c>
      <c r="D5" s="2">
        <v>1664</v>
      </c>
      <c r="G5" s="1" t="s">
        <v>258</v>
      </c>
      <c r="H5" s="2">
        <v>196</v>
      </c>
      <c r="I5" s="2">
        <v>5028</v>
      </c>
      <c r="L5" s="1" t="s">
        <v>373</v>
      </c>
      <c r="M5" s="2">
        <v>5680</v>
      </c>
      <c r="P5" s="1" t="s">
        <v>359</v>
      </c>
      <c r="Q5" s="2">
        <v>6798</v>
      </c>
      <c r="T5" s="1" t="s">
        <v>415</v>
      </c>
      <c r="U5" s="2">
        <v>6594</v>
      </c>
    </row>
    <row r="6" spans="1:21">
      <c r="B6" s="1" t="s">
        <v>339</v>
      </c>
      <c r="C6" s="2">
        <v>43</v>
      </c>
      <c r="D6" s="2">
        <v>1547</v>
      </c>
      <c r="G6" s="1" t="s">
        <v>259</v>
      </c>
      <c r="H6" s="2">
        <v>256</v>
      </c>
      <c r="I6" s="2">
        <v>5594</v>
      </c>
      <c r="L6" s="1" t="s">
        <v>398</v>
      </c>
      <c r="M6" s="2">
        <v>5680</v>
      </c>
      <c r="P6" s="1" t="s">
        <v>410</v>
      </c>
      <c r="Q6" s="2">
        <v>6716</v>
      </c>
      <c r="T6" s="1" t="s">
        <v>372</v>
      </c>
      <c r="U6" s="2">
        <v>6475</v>
      </c>
    </row>
    <row r="7" spans="1:21">
      <c r="B7" s="1" t="s">
        <v>340</v>
      </c>
      <c r="C7" s="2">
        <v>45</v>
      </c>
      <c r="D7" s="2">
        <v>4645.6670000000004</v>
      </c>
      <c r="G7" s="1" t="s">
        <v>260</v>
      </c>
      <c r="H7" s="2">
        <v>268</v>
      </c>
      <c r="I7" s="2">
        <v>5137</v>
      </c>
      <c r="L7" s="1" t="s">
        <v>420</v>
      </c>
      <c r="M7" s="2">
        <v>5611</v>
      </c>
      <c r="P7" s="1" t="s">
        <v>346</v>
      </c>
      <c r="Q7" s="2">
        <v>6514</v>
      </c>
      <c r="T7" s="1" t="s">
        <v>390</v>
      </c>
      <c r="U7" s="2">
        <v>6416</v>
      </c>
    </row>
    <row r="8" spans="1:21">
      <c r="B8" s="1" t="s">
        <v>341</v>
      </c>
      <c r="C8" s="2">
        <v>47.1</v>
      </c>
      <c r="D8" s="2">
        <v>2117</v>
      </c>
      <c r="G8" s="1">
        <v>10</v>
      </c>
      <c r="H8" s="2">
        <v>309</v>
      </c>
      <c r="I8" s="2">
        <v>6778</v>
      </c>
      <c r="L8" s="1" t="s">
        <v>410</v>
      </c>
      <c r="M8" s="2">
        <v>5594</v>
      </c>
      <c r="P8" s="1" t="s">
        <v>369</v>
      </c>
      <c r="Q8" s="2">
        <v>6455</v>
      </c>
      <c r="T8" s="1" t="s">
        <v>392</v>
      </c>
      <c r="U8" s="2">
        <v>6377</v>
      </c>
    </row>
    <row r="9" spans="1:21">
      <c r="B9" s="1" t="s">
        <v>342</v>
      </c>
      <c r="C9" s="2">
        <v>47.1</v>
      </c>
      <c r="D9" s="2">
        <v>2306</v>
      </c>
      <c r="G9" s="1" t="s">
        <v>261</v>
      </c>
      <c r="H9" s="2">
        <v>319</v>
      </c>
      <c r="I9" s="2">
        <v>5410</v>
      </c>
      <c r="L9" s="1" t="s">
        <v>368</v>
      </c>
      <c r="M9" s="2">
        <v>5577</v>
      </c>
      <c r="P9" s="1" t="s">
        <v>335</v>
      </c>
      <c r="Q9" s="2">
        <v>6300</v>
      </c>
      <c r="T9" s="1" t="s">
        <v>397</v>
      </c>
      <c r="U9" s="2">
        <v>6205</v>
      </c>
    </row>
    <row r="10" spans="1:21">
      <c r="B10" s="1" t="s">
        <v>343</v>
      </c>
      <c r="C10" s="2">
        <v>48.2</v>
      </c>
      <c r="D10" s="2">
        <v>1609</v>
      </c>
      <c r="G10" s="1" t="s">
        <v>262</v>
      </c>
      <c r="H10" s="2">
        <v>336</v>
      </c>
      <c r="I10" s="2">
        <v>5090</v>
      </c>
      <c r="L10" s="1" t="s">
        <v>422</v>
      </c>
      <c r="M10" s="2">
        <v>5560</v>
      </c>
      <c r="P10" s="1" t="s">
        <v>430</v>
      </c>
      <c r="Q10" s="2">
        <v>6281</v>
      </c>
      <c r="T10" s="1" t="s">
        <v>353</v>
      </c>
      <c r="U10" s="2">
        <v>6129</v>
      </c>
    </row>
    <row r="11" spans="1:21">
      <c r="B11" s="1" t="s">
        <v>344</v>
      </c>
      <c r="C11" s="2">
        <v>48.3</v>
      </c>
      <c r="D11" s="2">
        <v>3941</v>
      </c>
      <c r="G11" s="1">
        <v>1000000000</v>
      </c>
      <c r="H11" s="2">
        <v>344</v>
      </c>
      <c r="I11" s="2">
        <v>6092</v>
      </c>
      <c r="L11" s="1" t="s">
        <v>342</v>
      </c>
      <c r="M11" s="2">
        <v>5543</v>
      </c>
      <c r="P11" s="1" t="s">
        <v>405</v>
      </c>
      <c r="Q11" s="2">
        <v>6205</v>
      </c>
      <c r="T11" s="1" t="s">
        <v>348</v>
      </c>
      <c r="U11" s="2">
        <v>6074</v>
      </c>
    </row>
    <row r="12" spans="1:21">
      <c r="B12" s="1" t="s">
        <v>345</v>
      </c>
      <c r="C12" s="2">
        <v>50.1</v>
      </c>
      <c r="D12" s="2">
        <v>3136</v>
      </c>
      <c r="G12" s="1" t="s">
        <v>263</v>
      </c>
      <c r="H12" s="2">
        <v>350</v>
      </c>
      <c r="I12" s="2">
        <v>5393</v>
      </c>
      <c r="L12" s="1" t="s">
        <v>369</v>
      </c>
      <c r="M12" s="2">
        <v>5526</v>
      </c>
      <c r="P12" s="1" t="s">
        <v>390</v>
      </c>
      <c r="Q12" s="2">
        <v>5891</v>
      </c>
      <c r="T12" s="1" t="s">
        <v>361</v>
      </c>
      <c r="U12" s="2">
        <v>5927</v>
      </c>
    </row>
    <row r="13" spans="1:21">
      <c r="B13" s="1" t="s">
        <v>346</v>
      </c>
      <c r="C13" s="2">
        <v>51.8</v>
      </c>
      <c r="D13" s="2">
        <v>3776</v>
      </c>
      <c r="G13" s="1" t="s">
        <v>264</v>
      </c>
      <c r="H13" s="2">
        <v>354</v>
      </c>
      <c r="I13" s="2">
        <v>5611</v>
      </c>
      <c r="L13" s="1" t="s">
        <v>348</v>
      </c>
      <c r="M13" s="2">
        <v>5443</v>
      </c>
      <c r="P13" s="1" t="s">
        <v>384</v>
      </c>
      <c r="Q13" s="2">
        <v>5891</v>
      </c>
      <c r="T13" s="1" t="s">
        <v>404</v>
      </c>
      <c r="U13" s="2">
        <v>5927</v>
      </c>
    </row>
    <row r="14" spans="1:21">
      <c r="B14" s="1" t="s">
        <v>347</v>
      </c>
      <c r="C14" s="2">
        <v>52.8</v>
      </c>
      <c r="D14" s="2">
        <v>2496</v>
      </c>
      <c r="G14" s="1" t="s">
        <v>265</v>
      </c>
      <c r="H14" s="2">
        <v>356</v>
      </c>
      <c r="I14" s="2">
        <v>6861</v>
      </c>
      <c r="L14" s="1" t="s">
        <v>376</v>
      </c>
      <c r="M14" s="2">
        <v>5426</v>
      </c>
      <c r="P14" s="1" t="s">
        <v>407</v>
      </c>
      <c r="Q14" s="2">
        <v>5891</v>
      </c>
      <c r="T14" s="1" t="s">
        <v>428</v>
      </c>
      <c r="U14" s="2">
        <v>5820</v>
      </c>
    </row>
    <row r="15" spans="1:21">
      <c r="B15" s="1" t="s">
        <v>348</v>
      </c>
      <c r="C15" s="2">
        <v>52.9</v>
      </c>
      <c r="D15" s="2">
        <v>2292</v>
      </c>
      <c r="G15" s="1" t="s">
        <v>266</v>
      </c>
      <c r="H15" s="2">
        <v>365</v>
      </c>
      <c r="I15" s="2">
        <v>5526</v>
      </c>
      <c r="L15" s="1" t="s">
        <v>432</v>
      </c>
      <c r="M15" s="2">
        <v>5361</v>
      </c>
      <c r="P15" s="1" t="s">
        <v>401</v>
      </c>
      <c r="Q15" s="2">
        <v>5856</v>
      </c>
      <c r="T15" s="1" t="s">
        <v>394</v>
      </c>
      <c r="U15" s="2">
        <v>5785</v>
      </c>
    </row>
    <row r="16" spans="1:21">
      <c r="B16" s="1" t="s">
        <v>349</v>
      </c>
      <c r="C16" s="2">
        <v>55.7</v>
      </c>
      <c r="D16" s="2">
        <v>2518</v>
      </c>
      <c r="G16" s="1" t="s">
        <v>267</v>
      </c>
      <c r="H16" s="2">
        <v>374</v>
      </c>
      <c r="I16" s="2">
        <v>5732</v>
      </c>
      <c r="L16" s="1" t="s">
        <v>406</v>
      </c>
      <c r="M16" s="2">
        <v>5328</v>
      </c>
      <c r="P16" s="1" t="s">
        <v>368</v>
      </c>
      <c r="Q16" s="2">
        <v>5732</v>
      </c>
      <c r="T16" s="1" t="s">
        <v>388</v>
      </c>
      <c r="U16" s="2">
        <v>5767</v>
      </c>
    </row>
    <row r="17" spans="2:21">
      <c r="B17" s="1" t="s">
        <v>350</v>
      </c>
      <c r="C17" s="2">
        <v>56.6</v>
      </c>
      <c r="D17" s="2">
        <v>1600</v>
      </c>
      <c r="G17" s="1" t="s">
        <v>268</v>
      </c>
      <c r="H17" s="2">
        <v>379</v>
      </c>
      <c r="I17" s="2">
        <v>4804</v>
      </c>
      <c r="L17" s="1" t="s">
        <v>377</v>
      </c>
      <c r="M17" s="2">
        <v>5312</v>
      </c>
      <c r="P17" s="1" t="s">
        <v>338</v>
      </c>
      <c r="Q17" s="2">
        <v>5715</v>
      </c>
      <c r="T17" s="1" t="s">
        <v>337</v>
      </c>
      <c r="U17" s="2">
        <v>5697</v>
      </c>
    </row>
    <row r="18" spans="2:21">
      <c r="B18" s="1" t="s">
        <v>351</v>
      </c>
      <c r="C18" s="2">
        <v>56.8</v>
      </c>
      <c r="D18" s="2">
        <v>2435</v>
      </c>
      <c r="G18" s="1" t="s">
        <v>269</v>
      </c>
      <c r="H18" s="2">
        <v>405</v>
      </c>
      <c r="I18" s="2">
        <v>6129</v>
      </c>
      <c r="L18" s="1" t="s">
        <v>378</v>
      </c>
      <c r="M18" s="2">
        <v>5296</v>
      </c>
      <c r="P18" s="1" t="s">
        <v>406</v>
      </c>
      <c r="Q18" s="2">
        <v>5715</v>
      </c>
      <c r="T18" s="1" t="s">
        <v>338</v>
      </c>
      <c r="U18" s="2">
        <v>5697</v>
      </c>
    </row>
    <row r="19" spans="2:21">
      <c r="B19" s="1" t="s">
        <v>352</v>
      </c>
      <c r="C19" s="2">
        <v>66.900000000000006</v>
      </c>
      <c r="D19" s="2">
        <v>4138</v>
      </c>
      <c r="G19" s="1">
        <v>10000</v>
      </c>
      <c r="H19" s="2">
        <v>415</v>
      </c>
      <c r="I19" s="2">
        <v>6037</v>
      </c>
      <c r="L19" s="1" t="s">
        <v>387</v>
      </c>
      <c r="M19" s="2">
        <v>5296</v>
      </c>
      <c r="P19" s="1" t="s">
        <v>425</v>
      </c>
      <c r="Q19" s="2">
        <v>5680</v>
      </c>
      <c r="T19" s="1" t="s">
        <v>419</v>
      </c>
      <c r="U19" s="2">
        <v>5680</v>
      </c>
    </row>
    <row r="20" spans="2:21">
      <c r="B20" s="1" t="s">
        <v>353</v>
      </c>
      <c r="C20" s="2">
        <v>67.099999999999994</v>
      </c>
      <c r="D20" s="2">
        <v>2709</v>
      </c>
      <c r="G20" s="1" t="s">
        <v>270</v>
      </c>
      <c r="H20" s="2">
        <v>442</v>
      </c>
      <c r="I20" s="2">
        <v>6300</v>
      </c>
      <c r="L20" s="1" t="s">
        <v>386</v>
      </c>
      <c r="M20" s="2">
        <v>5264</v>
      </c>
      <c r="P20" s="1" t="s">
        <v>429</v>
      </c>
      <c r="Q20" s="2">
        <v>5646</v>
      </c>
      <c r="T20" s="1" t="s">
        <v>393</v>
      </c>
      <c r="U20" s="2">
        <v>5663</v>
      </c>
    </row>
    <row r="21" spans="2:21">
      <c r="B21" s="1" t="s">
        <v>354</v>
      </c>
      <c r="C21" s="2">
        <v>67.3</v>
      </c>
      <c r="D21" s="2">
        <v>3194</v>
      </c>
      <c r="G21" s="1" t="s">
        <v>271</v>
      </c>
      <c r="H21" s="2">
        <v>449</v>
      </c>
      <c r="I21" s="2">
        <v>6635</v>
      </c>
      <c r="L21" s="1" t="s">
        <v>384</v>
      </c>
      <c r="M21" s="2">
        <v>5232</v>
      </c>
      <c r="P21" s="1" t="s">
        <v>404</v>
      </c>
      <c r="Q21" s="2">
        <v>5510</v>
      </c>
      <c r="T21" s="1" t="s">
        <v>376</v>
      </c>
      <c r="U21" s="2">
        <v>5628</v>
      </c>
    </row>
    <row r="22" spans="2:21">
      <c r="B22" s="1" t="s">
        <v>355</v>
      </c>
      <c r="C22" s="2">
        <v>67.3</v>
      </c>
      <c r="D22" s="2">
        <v>1721</v>
      </c>
      <c r="G22" s="1" t="s">
        <v>272</v>
      </c>
      <c r="H22" s="2">
        <v>451</v>
      </c>
      <c r="I22" s="2">
        <v>6074</v>
      </c>
      <c r="L22" s="1" t="s">
        <v>358</v>
      </c>
      <c r="M22" s="2">
        <v>5168</v>
      </c>
      <c r="P22" s="1" t="s">
        <v>423</v>
      </c>
      <c r="Q22" s="2">
        <v>5510</v>
      </c>
      <c r="T22" s="1" t="s">
        <v>402</v>
      </c>
      <c r="U22" s="2">
        <v>5526</v>
      </c>
    </row>
    <row r="23" spans="2:21">
      <c r="B23" s="1" t="s">
        <v>356</v>
      </c>
      <c r="C23" s="2">
        <v>70.099999999999994</v>
      </c>
      <c r="D23" s="2">
        <v>3905</v>
      </c>
      <c r="G23" s="1" t="s">
        <v>273</v>
      </c>
      <c r="H23" s="2">
        <v>462</v>
      </c>
      <c r="I23" s="2">
        <v>5680</v>
      </c>
      <c r="L23" s="1" t="s">
        <v>392</v>
      </c>
      <c r="M23" s="2">
        <v>5013</v>
      </c>
      <c r="P23" s="1" t="s">
        <v>397</v>
      </c>
      <c r="Q23" s="2">
        <v>5476</v>
      </c>
      <c r="T23" s="1" t="s">
        <v>383</v>
      </c>
      <c r="U23" s="2">
        <v>5510</v>
      </c>
    </row>
    <row r="24" spans="2:21">
      <c r="B24" s="1" t="s">
        <v>357</v>
      </c>
      <c r="C24" s="2">
        <v>71.8</v>
      </c>
      <c r="D24" s="2">
        <v>2933</v>
      </c>
      <c r="G24" s="1" t="s">
        <v>274</v>
      </c>
      <c r="H24" s="2">
        <v>469</v>
      </c>
      <c r="I24" s="2">
        <v>5106</v>
      </c>
      <c r="L24" s="1" t="s">
        <v>390</v>
      </c>
      <c r="M24" s="2">
        <v>4878</v>
      </c>
      <c r="P24" s="1" t="s">
        <v>419</v>
      </c>
      <c r="Q24" s="2">
        <v>5459</v>
      </c>
      <c r="T24" s="1" t="s">
        <v>341</v>
      </c>
      <c r="U24" s="2">
        <v>5476</v>
      </c>
    </row>
    <row r="25" spans="2:21">
      <c r="B25" s="1" t="s">
        <v>358</v>
      </c>
      <c r="C25" s="2">
        <v>72</v>
      </c>
      <c r="D25" s="2">
        <v>2450</v>
      </c>
      <c r="G25" s="1" t="s">
        <v>275</v>
      </c>
      <c r="H25" s="2">
        <v>473</v>
      </c>
      <c r="I25" s="2">
        <v>4907</v>
      </c>
      <c r="L25" s="1" t="s">
        <v>359</v>
      </c>
      <c r="M25" s="2">
        <v>4878</v>
      </c>
      <c r="P25" s="1" t="s">
        <v>380</v>
      </c>
      <c r="Q25" s="2">
        <v>5426</v>
      </c>
      <c r="T25" s="1" t="s">
        <v>373</v>
      </c>
      <c r="U25" s="2">
        <v>5328</v>
      </c>
    </row>
    <row r="26" spans="2:21">
      <c r="B26" s="1" t="s">
        <v>359</v>
      </c>
      <c r="C26" s="2">
        <v>82.3</v>
      </c>
      <c r="D26" s="2">
        <v>3457</v>
      </c>
      <c r="G26" s="1" t="s">
        <v>276</v>
      </c>
      <c r="H26" s="2">
        <v>491</v>
      </c>
      <c r="I26" s="2">
        <v>5964</v>
      </c>
      <c r="L26" s="1" t="s">
        <v>335</v>
      </c>
      <c r="M26" s="2">
        <v>4848</v>
      </c>
      <c r="P26" s="1" t="s">
        <v>349</v>
      </c>
      <c r="Q26" s="2">
        <v>5426</v>
      </c>
      <c r="T26" s="1" t="s">
        <v>432</v>
      </c>
      <c r="U26" s="2">
        <v>5280</v>
      </c>
    </row>
    <row r="27" spans="2:21">
      <c r="B27" s="1" t="s">
        <v>360</v>
      </c>
      <c r="C27" s="2">
        <v>85.4</v>
      </c>
      <c r="D27" s="2">
        <v>4717</v>
      </c>
      <c r="G27" s="1" t="s">
        <v>277</v>
      </c>
      <c r="H27" s="2">
        <v>504</v>
      </c>
      <c r="I27" s="2">
        <v>4646</v>
      </c>
      <c r="L27" s="1" t="s">
        <v>346</v>
      </c>
      <c r="M27" s="2">
        <v>4848</v>
      </c>
      <c r="P27" s="1" t="s">
        <v>353</v>
      </c>
      <c r="Q27" s="2">
        <v>5312</v>
      </c>
      <c r="T27" s="1" t="s">
        <v>401</v>
      </c>
      <c r="U27" s="2">
        <v>5152</v>
      </c>
    </row>
    <row r="28" spans="2:21">
      <c r="B28" s="1" t="s">
        <v>361</v>
      </c>
      <c r="C28" s="2">
        <v>90.2</v>
      </c>
      <c r="D28" s="2">
        <v>4001</v>
      </c>
      <c r="G28" s="1" t="s">
        <v>278</v>
      </c>
      <c r="H28" s="2">
        <v>506</v>
      </c>
      <c r="I28" s="2">
        <v>6092</v>
      </c>
      <c r="L28" s="1" t="s">
        <v>381</v>
      </c>
      <c r="M28" s="2">
        <v>4819</v>
      </c>
      <c r="P28" s="1" t="s">
        <v>371</v>
      </c>
      <c r="Q28" s="2">
        <v>5312</v>
      </c>
      <c r="T28" s="1" t="s">
        <v>409</v>
      </c>
      <c r="U28" s="2">
        <v>4631</v>
      </c>
    </row>
    <row r="29" spans="2:21">
      <c r="B29" s="1" t="s">
        <v>362</v>
      </c>
      <c r="C29" s="2">
        <v>93.6</v>
      </c>
      <c r="D29" s="2">
        <v>2862</v>
      </c>
      <c r="G29" s="1" t="s">
        <v>279</v>
      </c>
      <c r="H29" s="2">
        <v>517</v>
      </c>
      <c r="I29" s="2">
        <v>5543</v>
      </c>
      <c r="L29" s="1" t="s">
        <v>354</v>
      </c>
      <c r="M29" s="2">
        <v>4819</v>
      </c>
      <c r="P29" s="1" t="s">
        <v>373</v>
      </c>
      <c r="Q29" s="2">
        <v>5137</v>
      </c>
      <c r="T29" s="1" t="s">
        <v>412</v>
      </c>
      <c r="U29" s="2">
        <v>4318</v>
      </c>
    </row>
    <row r="30" spans="2:21">
      <c r="B30" s="1" t="s">
        <v>363</v>
      </c>
      <c r="C30" s="2">
        <v>93.8</v>
      </c>
      <c r="D30" s="2">
        <v>3079</v>
      </c>
      <c r="G30" s="1" t="s">
        <v>280</v>
      </c>
      <c r="H30" s="2">
        <v>523</v>
      </c>
      <c r="I30" s="2">
        <v>6129</v>
      </c>
      <c r="L30" s="1" t="s">
        <v>336</v>
      </c>
      <c r="M30" s="2">
        <v>4819</v>
      </c>
      <c r="P30" s="1" t="s">
        <v>415</v>
      </c>
      <c r="Q30" s="2">
        <v>5121</v>
      </c>
      <c r="T30" s="1" t="s">
        <v>429</v>
      </c>
      <c r="U30" s="2">
        <v>4253</v>
      </c>
    </row>
    <row r="31" spans="2:21">
      <c r="B31" s="1" t="s">
        <v>364</v>
      </c>
      <c r="C31" s="2">
        <v>97.6</v>
      </c>
      <c r="D31" s="2">
        <v>3586</v>
      </c>
      <c r="G31" s="1" t="s">
        <v>281</v>
      </c>
      <c r="H31" s="2">
        <v>523</v>
      </c>
      <c r="I31" s="2">
        <v>4804</v>
      </c>
      <c r="L31" s="1" t="s">
        <v>343</v>
      </c>
      <c r="M31" s="2">
        <v>4804</v>
      </c>
      <c r="P31" s="1" t="s">
        <v>376</v>
      </c>
      <c r="Q31" s="2">
        <v>5121</v>
      </c>
      <c r="T31" s="1" t="s">
        <v>354</v>
      </c>
      <c r="U31" s="2">
        <v>4253</v>
      </c>
    </row>
    <row r="32" spans="2:21">
      <c r="B32" s="1" t="s">
        <v>365</v>
      </c>
      <c r="C32" s="2">
        <v>102</v>
      </c>
      <c r="D32" s="2">
        <v>3834</v>
      </c>
      <c r="G32" s="1" t="s">
        <v>282</v>
      </c>
      <c r="H32" s="2">
        <v>533</v>
      </c>
      <c r="I32" s="2">
        <v>5802</v>
      </c>
      <c r="L32" s="1" t="s">
        <v>426</v>
      </c>
      <c r="M32" s="2">
        <v>4789</v>
      </c>
      <c r="P32" s="1" t="s">
        <v>398</v>
      </c>
      <c r="Q32" s="2">
        <v>5090</v>
      </c>
      <c r="T32" s="1" t="s">
        <v>355</v>
      </c>
      <c r="U32" s="2">
        <v>4014</v>
      </c>
    </row>
    <row r="33" spans="2:21">
      <c r="B33" s="1" t="s">
        <v>366</v>
      </c>
      <c r="C33" s="2">
        <v>103</v>
      </c>
      <c r="D33" s="2">
        <v>3005</v>
      </c>
      <c r="G33" s="1">
        <v>100</v>
      </c>
      <c r="H33" s="2">
        <v>534</v>
      </c>
      <c r="I33" s="2">
        <v>6736</v>
      </c>
      <c r="L33" s="1" t="s">
        <v>425</v>
      </c>
      <c r="M33" s="2">
        <v>4775</v>
      </c>
      <c r="P33" s="1" t="s">
        <v>348</v>
      </c>
      <c r="Q33" s="2">
        <v>5059</v>
      </c>
      <c r="T33" s="1" t="s">
        <v>381</v>
      </c>
      <c r="U33" s="2">
        <v>4001</v>
      </c>
    </row>
    <row r="34" spans="2:21">
      <c r="B34" s="1" t="s">
        <v>367</v>
      </c>
      <c r="C34" s="2">
        <v>109</v>
      </c>
      <c r="D34" s="2">
        <v>2693</v>
      </c>
      <c r="G34" s="1" t="s">
        <v>283</v>
      </c>
      <c r="H34" s="2">
        <v>553</v>
      </c>
      <c r="I34" s="2">
        <v>6716</v>
      </c>
      <c r="L34" s="1" t="s">
        <v>430</v>
      </c>
      <c r="M34" s="2">
        <v>4746</v>
      </c>
      <c r="P34" s="1" t="s">
        <v>387</v>
      </c>
      <c r="Q34" s="2">
        <v>5044</v>
      </c>
      <c r="T34" s="1" t="s">
        <v>377</v>
      </c>
      <c r="U34" s="2">
        <v>3929</v>
      </c>
    </row>
    <row r="35" spans="2:21">
      <c r="B35" s="1" t="s">
        <v>368</v>
      </c>
      <c r="C35" s="2">
        <v>112</v>
      </c>
      <c r="D35" s="2">
        <v>3708</v>
      </c>
      <c r="G35" s="1" t="s">
        <v>284</v>
      </c>
      <c r="H35" s="2">
        <v>554</v>
      </c>
      <c r="I35" s="2">
        <v>5443</v>
      </c>
      <c r="L35" s="1" t="s">
        <v>380</v>
      </c>
      <c r="M35" s="2">
        <v>4631</v>
      </c>
      <c r="P35" s="1" t="s">
        <v>393</v>
      </c>
      <c r="Q35" s="2">
        <v>4998</v>
      </c>
      <c r="T35" s="1" t="s">
        <v>375</v>
      </c>
      <c r="U35" s="2">
        <v>3881</v>
      </c>
    </row>
    <row r="36" spans="2:21">
      <c r="B36" s="1" t="s">
        <v>369</v>
      </c>
      <c r="C36" s="2">
        <v>114</v>
      </c>
      <c r="D36" s="2">
        <v>3846</v>
      </c>
      <c r="G36" s="1" t="s">
        <v>285</v>
      </c>
      <c r="H36" s="2">
        <v>559</v>
      </c>
      <c r="I36" s="2">
        <v>5946</v>
      </c>
      <c r="L36" s="1" t="s">
        <v>414</v>
      </c>
      <c r="M36" s="2">
        <v>4617</v>
      </c>
      <c r="P36" s="1" t="s">
        <v>388</v>
      </c>
      <c r="Q36" s="2">
        <v>4983</v>
      </c>
      <c r="T36" s="1" t="s">
        <v>400</v>
      </c>
      <c r="U36" s="2">
        <v>3834</v>
      </c>
    </row>
    <row r="37" spans="2:21">
      <c r="B37" s="1" t="s">
        <v>370</v>
      </c>
      <c r="C37" s="2">
        <v>117</v>
      </c>
      <c r="D37" s="2">
        <v>5946</v>
      </c>
      <c r="G37" s="1" t="s">
        <v>286</v>
      </c>
      <c r="H37" s="2">
        <v>559</v>
      </c>
      <c r="I37" s="2">
        <v>5152</v>
      </c>
      <c r="L37" s="1" t="s">
        <v>391</v>
      </c>
      <c r="M37" s="2">
        <v>4575</v>
      </c>
      <c r="P37" s="1" t="s">
        <v>343</v>
      </c>
      <c r="Q37" s="2">
        <v>4952</v>
      </c>
      <c r="T37" s="1" t="s">
        <v>391</v>
      </c>
      <c r="U37" s="2">
        <v>3652</v>
      </c>
    </row>
    <row r="38" spans="2:21">
      <c r="B38" s="1" t="s">
        <v>371</v>
      </c>
      <c r="C38" s="2">
        <v>118</v>
      </c>
      <c r="D38" s="2">
        <v>3353</v>
      </c>
      <c r="G38" s="1" t="s">
        <v>287</v>
      </c>
      <c r="H38" s="2">
        <v>561</v>
      </c>
      <c r="I38" s="2">
        <v>6055</v>
      </c>
      <c r="L38" s="1" t="s">
        <v>394</v>
      </c>
      <c r="M38" s="2">
        <v>4575</v>
      </c>
      <c r="P38" s="1" t="s">
        <v>367</v>
      </c>
      <c r="Q38" s="2">
        <v>4863</v>
      </c>
      <c r="T38" s="1" t="s">
        <v>358</v>
      </c>
      <c r="U38" s="2">
        <v>159</v>
      </c>
    </row>
    <row r="39" spans="2:21">
      <c r="B39" s="1" t="s">
        <v>372</v>
      </c>
      <c r="C39" s="2">
        <v>131</v>
      </c>
      <c r="D39" s="2">
        <v>4214</v>
      </c>
      <c r="G39" s="1" t="s">
        <v>288</v>
      </c>
      <c r="H39" s="2">
        <v>568</v>
      </c>
      <c r="I39" s="2">
        <v>5560</v>
      </c>
      <c r="L39" s="1" t="s">
        <v>412</v>
      </c>
      <c r="M39" s="2">
        <v>4575</v>
      </c>
      <c r="P39" s="1" t="s">
        <v>357</v>
      </c>
      <c r="Q39" s="2">
        <v>4804</v>
      </c>
      <c r="T39" s="1" t="s">
        <v>352</v>
      </c>
      <c r="U39" s="2">
        <v>157</v>
      </c>
    </row>
    <row r="40" spans="2:21">
      <c r="B40" s="1" t="s">
        <v>373</v>
      </c>
      <c r="C40" s="2">
        <v>133</v>
      </c>
      <c r="D40" s="2">
        <v>3858</v>
      </c>
      <c r="G40" s="1" t="s">
        <v>289</v>
      </c>
      <c r="H40" s="2">
        <v>570</v>
      </c>
      <c r="I40" s="2">
        <v>5377</v>
      </c>
      <c r="L40" s="1" t="s">
        <v>419</v>
      </c>
      <c r="M40" s="2">
        <v>4561</v>
      </c>
      <c r="P40" s="1" t="s">
        <v>411</v>
      </c>
      <c r="Q40" s="2">
        <v>4775</v>
      </c>
      <c r="T40" s="1" t="s">
        <v>365</v>
      </c>
      <c r="U40" s="2">
        <v>154</v>
      </c>
    </row>
    <row r="41" spans="2:21">
      <c r="B41" s="1" t="s">
        <v>374</v>
      </c>
      <c r="C41" s="2">
        <v>133</v>
      </c>
      <c r="D41" s="2">
        <v>4358</v>
      </c>
      <c r="G41" s="1" t="s">
        <v>290</v>
      </c>
      <c r="H41" s="2">
        <v>593</v>
      </c>
      <c r="I41" s="2">
        <v>6167</v>
      </c>
      <c r="L41" s="1" t="s">
        <v>375</v>
      </c>
      <c r="M41" s="2">
        <v>4520</v>
      </c>
      <c r="P41" s="1" t="s">
        <v>382</v>
      </c>
      <c r="Q41" s="2">
        <v>4731</v>
      </c>
      <c r="T41" s="1" t="s">
        <v>371</v>
      </c>
      <c r="U41" s="2">
        <v>151</v>
      </c>
    </row>
    <row r="42" spans="2:21">
      <c r="B42" s="1" t="s">
        <v>375</v>
      </c>
      <c r="C42" s="2">
        <v>162</v>
      </c>
      <c r="D42" s="2">
        <v>2933</v>
      </c>
      <c r="G42" s="1" t="s">
        <v>291</v>
      </c>
      <c r="H42" s="2">
        <v>594</v>
      </c>
      <c r="I42" s="2">
        <v>5476</v>
      </c>
      <c r="L42" s="1" t="s">
        <v>371</v>
      </c>
      <c r="M42" s="2">
        <v>4506</v>
      </c>
      <c r="P42" s="1" t="s">
        <v>394</v>
      </c>
      <c r="Q42" s="2">
        <v>4561</v>
      </c>
      <c r="T42" s="1" t="s">
        <v>411</v>
      </c>
      <c r="U42" s="2">
        <v>151</v>
      </c>
    </row>
    <row r="43" spans="2:21">
      <c r="B43" s="1" t="s">
        <v>376</v>
      </c>
      <c r="C43" s="2">
        <v>163</v>
      </c>
      <c r="D43" s="2">
        <v>3977</v>
      </c>
      <c r="G43" s="1">
        <v>100000000</v>
      </c>
      <c r="H43" s="2">
        <v>620</v>
      </c>
      <c r="I43" s="2">
        <v>6635</v>
      </c>
      <c r="L43" s="1" t="s">
        <v>402</v>
      </c>
      <c r="M43" s="2">
        <v>4452</v>
      </c>
      <c r="P43" s="1" t="s">
        <v>428</v>
      </c>
      <c r="Q43" s="2">
        <v>4506</v>
      </c>
      <c r="T43" s="1" t="s">
        <v>346</v>
      </c>
      <c r="U43" s="2">
        <v>150</v>
      </c>
    </row>
    <row r="44" spans="2:21">
      <c r="B44" s="1" t="s">
        <v>377</v>
      </c>
      <c r="C44" s="2">
        <v>174</v>
      </c>
      <c r="D44" s="2">
        <v>3800</v>
      </c>
      <c r="G44" s="1" t="s">
        <v>292</v>
      </c>
      <c r="H44" s="2">
        <v>636</v>
      </c>
      <c r="I44" s="2">
        <v>5611</v>
      </c>
      <c r="L44" s="1" t="s">
        <v>339</v>
      </c>
      <c r="M44" s="2">
        <v>4384</v>
      </c>
      <c r="P44" s="1" t="s">
        <v>337</v>
      </c>
      <c r="Q44" s="2">
        <v>4438</v>
      </c>
      <c r="T44" s="1" t="s">
        <v>378</v>
      </c>
      <c r="U44" s="2">
        <v>144</v>
      </c>
    </row>
    <row r="45" spans="2:21">
      <c r="B45" s="1" t="s">
        <v>378</v>
      </c>
      <c r="C45" s="2">
        <v>175</v>
      </c>
      <c r="D45" s="2">
        <v>4189</v>
      </c>
      <c r="G45" s="1" t="s">
        <v>293</v>
      </c>
      <c r="H45" s="2">
        <v>641</v>
      </c>
      <c r="I45" s="2">
        <v>5443</v>
      </c>
      <c r="L45" s="1" t="s">
        <v>361</v>
      </c>
      <c r="M45" s="2">
        <v>4344</v>
      </c>
      <c r="P45" s="1" t="s">
        <v>366</v>
      </c>
      <c r="Q45" s="2">
        <v>4425</v>
      </c>
      <c r="T45" s="1" t="s">
        <v>418</v>
      </c>
      <c r="U45" s="2">
        <v>144</v>
      </c>
    </row>
    <row r="46" spans="2:21">
      <c r="B46" s="1" t="s">
        <v>379</v>
      </c>
      <c r="C46" s="2">
        <v>175</v>
      </c>
      <c r="D46" s="2">
        <v>4789</v>
      </c>
      <c r="G46" s="1" t="s">
        <v>294</v>
      </c>
      <c r="H46" s="2">
        <v>645</v>
      </c>
      <c r="I46" s="2">
        <v>6416</v>
      </c>
      <c r="L46" s="1" t="s">
        <v>363</v>
      </c>
      <c r="M46" s="2">
        <v>4279</v>
      </c>
      <c r="P46" s="1" t="s">
        <v>389</v>
      </c>
      <c r="Q46" s="2">
        <v>4411</v>
      </c>
      <c r="T46" s="1" t="s">
        <v>364</v>
      </c>
      <c r="U46" s="2">
        <v>143</v>
      </c>
    </row>
    <row r="47" spans="2:21">
      <c r="B47" s="1" t="s">
        <v>380</v>
      </c>
      <c r="C47" s="2">
        <v>181</v>
      </c>
      <c r="D47" s="2">
        <v>4344</v>
      </c>
      <c r="G47" s="1" t="s">
        <v>295</v>
      </c>
      <c r="H47" s="2">
        <v>653</v>
      </c>
      <c r="I47" s="2">
        <v>5874</v>
      </c>
      <c r="L47" s="1" t="s">
        <v>421</v>
      </c>
      <c r="M47" s="2">
        <v>4253</v>
      </c>
      <c r="P47" s="1" t="s">
        <v>386</v>
      </c>
      <c r="Q47" s="2">
        <v>4384</v>
      </c>
      <c r="T47" s="1" t="s">
        <v>416</v>
      </c>
      <c r="U47" s="2">
        <v>141</v>
      </c>
    </row>
    <row r="48" spans="2:21">
      <c r="B48" s="1" t="s">
        <v>381</v>
      </c>
      <c r="C48" s="2">
        <v>185</v>
      </c>
      <c r="D48" s="2">
        <v>3405</v>
      </c>
      <c r="G48" s="1" t="s">
        <v>296</v>
      </c>
      <c r="H48" s="2">
        <v>659</v>
      </c>
      <c r="I48" s="2">
        <v>5377</v>
      </c>
      <c r="L48" s="1" t="s">
        <v>382</v>
      </c>
      <c r="M48" s="2">
        <v>4240</v>
      </c>
      <c r="P48" s="1" t="s">
        <v>341</v>
      </c>
      <c r="Q48" s="2">
        <v>4371</v>
      </c>
      <c r="T48" s="1" t="s">
        <v>335</v>
      </c>
      <c r="U48" s="2">
        <v>138</v>
      </c>
    </row>
    <row r="49" spans="2:21">
      <c r="B49" s="1" t="s">
        <v>382</v>
      </c>
      <c r="C49" s="2">
        <v>188</v>
      </c>
      <c r="D49" s="2">
        <v>3175</v>
      </c>
      <c r="G49" s="1" t="s">
        <v>297</v>
      </c>
      <c r="H49" s="2">
        <v>684</v>
      </c>
      <c r="I49" s="2">
        <v>6554</v>
      </c>
      <c r="L49" s="1" t="s">
        <v>405</v>
      </c>
      <c r="M49" s="2">
        <v>4227</v>
      </c>
      <c r="P49" s="1" t="s">
        <v>432</v>
      </c>
      <c r="Q49" s="2">
        <v>4344</v>
      </c>
      <c r="T49" s="1" t="s">
        <v>410</v>
      </c>
      <c r="U49" s="2">
        <v>137</v>
      </c>
    </row>
    <row r="50" spans="2:21">
      <c r="B50" s="1" t="s">
        <v>383</v>
      </c>
      <c r="C50" s="2">
        <v>189</v>
      </c>
      <c r="D50" s="2">
        <v>2557</v>
      </c>
      <c r="G50" s="1" t="s">
        <v>298</v>
      </c>
      <c r="H50" s="2">
        <v>686</v>
      </c>
      <c r="I50" s="2">
        <v>7073</v>
      </c>
      <c r="L50" s="1" t="s">
        <v>353</v>
      </c>
      <c r="M50" s="2">
        <v>4176</v>
      </c>
      <c r="P50" s="1" t="s">
        <v>356</v>
      </c>
      <c r="Q50" s="2">
        <v>4240</v>
      </c>
      <c r="T50" s="1" t="s">
        <v>389</v>
      </c>
      <c r="U50" s="2">
        <v>137</v>
      </c>
    </row>
    <row r="51" spans="2:21">
      <c r="B51" s="1" t="s">
        <v>384</v>
      </c>
      <c r="C51" s="2">
        <v>189</v>
      </c>
      <c r="D51" s="2">
        <v>3608</v>
      </c>
      <c r="G51" s="1" t="s">
        <v>299</v>
      </c>
      <c r="H51" s="2">
        <v>696</v>
      </c>
      <c r="I51" s="2">
        <v>6554</v>
      </c>
      <c r="L51" s="1" t="s">
        <v>393</v>
      </c>
      <c r="M51" s="2">
        <v>4163</v>
      </c>
      <c r="P51" s="1" t="s">
        <v>375</v>
      </c>
      <c r="Q51" s="2">
        <v>4227</v>
      </c>
      <c r="T51" s="1" t="s">
        <v>427</v>
      </c>
      <c r="U51" s="2">
        <v>135</v>
      </c>
    </row>
    <row r="52" spans="2:21">
      <c r="B52" s="1" t="s">
        <v>385</v>
      </c>
      <c r="C52" s="2">
        <v>190</v>
      </c>
      <c r="D52" s="2">
        <v>3283</v>
      </c>
      <c r="G52" s="1" t="s">
        <v>300</v>
      </c>
      <c r="H52" s="2">
        <v>714</v>
      </c>
      <c r="I52" s="2">
        <v>6338</v>
      </c>
      <c r="L52" s="1" t="s">
        <v>401</v>
      </c>
      <c r="M52" s="2">
        <v>4138</v>
      </c>
      <c r="P52" s="1" t="s">
        <v>363</v>
      </c>
      <c r="Q52" s="2">
        <v>4150</v>
      </c>
      <c r="T52" s="1" t="s">
        <v>385</v>
      </c>
      <c r="U52" s="2">
        <v>135</v>
      </c>
    </row>
    <row r="53" spans="2:21">
      <c r="B53" s="1" t="s">
        <v>386</v>
      </c>
      <c r="C53" s="2">
        <v>203</v>
      </c>
      <c r="D53" s="2">
        <v>3754</v>
      </c>
      <c r="G53" s="1">
        <v>10000000000</v>
      </c>
      <c r="H53" s="2">
        <v>714</v>
      </c>
      <c r="I53" s="2">
        <v>5493</v>
      </c>
      <c r="L53" s="1" t="s">
        <v>418</v>
      </c>
      <c r="M53" s="2">
        <v>4138</v>
      </c>
      <c r="P53" s="1" t="s">
        <v>408</v>
      </c>
      <c r="Q53" s="2">
        <v>4150</v>
      </c>
      <c r="T53" s="1" t="s">
        <v>360</v>
      </c>
      <c r="U53" s="2">
        <v>135</v>
      </c>
    </row>
    <row r="54" spans="2:21">
      <c r="B54" s="1" t="s">
        <v>387</v>
      </c>
      <c r="C54" s="2">
        <v>215</v>
      </c>
      <c r="D54" s="2">
        <v>6055</v>
      </c>
      <c r="G54" s="1" t="s">
        <v>301</v>
      </c>
      <c r="H54" s="2">
        <v>738</v>
      </c>
      <c r="I54" s="2">
        <v>7292</v>
      </c>
      <c r="L54" s="1" t="s">
        <v>429</v>
      </c>
      <c r="M54" s="2">
        <v>4100</v>
      </c>
      <c r="P54" s="1" t="s">
        <v>339</v>
      </c>
      <c r="Q54" s="2">
        <v>4026</v>
      </c>
      <c r="T54" s="1" t="s">
        <v>339</v>
      </c>
      <c r="U54" s="2">
        <v>132</v>
      </c>
    </row>
    <row r="55" spans="2:21">
      <c r="B55" s="1" t="s">
        <v>388</v>
      </c>
      <c r="C55" s="2">
        <v>216</v>
      </c>
      <c r="D55" s="2">
        <v>3204</v>
      </c>
      <c r="G55" s="1">
        <v>10000000</v>
      </c>
      <c r="H55" s="2">
        <v>740</v>
      </c>
      <c r="I55" s="2">
        <v>6205</v>
      </c>
      <c r="L55" s="1" t="s">
        <v>355</v>
      </c>
      <c r="M55" s="2">
        <v>4075</v>
      </c>
      <c r="P55" s="1" t="s">
        <v>422</v>
      </c>
      <c r="Q55" s="2">
        <v>4014</v>
      </c>
      <c r="T55" s="1" t="s">
        <v>413</v>
      </c>
      <c r="U55" s="2">
        <v>132</v>
      </c>
    </row>
    <row r="56" spans="2:21">
      <c r="B56" s="1" t="s">
        <v>389</v>
      </c>
      <c r="C56" s="2">
        <v>224</v>
      </c>
      <c r="D56" s="2">
        <v>3489</v>
      </c>
      <c r="G56" s="1" t="s">
        <v>302</v>
      </c>
      <c r="H56" s="2">
        <v>763</v>
      </c>
      <c r="I56" s="2">
        <v>6281</v>
      </c>
      <c r="L56" s="1" t="s">
        <v>415</v>
      </c>
      <c r="M56" s="2">
        <v>4063</v>
      </c>
      <c r="P56" s="1" t="s">
        <v>361</v>
      </c>
      <c r="Q56" s="2">
        <v>4001</v>
      </c>
      <c r="T56" s="1" t="s">
        <v>399</v>
      </c>
      <c r="U56" s="2">
        <v>131</v>
      </c>
    </row>
    <row r="57" spans="2:21">
      <c r="B57" s="1" t="s">
        <v>390</v>
      </c>
      <c r="C57" s="2">
        <v>228</v>
      </c>
      <c r="D57" s="2">
        <v>4163</v>
      </c>
      <c r="G57" s="1">
        <v>1000</v>
      </c>
      <c r="H57" s="2">
        <v>782</v>
      </c>
      <c r="I57" s="2">
        <v>6436</v>
      </c>
      <c r="L57" s="1" t="s">
        <v>383</v>
      </c>
      <c r="M57" s="2">
        <v>3870</v>
      </c>
      <c r="P57" s="1" t="s">
        <v>355</v>
      </c>
      <c r="Q57" s="2">
        <v>3989</v>
      </c>
      <c r="T57" s="1" t="s">
        <v>363</v>
      </c>
      <c r="U57" s="2">
        <v>130</v>
      </c>
    </row>
    <row r="58" spans="2:21">
      <c r="B58" s="1" t="s">
        <v>391</v>
      </c>
      <c r="C58" s="2">
        <v>260</v>
      </c>
      <c r="D58" s="2">
        <v>3941</v>
      </c>
      <c r="G58" s="1" t="s">
        <v>303</v>
      </c>
      <c r="H58" s="2">
        <v>791</v>
      </c>
      <c r="I58" s="2">
        <v>6224</v>
      </c>
      <c r="L58" s="1" t="s">
        <v>395</v>
      </c>
      <c r="M58" s="2">
        <v>3870</v>
      </c>
      <c r="P58" s="1" t="s">
        <v>402</v>
      </c>
      <c r="Q58" s="2">
        <v>3965</v>
      </c>
      <c r="T58" s="1" t="s">
        <v>398</v>
      </c>
      <c r="U58" s="2">
        <v>130</v>
      </c>
    </row>
    <row r="59" spans="2:21">
      <c r="B59" s="1" t="s">
        <v>392</v>
      </c>
      <c r="C59" s="2">
        <v>270</v>
      </c>
      <c r="D59" s="2">
        <v>4201</v>
      </c>
      <c r="G59" s="1" t="s">
        <v>304</v>
      </c>
      <c r="H59" s="2">
        <v>809</v>
      </c>
      <c r="I59" s="2">
        <v>6716</v>
      </c>
      <c r="L59" s="1" t="s">
        <v>338</v>
      </c>
      <c r="M59" s="2">
        <v>3800</v>
      </c>
      <c r="P59" s="1" t="s">
        <v>383</v>
      </c>
      <c r="Q59" s="2">
        <v>3858</v>
      </c>
      <c r="T59" s="1" t="s">
        <v>407</v>
      </c>
      <c r="U59" s="2">
        <v>130</v>
      </c>
    </row>
    <row r="60" spans="2:21">
      <c r="B60" s="1" t="s">
        <v>393</v>
      </c>
      <c r="C60" s="2">
        <v>273</v>
      </c>
      <c r="D60" s="2">
        <v>3283</v>
      </c>
      <c r="G60" s="1">
        <v>1000000</v>
      </c>
      <c r="H60" s="2">
        <v>811</v>
      </c>
      <c r="I60" s="2">
        <v>6416</v>
      </c>
      <c r="L60" s="1" t="s">
        <v>397</v>
      </c>
      <c r="M60" s="2">
        <v>3686</v>
      </c>
      <c r="P60" s="1" t="s">
        <v>400</v>
      </c>
      <c r="Q60" s="2">
        <v>3834</v>
      </c>
      <c r="T60" s="1" t="s">
        <v>403</v>
      </c>
      <c r="U60" s="2">
        <v>128</v>
      </c>
    </row>
    <row r="61" spans="2:21">
      <c r="B61" s="1" t="s">
        <v>394</v>
      </c>
      <c r="C61" s="2">
        <v>276</v>
      </c>
      <c r="D61" s="2">
        <v>3405</v>
      </c>
      <c r="G61" s="1" t="s">
        <v>305</v>
      </c>
      <c r="H61" s="2">
        <v>816</v>
      </c>
      <c r="I61" s="2">
        <v>6436</v>
      </c>
      <c r="L61" s="1" t="s">
        <v>364</v>
      </c>
      <c r="M61" s="2">
        <v>3586</v>
      </c>
      <c r="P61" s="1" t="s">
        <v>392</v>
      </c>
      <c r="Q61" s="2">
        <v>3834</v>
      </c>
      <c r="T61" s="1" t="s">
        <v>343</v>
      </c>
      <c r="U61" s="2">
        <v>126</v>
      </c>
    </row>
    <row r="62" spans="2:21">
      <c r="B62" s="1" t="s">
        <v>395</v>
      </c>
      <c r="C62" s="2">
        <v>289</v>
      </c>
      <c r="D62" s="2">
        <v>3719</v>
      </c>
      <c r="G62" s="1">
        <v>1000000000000</v>
      </c>
      <c r="H62" s="2">
        <v>831</v>
      </c>
      <c r="I62" s="2">
        <v>6798</v>
      </c>
      <c r="L62" s="1" t="s">
        <v>366</v>
      </c>
      <c r="M62" s="2">
        <v>3447</v>
      </c>
      <c r="P62" s="1" t="s">
        <v>420</v>
      </c>
      <c r="Q62" s="2">
        <v>3811</v>
      </c>
      <c r="T62" s="1" t="s">
        <v>414</v>
      </c>
      <c r="U62" s="2">
        <v>122</v>
      </c>
    </row>
    <row r="63" spans="2:21">
      <c r="B63" s="1" t="s">
        <v>396</v>
      </c>
      <c r="C63" s="2">
        <v>303</v>
      </c>
      <c r="D63" s="2">
        <v>4548</v>
      </c>
      <c r="G63" s="1" t="s">
        <v>306</v>
      </c>
      <c r="H63" s="2">
        <v>852</v>
      </c>
      <c r="I63" s="2">
        <v>5200</v>
      </c>
      <c r="L63" s="1" t="s">
        <v>372</v>
      </c>
      <c r="M63" s="2">
        <v>3426</v>
      </c>
      <c r="P63" s="1" t="s">
        <v>372</v>
      </c>
      <c r="Q63" s="2">
        <v>3800</v>
      </c>
      <c r="T63" s="1" t="s">
        <v>349</v>
      </c>
      <c r="U63" s="2">
        <v>120</v>
      </c>
    </row>
    <row r="64" spans="2:21">
      <c r="B64" s="1" t="s">
        <v>397</v>
      </c>
      <c r="C64" s="2">
        <v>304</v>
      </c>
      <c r="D64" s="2">
        <v>4371</v>
      </c>
      <c r="G64" s="1" t="s">
        <v>307</v>
      </c>
      <c r="H64" s="2">
        <v>870</v>
      </c>
      <c r="I64" s="2">
        <v>5344</v>
      </c>
      <c r="L64" s="1" t="s">
        <v>427</v>
      </c>
      <c r="M64" s="2">
        <v>3108</v>
      </c>
      <c r="P64" s="1" t="s">
        <v>378</v>
      </c>
      <c r="Q64" s="2">
        <v>3788</v>
      </c>
      <c r="T64" s="1" t="s">
        <v>386</v>
      </c>
      <c r="U64" s="2">
        <v>117</v>
      </c>
    </row>
    <row r="65" spans="2:21">
      <c r="B65" s="1" t="s">
        <v>398</v>
      </c>
      <c r="C65" s="2">
        <v>317</v>
      </c>
      <c r="D65" s="2">
        <v>5090</v>
      </c>
      <c r="G65" s="1" t="s">
        <v>308</v>
      </c>
      <c r="H65" s="2">
        <v>886</v>
      </c>
      <c r="I65" s="2">
        <v>6594</v>
      </c>
      <c r="L65" s="1" t="s">
        <v>409</v>
      </c>
      <c r="M65" s="2">
        <v>3089</v>
      </c>
      <c r="P65" s="1" t="s">
        <v>391</v>
      </c>
      <c r="Q65" s="2">
        <v>3742</v>
      </c>
      <c r="T65" s="1" t="s">
        <v>423</v>
      </c>
      <c r="U65" s="2">
        <v>116</v>
      </c>
    </row>
    <row r="66" spans="2:21">
      <c r="B66" s="1" t="s">
        <v>399</v>
      </c>
      <c r="C66" s="2">
        <v>318</v>
      </c>
      <c r="D66" s="2">
        <v>3941</v>
      </c>
      <c r="G66" s="1" t="s">
        <v>309</v>
      </c>
      <c r="H66" s="2">
        <v>900</v>
      </c>
      <c r="I66" s="2">
        <v>5927</v>
      </c>
      <c r="L66" s="1" t="s">
        <v>351</v>
      </c>
      <c r="M66" s="2">
        <v>3033</v>
      </c>
      <c r="P66" s="1" t="s">
        <v>354</v>
      </c>
      <c r="Q66" s="2">
        <v>3708</v>
      </c>
      <c r="T66" s="1" t="s">
        <v>425</v>
      </c>
      <c r="U66" s="2">
        <v>114</v>
      </c>
    </row>
    <row r="67" spans="2:21">
      <c r="B67" s="1" t="s">
        <v>400</v>
      </c>
      <c r="C67" s="2">
        <v>319</v>
      </c>
      <c r="D67" s="2">
        <v>3929</v>
      </c>
      <c r="G67" s="1" t="s">
        <v>310</v>
      </c>
      <c r="H67" s="2">
        <v>905</v>
      </c>
      <c r="I67" s="2">
        <v>4775</v>
      </c>
      <c r="L67" s="1" t="s">
        <v>388</v>
      </c>
      <c r="M67" s="2">
        <v>2960</v>
      </c>
      <c r="P67" s="1" t="s">
        <v>427</v>
      </c>
      <c r="Q67" s="2">
        <v>3674</v>
      </c>
      <c r="T67" s="1" t="s">
        <v>430</v>
      </c>
      <c r="U67" s="2">
        <v>113</v>
      </c>
    </row>
    <row r="68" spans="2:21">
      <c r="B68" s="1" t="s">
        <v>401</v>
      </c>
      <c r="C68" s="2">
        <v>330</v>
      </c>
      <c r="D68" s="2">
        <v>4465</v>
      </c>
      <c r="G68" s="1" t="s">
        <v>311</v>
      </c>
      <c r="H68" s="2">
        <v>913</v>
      </c>
      <c r="I68" s="2">
        <v>6882</v>
      </c>
      <c r="L68" s="1" t="s">
        <v>428</v>
      </c>
      <c r="M68" s="2">
        <v>2960</v>
      </c>
      <c r="P68" s="1" t="s">
        <v>358</v>
      </c>
      <c r="Q68" s="2">
        <v>3674</v>
      </c>
      <c r="T68" s="1" t="s">
        <v>347</v>
      </c>
      <c r="U68" s="2">
        <v>112</v>
      </c>
    </row>
    <row r="69" spans="2:21">
      <c r="B69" s="1" t="s">
        <v>402</v>
      </c>
      <c r="C69" s="2">
        <v>334</v>
      </c>
      <c r="D69" s="2">
        <v>3965</v>
      </c>
      <c r="G69" s="1" t="s">
        <v>312</v>
      </c>
      <c r="H69" s="2">
        <v>968</v>
      </c>
      <c r="I69" s="2">
        <v>6819</v>
      </c>
      <c r="L69" s="1" t="s">
        <v>337</v>
      </c>
      <c r="M69" s="2">
        <v>2897</v>
      </c>
      <c r="P69" s="1" t="s">
        <v>395</v>
      </c>
      <c r="Q69" s="2">
        <v>3641</v>
      </c>
      <c r="T69" s="1" t="s">
        <v>396</v>
      </c>
      <c r="U69" s="2">
        <v>111</v>
      </c>
    </row>
    <row r="70" spans="2:21">
      <c r="B70" s="1" t="s">
        <v>403</v>
      </c>
      <c r="C70" s="2">
        <v>362</v>
      </c>
      <c r="D70" s="2">
        <v>5280</v>
      </c>
      <c r="G70" s="1" t="s">
        <v>313</v>
      </c>
      <c r="H70" s="2">
        <v>977</v>
      </c>
      <c r="I70" s="2">
        <v>5802</v>
      </c>
      <c r="L70" s="1" t="s">
        <v>365</v>
      </c>
      <c r="M70" s="2">
        <v>2810</v>
      </c>
      <c r="P70" s="1" t="s">
        <v>365</v>
      </c>
      <c r="Q70" s="2">
        <v>3630</v>
      </c>
      <c r="T70" s="1" t="s">
        <v>374</v>
      </c>
      <c r="U70" s="2">
        <v>110</v>
      </c>
    </row>
    <row r="71" spans="2:21">
      <c r="B71" s="1" t="s">
        <v>404</v>
      </c>
      <c r="C71" s="2">
        <v>374</v>
      </c>
      <c r="D71" s="2">
        <v>5264</v>
      </c>
      <c r="G71" s="1" t="s">
        <v>314</v>
      </c>
      <c r="H71" s="2">
        <v>1060</v>
      </c>
      <c r="I71" s="2">
        <v>6416</v>
      </c>
      <c r="L71" s="1" t="s">
        <v>400</v>
      </c>
      <c r="M71" s="2">
        <v>2785</v>
      </c>
      <c r="P71" s="1" t="s">
        <v>426</v>
      </c>
      <c r="Q71" s="2">
        <v>3619</v>
      </c>
      <c r="T71" s="1" t="s">
        <v>380</v>
      </c>
      <c r="U71" s="2">
        <v>108</v>
      </c>
    </row>
    <row r="72" spans="2:21">
      <c r="B72" s="1" t="s">
        <v>405</v>
      </c>
      <c r="C72" s="2">
        <v>382</v>
      </c>
      <c r="D72" s="2">
        <v>5312</v>
      </c>
      <c r="G72" s="1" t="s">
        <v>315</v>
      </c>
      <c r="H72" s="2">
        <v>1080</v>
      </c>
      <c r="I72" s="2">
        <v>6475</v>
      </c>
      <c r="L72" s="1" t="s">
        <v>357</v>
      </c>
      <c r="M72" s="2">
        <v>1155</v>
      </c>
      <c r="P72" s="1" t="s">
        <v>377</v>
      </c>
      <c r="Q72" s="2">
        <v>3457</v>
      </c>
      <c r="T72" s="1" t="s">
        <v>336</v>
      </c>
      <c r="U72" s="2">
        <v>108</v>
      </c>
    </row>
    <row r="73" spans="2:21">
      <c r="B73" s="1" t="s">
        <v>406</v>
      </c>
      <c r="C73" s="2">
        <v>386</v>
      </c>
      <c r="D73" s="2">
        <v>4266</v>
      </c>
      <c r="G73" s="1" t="s">
        <v>316</v>
      </c>
      <c r="H73" s="2">
        <v>1093</v>
      </c>
      <c r="I73" s="2">
        <v>6882</v>
      </c>
      <c r="L73" s="1" t="s">
        <v>385</v>
      </c>
      <c r="M73" s="2">
        <v>696</v>
      </c>
      <c r="P73" s="1" t="s">
        <v>385</v>
      </c>
      <c r="Q73" s="2">
        <v>3436</v>
      </c>
      <c r="T73" s="1" t="s">
        <v>362</v>
      </c>
      <c r="U73" s="2">
        <v>105</v>
      </c>
    </row>
    <row r="74" spans="2:21">
      <c r="B74" s="1" t="s">
        <v>407</v>
      </c>
      <c r="C74" s="2">
        <v>395</v>
      </c>
      <c r="D74" s="2">
        <v>3233</v>
      </c>
      <c r="G74" s="1" t="s">
        <v>317</v>
      </c>
      <c r="H74" s="2">
        <v>1103</v>
      </c>
      <c r="I74" s="2">
        <v>7051</v>
      </c>
      <c r="L74" s="1"/>
      <c r="M74" s="2"/>
      <c r="P74" s="1" t="s">
        <v>336</v>
      </c>
      <c r="Q74" s="2">
        <v>3395</v>
      </c>
      <c r="T74" s="1" t="s">
        <v>405</v>
      </c>
      <c r="U74" s="2">
        <v>105</v>
      </c>
    </row>
    <row r="75" spans="2:21">
      <c r="B75" s="1" t="s">
        <v>408</v>
      </c>
      <c r="C75" s="2">
        <v>395</v>
      </c>
      <c r="D75" s="2">
        <v>4318</v>
      </c>
      <c r="G75" s="1" t="s">
        <v>318</v>
      </c>
      <c r="H75" s="2">
        <v>1141</v>
      </c>
      <c r="I75" s="2">
        <v>6574</v>
      </c>
      <c r="L75" s="1" t="s">
        <v>407</v>
      </c>
      <c r="M75" s="2"/>
      <c r="P75" s="1" t="s">
        <v>396</v>
      </c>
      <c r="Q75" s="2">
        <v>3343</v>
      </c>
      <c r="T75" s="1" t="s">
        <v>359</v>
      </c>
      <c r="U75" s="2">
        <v>103</v>
      </c>
    </row>
    <row r="76" spans="2:21">
      <c r="B76" s="1" t="s">
        <v>409</v>
      </c>
      <c r="C76" s="2">
        <v>405</v>
      </c>
      <c r="D76" s="2">
        <v>4438</v>
      </c>
      <c r="G76" s="1">
        <v>100000</v>
      </c>
      <c r="H76" s="2">
        <v>1158</v>
      </c>
      <c r="I76" s="2">
        <v>6614</v>
      </c>
      <c r="L76" s="1" t="s">
        <v>416</v>
      </c>
      <c r="M76" s="2"/>
      <c r="P76" s="1" t="s">
        <v>412</v>
      </c>
      <c r="Q76" s="2">
        <v>3323</v>
      </c>
      <c r="T76" s="1" t="s">
        <v>395</v>
      </c>
      <c r="U76" s="2">
        <v>99.1</v>
      </c>
    </row>
    <row r="77" spans="2:21">
      <c r="B77" s="1" t="s">
        <v>410</v>
      </c>
      <c r="C77" s="2">
        <v>416</v>
      </c>
      <c r="D77" s="2">
        <v>4176</v>
      </c>
      <c r="G77" s="1" t="s">
        <v>319</v>
      </c>
      <c r="H77" s="2">
        <v>1158</v>
      </c>
      <c r="I77" s="2">
        <v>7181</v>
      </c>
      <c r="L77" s="1" t="s">
        <v>411</v>
      </c>
      <c r="M77" s="2"/>
      <c r="P77" s="1" t="s">
        <v>409</v>
      </c>
      <c r="Q77" s="2">
        <v>3108</v>
      </c>
      <c r="T77" s="1" t="s">
        <v>417</v>
      </c>
      <c r="U77" s="2">
        <v>98.8</v>
      </c>
    </row>
    <row r="78" spans="2:21">
      <c r="B78" s="1" t="s">
        <v>411</v>
      </c>
      <c r="C78" s="2">
        <v>467</v>
      </c>
      <c r="D78" s="2">
        <v>4305</v>
      </c>
      <c r="G78" s="1" t="s">
        <v>320</v>
      </c>
      <c r="H78" s="2">
        <v>1165</v>
      </c>
      <c r="I78" s="2">
        <v>6300</v>
      </c>
      <c r="L78" s="1" t="s">
        <v>396</v>
      </c>
      <c r="M78" s="2"/>
      <c r="P78" s="1" t="s">
        <v>416</v>
      </c>
      <c r="Q78" s="2">
        <v>2978</v>
      </c>
      <c r="T78" s="1" t="s">
        <v>356</v>
      </c>
      <c r="U78" s="2">
        <v>96.5</v>
      </c>
    </row>
    <row r="79" spans="2:21">
      <c r="B79" s="1" t="s">
        <v>412</v>
      </c>
      <c r="C79" s="2">
        <v>473</v>
      </c>
      <c r="D79" s="2">
        <v>3468</v>
      </c>
      <c r="G79" s="1" t="s">
        <v>321</v>
      </c>
      <c r="H79" s="2">
        <v>1180</v>
      </c>
      <c r="I79" s="2">
        <v>6300</v>
      </c>
      <c r="L79" s="1" t="s">
        <v>408</v>
      </c>
      <c r="M79" s="2"/>
      <c r="P79" s="1" t="s">
        <v>364</v>
      </c>
      <c r="Q79" s="2">
        <v>2942</v>
      </c>
      <c r="T79" s="1" t="s">
        <v>406</v>
      </c>
      <c r="U79" s="2">
        <v>96.2</v>
      </c>
    </row>
    <row r="80" spans="2:21">
      <c r="B80" s="1" t="s">
        <v>413</v>
      </c>
      <c r="C80" s="2">
        <v>482</v>
      </c>
      <c r="D80" s="2">
        <v>3893</v>
      </c>
      <c r="G80" s="1" t="s">
        <v>322</v>
      </c>
      <c r="H80" s="2">
        <v>1183</v>
      </c>
      <c r="I80" s="2">
        <v>6716</v>
      </c>
      <c r="L80" s="1" t="s">
        <v>423</v>
      </c>
      <c r="M80" s="2"/>
      <c r="P80" s="1" t="s">
        <v>418</v>
      </c>
      <c r="Q80" s="2">
        <v>2768</v>
      </c>
      <c r="T80" s="1" t="s">
        <v>382</v>
      </c>
      <c r="U80" s="2">
        <v>95.9</v>
      </c>
    </row>
    <row r="81" spans="2:21">
      <c r="B81" s="1" t="s">
        <v>414</v>
      </c>
      <c r="C81" s="2">
        <v>506</v>
      </c>
      <c r="D81" s="2">
        <v>3652</v>
      </c>
      <c r="G81" s="1" t="s">
        <v>323</v>
      </c>
      <c r="H81" s="2">
        <v>1183</v>
      </c>
      <c r="I81" s="2">
        <v>6945</v>
      </c>
      <c r="L81" s="1" t="s">
        <v>349</v>
      </c>
      <c r="M81" s="2"/>
      <c r="P81" s="1" t="s">
        <v>362</v>
      </c>
      <c r="Q81" s="2">
        <v>2759</v>
      </c>
      <c r="T81" s="1" t="s">
        <v>420</v>
      </c>
      <c r="U81" s="2">
        <v>95</v>
      </c>
    </row>
    <row r="82" spans="2:21">
      <c r="B82" s="1" t="s">
        <v>415</v>
      </c>
      <c r="C82" s="2">
        <v>528</v>
      </c>
      <c r="D82" s="2">
        <v>4075</v>
      </c>
      <c r="G82" s="1" t="s">
        <v>324</v>
      </c>
      <c r="H82" s="2">
        <v>1187</v>
      </c>
      <c r="I82" s="2">
        <v>7494</v>
      </c>
      <c r="L82" s="1" t="s">
        <v>389</v>
      </c>
      <c r="M82" s="2"/>
      <c r="P82" s="1" t="s">
        <v>421</v>
      </c>
      <c r="Q82" s="2">
        <v>2677</v>
      </c>
      <c r="T82" s="1" t="s">
        <v>369</v>
      </c>
      <c r="U82" s="2">
        <v>90.2</v>
      </c>
    </row>
    <row r="83" spans="2:21">
      <c r="B83" s="1" t="s">
        <v>416</v>
      </c>
      <c r="C83" s="2">
        <v>568</v>
      </c>
      <c r="D83" s="2">
        <v>2969</v>
      </c>
      <c r="G83" s="1" t="s">
        <v>325</v>
      </c>
      <c r="H83" s="2">
        <v>1190</v>
      </c>
      <c r="I83" s="2">
        <v>6000</v>
      </c>
      <c r="L83" s="1" t="s">
        <v>344</v>
      </c>
      <c r="M83" s="2"/>
      <c r="P83" s="1" t="s">
        <v>351</v>
      </c>
      <c r="Q83" s="2">
        <v>2573</v>
      </c>
      <c r="T83" s="1" t="s">
        <v>387</v>
      </c>
      <c r="U83" s="2">
        <v>88.6</v>
      </c>
    </row>
    <row r="84" spans="2:21">
      <c r="B84" s="1" t="s">
        <v>417</v>
      </c>
      <c r="C84" s="2">
        <v>570</v>
      </c>
      <c r="D84" s="2">
        <v>4848</v>
      </c>
      <c r="G84" s="1" t="s">
        <v>326</v>
      </c>
      <c r="H84" s="2">
        <v>1190</v>
      </c>
      <c r="I84" s="2">
        <v>8014</v>
      </c>
      <c r="L84" s="1" t="s">
        <v>356</v>
      </c>
      <c r="M84" s="2"/>
      <c r="P84" s="1" t="s">
        <v>414</v>
      </c>
      <c r="Q84" s="2">
        <v>2169</v>
      </c>
      <c r="T84" s="1" t="s">
        <v>351</v>
      </c>
      <c r="U84" s="2">
        <v>88.3</v>
      </c>
    </row>
    <row r="85" spans="2:21">
      <c r="B85" s="1" t="s">
        <v>418</v>
      </c>
      <c r="C85" s="2">
        <v>571</v>
      </c>
      <c r="D85" s="2">
        <v>3742</v>
      </c>
      <c r="G85" s="1" t="s">
        <v>327</v>
      </c>
      <c r="H85" s="2">
        <v>1205</v>
      </c>
      <c r="I85" s="2">
        <v>6819</v>
      </c>
      <c r="L85" s="1" t="s">
        <v>367</v>
      </c>
      <c r="M85" s="2"/>
      <c r="P85" s="1" t="s">
        <v>381</v>
      </c>
      <c r="Q85" s="2">
        <v>58.5</v>
      </c>
      <c r="T85" s="1" t="s">
        <v>367</v>
      </c>
      <c r="U85" s="2">
        <v>85.1</v>
      </c>
    </row>
    <row r="86" spans="2:21">
      <c r="B86" s="1" t="s">
        <v>419</v>
      </c>
      <c r="C86" s="2">
        <v>607</v>
      </c>
      <c r="D86" s="2">
        <v>5184</v>
      </c>
      <c r="G86" s="1" t="s">
        <v>328</v>
      </c>
      <c r="H86" s="2">
        <v>1220</v>
      </c>
      <c r="I86" s="2">
        <v>5802</v>
      </c>
      <c r="L86" s="1" t="s">
        <v>417</v>
      </c>
      <c r="M86" s="2"/>
      <c r="P86" s="1"/>
      <c r="Q86" s="2"/>
      <c r="T86" s="1" t="s">
        <v>431</v>
      </c>
      <c r="U86" s="2">
        <v>83.3</v>
      </c>
    </row>
    <row r="87" spans="2:21">
      <c r="B87" s="1" t="s">
        <v>420</v>
      </c>
      <c r="C87" s="2">
        <v>611</v>
      </c>
      <c r="D87" s="2">
        <v>5476</v>
      </c>
      <c r="G87" s="1" t="s">
        <v>329</v>
      </c>
      <c r="H87" s="2">
        <v>1269</v>
      </c>
      <c r="I87" s="2">
        <v>6186</v>
      </c>
      <c r="L87" s="1" t="s">
        <v>399</v>
      </c>
      <c r="M87" s="2"/>
      <c r="P87" s="1" t="s">
        <v>399</v>
      </c>
      <c r="Q87" s="2"/>
      <c r="T87" s="1" t="s">
        <v>408</v>
      </c>
      <c r="U87" s="2">
        <v>82.8</v>
      </c>
    </row>
    <row r="88" spans="2:21">
      <c r="B88" s="1" t="s">
        <v>421</v>
      </c>
      <c r="C88" s="2">
        <v>649</v>
      </c>
      <c r="D88" s="2">
        <v>4983</v>
      </c>
      <c r="G88" s="1" t="s">
        <v>330</v>
      </c>
      <c r="H88" s="2">
        <v>1292</v>
      </c>
      <c r="I88" s="2">
        <v>6696</v>
      </c>
      <c r="L88" s="1" t="s">
        <v>403</v>
      </c>
      <c r="M88" s="2"/>
      <c r="P88" s="1" t="s">
        <v>403</v>
      </c>
      <c r="Q88" s="2"/>
      <c r="T88" s="1" t="s">
        <v>421</v>
      </c>
      <c r="U88" s="2">
        <v>77.5</v>
      </c>
    </row>
    <row r="89" spans="2:21">
      <c r="B89" s="1" t="s">
        <v>422</v>
      </c>
      <c r="C89" s="2">
        <v>699</v>
      </c>
      <c r="D89" s="2">
        <v>5121</v>
      </c>
      <c r="G89" s="1">
        <v>100000000000</v>
      </c>
      <c r="H89" s="2">
        <v>1391</v>
      </c>
      <c r="I89" s="2">
        <v>7656</v>
      </c>
      <c r="L89" s="1" t="s">
        <v>431</v>
      </c>
      <c r="M89" s="2"/>
      <c r="P89" s="1" t="s">
        <v>431</v>
      </c>
      <c r="Q89" s="2"/>
      <c r="T89" s="1" t="s">
        <v>366</v>
      </c>
      <c r="U89" s="2">
        <v>77</v>
      </c>
    </row>
    <row r="90" spans="2:21">
      <c r="B90" s="1" t="s">
        <v>423</v>
      </c>
      <c r="C90" s="2">
        <v>705</v>
      </c>
      <c r="D90" s="2">
        <v>5377</v>
      </c>
      <c r="G90" s="1" t="s">
        <v>331</v>
      </c>
      <c r="H90" s="2">
        <v>1716</v>
      </c>
      <c r="I90" s="2">
        <v>7703</v>
      </c>
      <c r="L90" s="1" t="s">
        <v>374</v>
      </c>
      <c r="M90" s="2"/>
      <c r="P90" s="1" t="s">
        <v>374</v>
      </c>
      <c r="Q90" s="2"/>
      <c r="T90" s="1" t="s">
        <v>422</v>
      </c>
      <c r="U90" s="2">
        <v>70.900000000000006</v>
      </c>
    </row>
    <row r="91" spans="2:21">
      <c r="B91" s="1" t="s">
        <v>424</v>
      </c>
      <c r="C91" s="2">
        <v>716</v>
      </c>
      <c r="D91" s="2">
        <v>5611</v>
      </c>
      <c r="G91" s="1" t="s">
        <v>332</v>
      </c>
      <c r="H91" s="2">
        <v>1780</v>
      </c>
      <c r="I91" s="2">
        <v>6224</v>
      </c>
      <c r="L91" s="1" t="s">
        <v>413</v>
      </c>
      <c r="M91" s="2"/>
      <c r="P91" s="1" t="s">
        <v>413</v>
      </c>
      <c r="Q91" s="2"/>
      <c r="T91" s="1" t="s">
        <v>342</v>
      </c>
      <c r="U91" s="2">
        <v>63.2</v>
      </c>
    </row>
    <row r="92" spans="2:21">
      <c r="B92" s="1" t="s">
        <v>425</v>
      </c>
      <c r="C92" s="2">
        <v>722</v>
      </c>
      <c r="D92" s="2">
        <v>5121</v>
      </c>
      <c r="G92" s="1" t="s">
        <v>333</v>
      </c>
      <c r="H92" s="2">
        <v>1950</v>
      </c>
      <c r="I92" s="2">
        <v>9858</v>
      </c>
      <c r="L92" s="1" t="s">
        <v>347</v>
      </c>
      <c r="M92" s="2"/>
      <c r="P92" s="1" t="s">
        <v>347</v>
      </c>
      <c r="Q92" s="2"/>
      <c r="T92" s="1" t="s">
        <v>384</v>
      </c>
      <c r="U92" s="2">
        <v>56.8</v>
      </c>
    </row>
    <row r="93" spans="2:21">
      <c r="B93" s="1" t="s">
        <v>426</v>
      </c>
      <c r="C93" s="2">
        <v>770</v>
      </c>
      <c r="D93" s="2">
        <v>4789</v>
      </c>
      <c r="G93" s="1" t="s">
        <v>334</v>
      </c>
      <c r="H93" s="2">
        <v>2156</v>
      </c>
      <c r="I93" s="2">
        <v>8014</v>
      </c>
      <c r="L93" s="1" t="s">
        <v>345</v>
      </c>
      <c r="M93" s="2"/>
      <c r="P93" s="1" t="s">
        <v>345</v>
      </c>
      <c r="Q93" s="2"/>
      <c r="T93" s="1" t="s">
        <v>345</v>
      </c>
      <c r="U93" s="2">
        <v>53.4</v>
      </c>
    </row>
    <row r="94" spans="2:21">
      <c r="B94" s="1" t="s">
        <v>427</v>
      </c>
      <c r="C94" s="2">
        <v>784</v>
      </c>
      <c r="D94" s="2">
        <v>3765</v>
      </c>
      <c r="L94" s="1" t="s">
        <v>360</v>
      </c>
      <c r="M94" s="2"/>
      <c r="P94" s="1" t="s">
        <v>360</v>
      </c>
      <c r="Q94" s="2"/>
      <c r="T94" s="1" t="s">
        <v>344</v>
      </c>
      <c r="U94" s="2">
        <v>17.7</v>
      </c>
    </row>
    <row r="95" spans="2:21">
      <c r="B95" s="1" t="s">
        <v>428</v>
      </c>
      <c r="C95" s="2">
        <v>804</v>
      </c>
      <c r="D95" s="2">
        <v>4804</v>
      </c>
      <c r="L95" s="1" t="s">
        <v>352</v>
      </c>
      <c r="M95" s="2"/>
      <c r="P95" s="1" t="s">
        <v>352</v>
      </c>
      <c r="Q95" s="2"/>
      <c r="T95" s="1"/>
      <c r="U95" s="2"/>
    </row>
    <row r="96" spans="2:21">
      <c r="B96" s="1" t="s">
        <v>429</v>
      </c>
      <c r="C96" s="2">
        <v>886</v>
      </c>
      <c r="D96" s="2">
        <v>4878</v>
      </c>
      <c r="L96" s="1" t="s">
        <v>424</v>
      </c>
      <c r="M96" s="2"/>
      <c r="P96" s="1" t="s">
        <v>424</v>
      </c>
      <c r="Q96" s="2"/>
      <c r="T96" s="1" t="s">
        <v>424</v>
      </c>
      <c r="U96" s="2"/>
    </row>
    <row r="97" spans="1:24">
      <c r="B97" s="1" t="s">
        <v>430</v>
      </c>
      <c r="C97" s="2">
        <v>950</v>
      </c>
      <c r="D97" s="2">
        <v>4878</v>
      </c>
      <c r="L97" s="1" t="s">
        <v>350</v>
      </c>
      <c r="M97" s="2"/>
      <c r="P97" s="1" t="s">
        <v>350</v>
      </c>
      <c r="Q97" s="2"/>
      <c r="T97" s="1" t="s">
        <v>350</v>
      </c>
      <c r="U97" s="2"/>
    </row>
    <row r="98" spans="1:24">
      <c r="B98" s="1" t="s">
        <v>431</v>
      </c>
      <c r="C98" s="2">
        <v>1001</v>
      </c>
      <c r="D98" s="2">
        <v>4438</v>
      </c>
      <c r="L98" s="1" t="s">
        <v>379</v>
      </c>
      <c r="M98" s="2"/>
      <c r="P98" s="1" t="s">
        <v>379</v>
      </c>
      <c r="Q98" s="2"/>
      <c r="T98" s="1" t="s">
        <v>379</v>
      </c>
      <c r="U98" s="2"/>
    </row>
    <row r="99" spans="1:24">
      <c r="B99" s="1" t="s">
        <v>432</v>
      </c>
      <c r="C99" s="2">
        <v>1176</v>
      </c>
      <c r="D99" s="2">
        <v>4998</v>
      </c>
    </row>
    <row r="107" spans="1:24" ht="15">
      <c r="A107" s="68" t="s">
        <v>1503</v>
      </c>
    </row>
    <row r="108" spans="1:24">
      <c r="A108" s="4" t="s">
        <v>1496</v>
      </c>
      <c r="B108" s="230" t="s">
        <v>29</v>
      </c>
      <c r="C108" s="230"/>
      <c r="D108" s="230"/>
      <c r="E108" s="230" t="s">
        <v>30</v>
      </c>
      <c r="F108" s="230"/>
      <c r="G108" s="230"/>
      <c r="H108" s="4"/>
      <c r="I108" s="4" t="s">
        <v>1497</v>
      </c>
      <c r="J108" s="5" t="s">
        <v>29</v>
      </c>
      <c r="K108" s="5"/>
      <c r="L108" s="5"/>
      <c r="M108" s="5" t="s">
        <v>30</v>
      </c>
      <c r="N108" s="5"/>
      <c r="O108" s="5"/>
      <c r="P108" s="4"/>
      <c r="Q108" s="4" t="s">
        <v>1498</v>
      </c>
      <c r="R108" s="230" t="s">
        <v>29</v>
      </c>
      <c r="S108" s="230"/>
      <c r="T108" s="230"/>
      <c r="U108" s="230" t="s">
        <v>30</v>
      </c>
      <c r="V108" s="230"/>
      <c r="W108" s="230"/>
      <c r="X108" s="4"/>
    </row>
    <row r="109" spans="1:24">
      <c r="A109" s="6" t="s">
        <v>3</v>
      </c>
      <c r="B109" s="7">
        <v>0.1</v>
      </c>
      <c r="C109" s="7">
        <v>0.1</v>
      </c>
      <c r="D109" s="7">
        <v>0.1</v>
      </c>
      <c r="E109" s="7">
        <v>13.94</v>
      </c>
      <c r="F109" s="7">
        <v>14.63</v>
      </c>
      <c r="G109" s="7">
        <v>13.6</v>
      </c>
      <c r="H109" s="4">
        <f t="shared" ref="H109:H134" si="0">AVERAGE(E109:G109)/AVERAGE(B109:D109)</f>
        <v>140.56666666666663</v>
      </c>
      <c r="I109" s="76" t="s">
        <v>31</v>
      </c>
      <c r="J109" s="77">
        <v>9.4E-2</v>
      </c>
      <c r="K109" s="77">
        <v>0.10199999999999999</v>
      </c>
      <c r="L109" s="77">
        <v>9.7000000000000003E-2</v>
      </c>
      <c r="M109" s="77">
        <v>14.747</v>
      </c>
      <c r="N109" s="77">
        <v>14.35</v>
      </c>
      <c r="O109" s="77">
        <v>14.305</v>
      </c>
      <c r="P109" s="4">
        <f t="shared" ref="P109:P138" si="1">AVERAGE(M109:O109)/AVERAGE(J109:L109)</f>
        <v>148.1296928327645</v>
      </c>
      <c r="Q109" s="76" t="s">
        <v>61</v>
      </c>
      <c r="R109" s="77">
        <v>8.5999999999999993E-2</v>
      </c>
      <c r="S109" s="77">
        <v>0.08</v>
      </c>
      <c r="T109" s="77">
        <v>8.3000000000000004E-2</v>
      </c>
      <c r="U109" s="77">
        <v>6.21</v>
      </c>
      <c r="V109" s="77">
        <v>6.8869999999999996</v>
      </c>
      <c r="W109" s="77">
        <v>6.782</v>
      </c>
      <c r="X109" s="4">
        <f t="shared" ref="X109:X137" si="2">AVERAGE(U109:W109)/AVERAGE(R109:T109)</f>
        <v>79.835341365461829</v>
      </c>
    </row>
    <row r="110" spans="1:24">
      <c r="A110" s="6" t="s">
        <v>4</v>
      </c>
      <c r="B110" s="7">
        <v>0.1</v>
      </c>
      <c r="C110" s="7">
        <v>0.1</v>
      </c>
      <c r="D110" s="7">
        <v>0.1</v>
      </c>
      <c r="E110" s="7">
        <v>15.13</v>
      </c>
      <c r="F110" s="7">
        <v>14.55</v>
      </c>
      <c r="G110" s="7">
        <v>13.07</v>
      </c>
      <c r="H110" s="4">
        <f t="shared" si="0"/>
        <v>142.49999999999997</v>
      </c>
      <c r="I110" s="76" t="s">
        <v>32</v>
      </c>
      <c r="J110" s="77">
        <v>0.10199999999999999</v>
      </c>
      <c r="K110" s="77">
        <v>0.09</v>
      </c>
      <c r="L110" s="77">
        <v>0.11700000000000001</v>
      </c>
      <c r="M110" s="77">
        <v>9.2829999999999995</v>
      </c>
      <c r="N110" s="77">
        <v>9.3379999999999992</v>
      </c>
      <c r="O110" s="77">
        <v>9.141</v>
      </c>
      <c r="P110" s="4">
        <f t="shared" si="1"/>
        <v>89.844660194174764</v>
      </c>
      <c r="Q110" s="76" t="s">
        <v>62</v>
      </c>
      <c r="R110" s="77">
        <v>8.8999999999999996E-2</v>
      </c>
      <c r="S110" s="77">
        <v>8.5999999999999993E-2</v>
      </c>
      <c r="T110" s="77">
        <v>9.4E-2</v>
      </c>
      <c r="U110" s="77">
        <v>9.4250000000000007</v>
      </c>
      <c r="V110" s="77">
        <v>8.9209999999999994</v>
      </c>
      <c r="W110" s="77">
        <v>8.734</v>
      </c>
      <c r="X110" s="4">
        <f t="shared" si="2"/>
        <v>100.66914498141261</v>
      </c>
    </row>
    <row r="111" spans="1:24">
      <c r="A111" s="6" t="s">
        <v>5</v>
      </c>
      <c r="B111" s="7">
        <v>0.11</v>
      </c>
      <c r="C111" s="7">
        <v>0.12</v>
      </c>
      <c r="D111" s="7">
        <v>0.11</v>
      </c>
      <c r="E111" s="7">
        <v>15.74</v>
      </c>
      <c r="F111" s="7">
        <v>15.89</v>
      </c>
      <c r="G111" s="7">
        <v>15.09</v>
      </c>
      <c r="H111" s="4">
        <f t="shared" si="0"/>
        <v>137.41176470588235</v>
      </c>
      <c r="I111" s="76" t="s">
        <v>33</v>
      </c>
      <c r="J111" s="77">
        <v>0.107</v>
      </c>
      <c r="K111" s="77">
        <v>8.7999999999999995E-2</v>
      </c>
      <c r="L111" s="77">
        <v>8.8999999999999996E-2</v>
      </c>
      <c r="M111" s="77">
        <v>13.183</v>
      </c>
      <c r="N111" s="77">
        <v>14.054</v>
      </c>
      <c r="O111" s="77">
        <v>13.143000000000001</v>
      </c>
      <c r="P111" s="4">
        <f t="shared" si="1"/>
        <v>142.18309859154928</v>
      </c>
      <c r="Q111" s="76" t="s">
        <v>63</v>
      </c>
      <c r="R111" s="77">
        <v>0.1</v>
      </c>
      <c r="S111" s="77">
        <v>0.1</v>
      </c>
      <c r="T111" s="77">
        <v>0.10100000000000001</v>
      </c>
      <c r="U111" s="77">
        <v>7.8259999999999996</v>
      </c>
      <c r="V111" s="77">
        <v>7.8029999999999999</v>
      </c>
      <c r="W111" s="77">
        <v>7.593</v>
      </c>
      <c r="X111" s="4">
        <f t="shared" si="2"/>
        <v>77.149501661129563</v>
      </c>
    </row>
    <row r="112" spans="1:24">
      <c r="A112" s="76" t="s">
        <v>6</v>
      </c>
      <c r="B112" s="77">
        <v>0.113</v>
      </c>
      <c r="C112" s="77">
        <v>0.11</v>
      </c>
      <c r="D112" s="77">
        <v>0.11</v>
      </c>
      <c r="E112" s="77">
        <v>9.0229999999999997</v>
      </c>
      <c r="F112" s="77">
        <v>9.3019999999999996</v>
      </c>
      <c r="G112" s="77">
        <v>9.3569999999999993</v>
      </c>
      <c r="H112" s="4">
        <f t="shared" si="0"/>
        <v>83.129129129129112</v>
      </c>
      <c r="I112" s="76" t="s">
        <v>34</v>
      </c>
      <c r="J112" s="77">
        <v>0.124</v>
      </c>
      <c r="K112" s="77">
        <v>0.127</v>
      </c>
      <c r="L112" s="77">
        <v>0.127</v>
      </c>
      <c r="M112" s="77">
        <v>13.176</v>
      </c>
      <c r="N112" s="77">
        <v>12.858000000000001</v>
      </c>
      <c r="O112" s="77">
        <v>12.898</v>
      </c>
      <c r="P112" s="4">
        <f t="shared" si="1"/>
        <v>102.994708994709</v>
      </c>
      <c r="Q112" s="76" t="s">
        <v>64</v>
      </c>
      <c r="R112" s="77">
        <v>0.107</v>
      </c>
      <c r="S112" s="77">
        <v>8.7999999999999995E-2</v>
      </c>
      <c r="T112" s="77">
        <v>8.8999999999999996E-2</v>
      </c>
      <c r="U112" s="77">
        <v>13.183</v>
      </c>
      <c r="V112" s="77">
        <v>14.054</v>
      </c>
      <c r="W112" s="77">
        <v>13.143000000000001</v>
      </c>
      <c r="X112" s="4">
        <f t="shared" si="2"/>
        <v>142.18309859154928</v>
      </c>
    </row>
    <row r="113" spans="1:24">
      <c r="A113" s="76" t="s">
        <v>7</v>
      </c>
      <c r="B113" s="77">
        <v>0.127</v>
      </c>
      <c r="C113" s="77">
        <v>0.127</v>
      </c>
      <c r="D113" s="77">
        <v>0.123</v>
      </c>
      <c r="E113" s="77">
        <v>7.9080000000000004</v>
      </c>
      <c r="F113" s="77">
        <v>7.1520000000000001</v>
      </c>
      <c r="G113" s="77">
        <v>7.1740000000000004</v>
      </c>
      <c r="H113" s="4">
        <f t="shared" si="0"/>
        <v>58.976127320954909</v>
      </c>
      <c r="I113" s="76" t="s">
        <v>35</v>
      </c>
      <c r="J113" s="77">
        <v>0.127</v>
      </c>
      <c r="K113" s="77">
        <v>0.17299999999999999</v>
      </c>
      <c r="L113" s="77"/>
      <c r="M113" s="77">
        <v>15.715999999999999</v>
      </c>
      <c r="N113" s="77">
        <v>12.468</v>
      </c>
      <c r="O113" s="77"/>
      <c r="P113" s="4">
        <f t="shared" si="1"/>
        <v>93.946666666666658</v>
      </c>
      <c r="Q113" s="76" t="s">
        <v>65</v>
      </c>
      <c r="R113" s="77">
        <v>0.129</v>
      </c>
      <c r="S113" s="77">
        <v>0.129</v>
      </c>
      <c r="T113" s="77">
        <v>0.14000000000000001</v>
      </c>
      <c r="U113" s="77">
        <v>9.4600000000000009</v>
      </c>
      <c r="V113" s="77">
        <v>9.5739999999999998</v>
      </c>
      <c r="W113" s="77">
        <v>9.4009999999999998</v>
      </c>
      <c r="X113" s="4">
        <f t="shared" si="2"/>
        <v>71.44472361809045</v>
      </c>
    </row>
    <row r="114" spans="1:24">
      <c r="A114" s="76" t="s">
        <v>8</v>
      </c>
      <c r="B114" s="77">
        <v>0.17199999999999999</v>
      </c>
      <c r="C114" s="77">
        <v>0.16700000000000001</v>
      </c>
      <c r="D114" s="77">
        <v>0.17</v>
      </c>
      <c r="E114" s="77">
        <v>12.885</v>
      </c>
      <c r="F114" s="77">
        <v>12.965999999999999</v>
      </c>
      <c r="G114" s="77">
        <v>13.083</v>
      </c>
      <c r="H114" s="4">
        <f t="shared" si="0"/>
        <v>76.491159135559926</v>
      </c>
      <c r="I114" s="76" t="s">
        <v>36</v>
      </c>
      <c r="J114" s="77">
        <v>0.14499999999999999</v>
      </c>
      <c r="K114" s="77">
        <v>0.13900000000000001</v>
      </c>
      <c r="L114" s="77">
        <v>0.14299999999999999</v>
      </c>
      <c r="M114" s="77">
        <v>13.215999999999999</v>
      </c>
      <c r="N114" s="77">
        <v>12.938000000000001</v>
      </c>
      <c r="O114" s="77">
        <v>13.137</v>
      </c>
      <c r="P114" s="4">
        <f t="shared" si="1"/>
        <v>92.016393442622942</v>
      </c>
      <c r="Q114" s="76" t="s">
        <v>66</v>
      </c>
      <c r="R114" s="77">
        <v>0.13800000000000001</v>
      </c>
      <c r="S114" s="77">
        <v>0.14299999999999999</v>
      </c>
      <c r="T114" s="77"/>
      <c r="U114" s="77">
        <v>7.782</v>
      </c>
      <c r="V114" s="77">
        <v>7.6429999999999998</v>
      </c>
      <c r="W114" s="77"/>
      <c r="X114" s="4">
        <f t="shared" si="2"/>
        <v>54.893238434163699</v>
      </c>
    </row>
    <row r="115" spans="1:24">
      <c r="A115" s="76" t="s">
        <v>9</v>
      </c>
      <c r="B115" s="77">
        <v>0.17399999999999999</v>
      </c>
      <c r="C115" s="77">
        <v>0.189</v>
      </c>
      <c r="D115" s="77">
        <v>0.154</v>
      </c>
      <c r="E115" s="77">
        <v>10.119</v>
      </c>
      <c r="F115" s="77">
        <v>10.692</v>
      </c>
      <c r="G115" s="77">
        <v>8.9600000000000009</v>
      </c>
      <c r="H115" s="4">
        <f t="shared" si="0"/>
        <v>57.584139264990334</v>
      </c>
      <c r="I115" s="76" t="s">
        <v>37</v>
      </c>
      <c r="J115" s="77">
        <v>0.154</v>
      </c>
      <c r="K115" s="77">
        <v>0.14599999999999999</v>
      </c>
      <c r="L115" s="77">
        <v>0.14000000000000001</v>
      </c>
      <c r="M115" s="77">
        <v>10.361000000000001</v>
      </c>
      <c r="N115" s="77">
        <v>11.420999999999999</v>
      </c>
      <c r="O115" s="77">
        <v>11.882999999999999</v>
      </c>
      <c r="P115" s="4">
        <f t="shared" si="1"/>
        <v>76.511363636363626</v>
      </c>
      <c r="Q115" s="6" t="s">
        <v>67</v>
      </c>
      <c r="R115" s="7">
        <v>0.15</v>
      </c>
      <c r="S115" s="7">
        <v>0.155</v>
      </c>
      <c r="T115" s="7">
        <v>0.154</v>
      </c>
      <c r="U115" s="7">
        <v>10.842000000000001</v>
      </c>
      <c r="V115" s="7">
        <v>10.138999999999999</v>
      </c>
      <c r="W115" s="7">
        <v>10.941000000000001</v>
      </c>
      <c r="X115" s="4">
        <f t="shared" si="2"/>
        <v>69.546840958605671</v>
      </c>
    </row>
    <row r="116" spans="1:24">
      <c r="A116" s="6" t="s">
        <v>10</v>
      </c>
      <c r="B116" s="7">
        <v>0.17599999999999999</v>
      </c>
      <c r="C116" s="7">
        <v>0.16900000000000001</v>
      </c>
      <c r="D116" s="7">
        <v>0.18099999999999999</v>
      </c>
      <c r="E116" s="7">
        <v>6.3879999999999999</v>
      </c>
      <c r="F116" s="7">
        <v>6.5250000000000004</v>
      </c>
      <c r="G116" s="7">
        <v>6.468</v>
      </c>
      <c r="H116" s="4">
        <f t="shared" si="0"/>
        <v>36.846007604562736</v>
      </c>
      <c r="I116" s="6" t="s">
        <v>38</v>
      </c>
      <c r="J116" s="7">
        <v>0.158</v>
      </c>
      <c r="K116" s="7">
        <v>0.16800000000000001</v>
      </c>
      <c r="L116" s="7">
        <v>0.14199999999999999</v>
      </c>
      <c r="M116" s="7">
        <v>3.286</v>
      </c>
      <c r="N116" s="7">
        <v>3.2250000000000001</v>
      </c>
      <c r="O116" s="7">
        <v>2.952</v>
      </c>
      <c r="P116" s="4">
        <f t="shared" si="1"/>
        <v>20.220085470085472</v>
      </c>
      <c r="Q116" s="76" t="s">
        <v>68</v>
      </c>
      <c r="R116" s="77">
        <v>0.15</v>
      </c>
      <c r="S116" s="77">
        <v>0.153</v>
      </c>
      <c r="T116" s="77">
        <v>0.14899999999999999</v>
      </c>
      <c r="U116" s="77">
        <v>12.664999999999999</v>
      </c>
      <c r="V116" s="77">
        <v>13.257</v>
      </c>
      <c r="W116" s="77">
        <v>13.419</v>
      </c>
      <c r="X116" s="4">
        <f t="shared" si="2"/>
        <v>87.037610619469035</v>
      </c>
    </row>
    <row r="117" spans="1:24">
      <c r="A117" s="76" t="s">
        <v>11</v>
      </c>
      <c r="B117" s="77">
        <v>0.17699999999999999</v>
      </c>
      <c r="C117" s="77">
        <v>0.17100000000000001</v>
      </c>
      <c r="D117" s="77">
        <v>0.17100000000000001</v>
      </c>
      <c r="E117" s="77">
        <v>9.1790000000000003</v>
      </c>
      <c r="F117" s="77">
        <v>9.7270000000000003</v>
      </c>
      <c r="G117" s="77">
        <v>9.5500000000000007</v>
      </c>
      <c r="H117" s="4">
        <f t="shared" si="0"/>
        <v>54.828516377649322</v>
      </c>
      <c r="I117" s="76" t="s">
        <v>39</v>
      </c>
      <c r="J117" s="77">
        <v>0.185</v>
      </c>
      <c r="K117" s="77">
        <v>0.19</v>
      </c>
      <c r="L117" s="77"/>
      <c r="M117" s="77">
        <v>8.19</v>
      </c>
      <c r="N117" s="77">
        <v>8.8629999999999995</v>
      </c>
      <c r="O117" s="77"/>
      <c r="P117" s="4">
        <f t="shared" si="1"/>
        <v>45.474666666666657</v>
      </c>
      <c r="Q117" s="6" t="s">
        <v>69</v>
      </c>
      <c r="R117" s="7">
        <v>0.151</v>
      </c>
      <c r="S117" s="7">
        <v>0.14699999999999999</v>
      </c>
      <c r="T117" s="7">
        <v>0.155</v>
      </c>
      <c r="U117" s="7">
        <v>8.0679999999999996</v>
      </c>
      <c r="V117" s="7">
        <v>8.4719999999999995</v>
      </c>
      <c r="W117" s="7">
        <v>8.0679999999999996</v>
      </c>
      <c r="X117" s="4">
        <f t="shared" si="2"/>
        <v>54.322295805739508</v>
      </c>
    </row>
    <row r="118" spans="1:24">
      <c r="A118" s="6" t="s">
        <v>12</v>
      </c>
      <c r="B118" s="7">
        <v>0.19</v>
      </c>
      <c r="C118" s="7">
        <v>0.17</v>
      </c>
      <c r="D118" s="7">
        <v>0.19</v>
      </c>
      <c r="E118" s="7">
        <v>14.33</v>
      </c>
      <c r="F118" s="7">
        <v>14.11</v>
      </c>
      <c r="G118" s="7">
        <v>14.81</v>
      </c>
      <c r="H118" s="4">
        <f t="shared" si="0"/>
        <v>78.636363636363626</v>
      </c>
      <c r="I118" s="76" t="s">
        <v>40</v>
      </c>
      <c r="J118" s="77">
        <v>0.20200000000000001</v>
      </c>
      <c r="K118" s="77">
        <v>0.23599999999999999</v>
      </c>
      <c r="L118" s="77">
        <v>0.19400000000000001</v>
      </c>
      <c r="M118" s="77">
        <v>15.436999999999999</v>
      </c>
      <c r="N118" s="77">
        <v>17.814</v>
      </c>
      <c r="O118" s="77">
        <v>15.532</v>
      </c>
      <c r="P118" s="4">
        <f t="shared" si="1"/>
        <v>77.188291139240505</v>
      </c>
      <c r="Q118" s="76" t="s">
        <v>70</v>
      </c>
      <c r="R118" s="77">
        <v>0.17</v>
      </c>
      <c r="S118" s="77">
        <v>0.121</v>
      </c>
      <c r="T118" s="77">
        <v>0.17799999999999999</v>
      </c>
      <c r="U118" s="77">
        <v>13.502000000000001</v>
      </c>
      <c r="V118" s="77">
        <v>9.8059999999999992</v>
      </c>
      <c r="W118" s="77">
        <v>14.975</v>
      </c>
      <c r="X118" s="4">
        <f t="shared" si="2"/>
        <v>81.626865671641781</v>
      </c>
    </row>
    <row r="119" spans="1:24">
      <c r="A119" s="76" t="s">
        <v>13</v>
      </c>
      <c r="B119" s="77">
        <v>0.20100000000000001</v>
      </c>
      <c r="C119" s="77">
        <v>0.19500000000000001</v>
      </c>
      <c r="D119" s="77">
        <v>0.19900000000000001</v>
      </c>
      <c r="E119" s="77">
        <v>17.779</v>
      </c>
      <c r="F119" s="77">
        <v>16.936</v>
      </c>
      <c r="G119" s="77">
        <v>16.277000000000001</v>
      </c>
      <c r="H119" s="4">
        <f t="shared" si="0"/>
        <v>85.700840336134462</v>
      </c>
      <c r="I119" s="6" t="s">
        <v>41</v>
      </c>
      <c r="J119" s="7">
        <v>0.21299999999999999</v>
      </c>
      <c r="K119" s="7">
        <v>0.27700000000000002</v>
      </c>
      <c r="L119" s="7"/>
      <c r="M119" s="7">
        <v>7.5190000000000001</v>
      </c>
      <c r="N119" s="7">
        <v>9.2769999999999992</v>
      </c>
      <c r="O119" s="7"/>
      <c r="P119" s="4">
        <f t="shared" si="1"/>
        <v>34.277551020408161</v>
      </c>
      <c r="Q119" s="76" t="s">
        <v>71</v>
      </c>
      <c r="R119" s="77">
        <v>0.17199999999999999</v>
      </c>
      <c r="S119" s="77">
        <v>0.17399999999999999</v>
      </c>
      <c r="T119" s="77">
        <v>0.17199999999999999</v>
      </c>
      <c r="U119" s="77">
        <v>9.7799999999999994</v>
      </c>
      <c r="V119" s="77">
        <v>10.782999999999999</v>
      </c>
      <c r="W119" s="77">
        <v>10.46</v>
      </c>
      <c r="X119" s="4">
        <f t="shared" si="2"/>
        <v>59.889961389961385</v>
      </c>
    </row>
    <row r="120" spans="1:24">
      <c r="A120" s="76" t="s">
        <v>14</v>
      </c>
      <c r="B120" s="77">
        <v>0.20300000000000001</v>
      </c>
      <c r="C120" s="77">
        <v>0.20499999999999999</v>
      </c>
      <c r="D120" s="77">
        <v>0.20899999999999999</v>
      </c>
      <c r="E120" s="77">
        <v>15.694000000000001</v>
      </c>
      <c r="F120" s="77">
        <v>15.837999999999999</v>
      </c>
      <c r="G120" s="77">
        <v>15.363</v>
      </c>
      <c r="H120" s="4">
        <f t="shared" si="0"/>
        <v>76.004862236628853</v>
      </c>
      <c r="I120" s="6" t="s">
        <v>42</v>
      </c>
      <c r="J120" s="7">
        <v>0.247</v>
      </c>
      <c r="K120" s="7">
        <v>0.247</v>
      </c>
      <c r="L120" s="7">
        <v>0.252</v>
      </c>
      <c r="M120" s="7">
        <v>15.627000000000001</v>
      </c>
      <c r="N120" s="7">
        <v>16.658000000000001</v>
      </c>
      <c r="O120" s="7">
        <v>15.865</v>
      </c>
      <c r="P120" s="4">
        <f t="shared" si="1"/>
        <v>64.544235924932977</v>
      </c>
      <c r="Q120" s="76" t="s">
        <v>72</v>
      </c>
      <c r="R120" s="77">
        <v>0.17399999999999999</v>
      </c>
      <c r="S120" s="77">
        <v>0.16400000000000001</v>
      </c>
      <c r="T120" s="77">
        <v>0.159</v>
      </c>
      <c r="U120" s="77">
        <v>11.183999999999999</v>
      </c>
      <c r="V120" s="77">
        <v>11.53</v>
      </c>
      <c r="W120" s="77">
        <v>10.847</v>
      </c>
      <c r="X120" s="4">
        <f t="shared" si="2"/>
        <v>67.527162977867206</v>
      </c>
    </row>
    <row r="121" spans="1:24">
      <c r="A121" s="76" t="s">
        <v>15</v>
      </c>
      <c r="B121" s="77">
        <v>0.21</v>
      </c>
      <c r="C121" s="77">
        <v>0.221</v>
      </c>
      <c r="D121" s="77">
        <v>0.21199999999999999</v>
      </c>
      <c r="E121" s="77">
        <v>14.823</v>
      </c>
      <c r="F121" s="77">
        <v>14.467000000000001</v>
      </c>
      <c r="G121" s="77">
        <v>14.379</v>
      </c>
      <c r="H121" s="4">
        <f t="shared" si="0"/>
        <v>67.914463452566096</v>
      </c>
      <c r="I121" s="156" t="s">
        <v>43</v>
      </c>
      <c r="J121" s="4">
        <v>0.26870338648043202</v>
      </c>
      <c r="K121" s="4">
        <v>0.25034642245355121</v>
      </c>
      <c r="L121" s="4">
        <v>0.29264725260245095</v>
      </c>
      <c r="M121" s="4">
        <v>12.626398735011202</v>
      </c>
      <c r="N121" s="4">
        <v>11.594152062195283</v>
      </c>
      <c r="O121" s="4">
        <v>12.472093820002637</v>
      </c>
      <c r="P121" s="4">
        <f t="shared" si="1"/>
        <v>45.204850868567696</v>
      </c>
      <c r="Q121" s="76" t="s">
        <v>73</v>
      </c>
      <c r="R121" s="77">
        <v>0.17699999999999999</v>
      </c>
      <c r="S121" s="77">
        <v>0.17599999999999999</v>
      </c>
      <c r="T121" s="77">
        <v>0.184</v>
      </c>
      <c r="U121" s="77">
        <v>13.269</v>
      </c>
      <c r="V121" s="77">
        <v>13.763999999999999</v>
      </c>
      <c r="W121" s="77">
        <v>13.638</v>
      </c>
      <c r="X121" s="4">
        <f t="shared" si="2"/>
        <v>75.737430167597779</v>
      </c>
    </row>
    <row r="122" spans="1:24">
      <c r="A122" s="76" t="s">
        <v>16</v>
      </c>
      <c r="B122" s="77">
        <v>0.23499999999999999</v>
      </c>
      <c r="C122" s="77">
        <v>0.24099999999999999</v>
      </c>
      <c r="D122" s="77">
        <v>0.24199999999999999</v>
      </c>
      <c r="E122" s="77">
        <v>10.701000000000001</v>
      </c>
      <c r="F122" s="77">
        <v>10.161</v>
      </c>
      <c r="G122" s="77">
        <v>10.036</v>
      </c>
      <c r="H122" s="4">
        <f t="shared" si="0"/>
        <v>43.033426183844021</v>
      </c>
      <c r="I122" s="157" t="s">
        <v>44</v>
      </c>
      <c r="J122" s="158">
        <v>0.26100000000000001</v>
      </c>
      <c r="K122" s="158">
        <v>0.26600000000000001</v>
      </c>
      <c r="L122" s="158">
        <v>0.216</v>
      </c>
      <c r="M122" s="158">
        <v>11.041</v>
      </c>
      <c r="N122" s="158">
        <v>12.625999999999999</v>
      </c>
      <c r="O122" s="158">
        <v>10.679</v>
      </c>
      <c r="P122" s="4">
        <f t="shared" si="1"/>
        <v>46.226110363391662</v>
      </c>
      <c r="Q122" s="6" t="s">
        <v>74</v>
      </c>
      <c r="R122" s="7">
        <v>0.20599999999999999</v>
      </c>
      <c r="S122" s="7">
        <v>0.20100000000000001</v>
      </c>
      <c r="T122" s="7">
        <v>0.21099999999999999</v>
      </c>
      <c r="U122" s="7">
        <v>14.087999999999999</v>
      </c>
      <c r="V122" s="7">
        <v>15.066000000000001</v>
      </c>
      <c r="W122" s="7">
        <v>15.112</v>
      </c>
      <c r="X122" s="4">
        <f t="shared" si="2"/>
        <v>71.627831715210363</v>
      </c>
    </row>
    <row r="123" spans="1:24">
      <c r="A123" s="76" t="s">
        <v>17</v>
      </c>
      <c r="B123" s="77">
        <v>0.251</v>
      </c>
      <c r="C123" s="77">
        <v>0.255</v>
      </c>
      <c r="D123" s="77">
        <v>0.247</v>
      </c>
      <c r="E123" s="77">
        <v>13.487</v>
      </c>
      <c r="F123" s="77">
        <v>13.406000000000001</v>
      </c>
      <c r="G123" s="77">
        <v>13.487</v>
      </c>
      <c r="H123" s="4">
        <f t="shared" si="0"/>
        <v>53.625498007968133</v>
      </c>
      <c r="I123" s="6" t="s">
        <v>45</v>
      </c>
      <c r="J123" s="7">
        <v>0.26700000000000002</v>
      </c>
      <c r="K123" s="7">
        <v>0.28000000000000003</v>
      </c>
      <c r="L123" s="7"/>
      <c r="M123" s="7">
        <v>17.181999999999999</v>
      </c>
      <c r="N123" s="7">
        <v>17.555</v>
      </c>
      <c r="O123" s="7"/>
      <c r="P123" s="4">
        <f t="shared" si="1"/>
        <v>63.504570383912231</v>
      </c>
      <c r="Q123" s="6" t="s">
        <v>75</v>
      </c>
      <c r="R123" s="7">
        <v>0.22700000000000001</v>
      </c>
      <c r="S123" s="7">
        <v>0.223</v>
      </c>
      <c r="T123" s="7">
        <v>0.218</v>
      </c>
      <c r="U123" s="7">
        <v>14.717000000000001</v>
      </c>
      <c r="V123" s="7">
        <v>14.451000000000001</v>
      </c>
      <c r="W123" s="7">
        <v>13.805</v>
      </c>
      <c r="X123" s="4">
        <f t="shared" si="2"/>
        <v>64.330838323353291</v>
      </c>
    </row>
    <row r="124" spans="1:24">
      <c r="A124" s="6" t="s">
        <v>18</v>
      </c>
      <c r="B124" s="7">
        <v>0.28000000000000003</v>
      </c>
      <c r="C124" s="7">
        <v>0.28000000000000003</v>
      </c>
      <c r="D124" s="7">
        <v>0.26</v>
      </c>
      <c r="E124" s="7">
        <v>13.98</v>
      </c>
      <c r="F124" s="7">
        <v>14.5</v>
      </c>
      <c r="G124" s="7">
        <v>13.85</v>
      </c>
      <c r="H124" s="4">
        <f t="shared" si="0"/>
        <v>51.621951219512184</v>
      </c>
      <c r="I124" s="6" t="s">
        <v>46</v>
      </c>
      <c r="J124" s="7">
        <v>0.28100000000000003</v>
      </c>
      <c r="K124" s="7">
        <v>0.28100000000000003</v>
      </c>
      <c r="L124" s="7">
        <v>0.28100000000000003</v>
      </c>
      <c r="M124" s="7">
        <v>6.4809999999999999</v>
      </c>
      <c r="N124" s="7">
        <v>6.2489999999999997</v>
      </c>
      <c r="O124" s="7">
        <v>6.2309999999999999</v>
      </c>
      <c r="P124" s="4">
        <f t="shared" si="1"/>
        <v>22.492289442467374</v>
      </c>
      <c r="Q124" s="6" t="s">
        <v>76</v>
      </c>
      <c r="R124" s="7">
        <v>0.26600000000000001</v>
      </c>
      <c r="S124" s="7">
        <v>0.25900000000000001</v>
      </c>
      <c r="T124" s="7">
        <v>0.27300000000000002</v>
      </c>
      <c r="U124" s="7">
        <v>14.32</v>
      </c>
      <c r="V124" s="7">
        <v>13.555</v>
      </c>
      <c r="W124" s="7">
        <v>13.89</v>
      </c>
      <c r="X124" s="4">
        <f t="shared" si="2"/>
        <v>52.337092731829571</v>
      </c>
    </row>
    <row r="125" spans="1:24">
      <c r="A125" s="6" t="s">
        <v>19</v>
      </c>
      <c r="B125" s="7">
        <v>0.29099999999999998</v>
      </c>
      <c r="C125" s="7">
        <v>0.28899999999999998</v>
      </c>
      <c r="D125" s="7">
        <v>0.28699999999999998</v>
      </c>
      <c r="E125" s="7">
        <v>14.855</v>
      </c>
      <c r="F125" s="7">
        <v>15.129</v>
      </c>
      <c r="G125" s="7">
        <v>14.855</v>
      </c>
      <c r="H125" s="4">
        <f t="shared" si="0"/>
        <v>51.717416378316038</v>
      </c>
      <c r="I125" s="76" t="s">
        <v>47</v>
      </c>
      <c r="J125" s="77">
        <v>0.29399999999999998</v>
      </c>
      <c r="K125" s="77">
        <v>0.27300000000000002</v>
      </c>
      <c r="L125" s="77">
        <v>0.27900000000000003</v>
      </c>
      <c r="M125" s="77">
        <v>12.63</v>
      </c>
      <c r="N125" s="77">
        <v>11.079000000000001</v>
      </c>
      <c r="O125" s="77">
        <v>11.667999999999999</v>
      </c>
      <c r="P125" s="4">
        <f t="shared" si="1"/>
        <v>41.816784869976367</v>
      </c>
      <c r="Q125" s="6" t="s">
        <v>77</v>
      </c>
      <c r="R125" s="7">
        <v>0.27200000000000002</v>
      </c>
      <c r="S125" s="7">
        <v>0.27200000000000002</v>
      </c>
      <c r="T125" s="7">
        <v>0.26500000000000001</v>
      </c>
      <c r="U125" s="7">
        <v>13.256</v>
      </c>
      <c r="V125" s="7">
        <v>13.419</v>
      </c>
      <c r="W125" s="7">
        <v>12.510999999999999</v>
      </c>
      <c r="X125" s="4">
        <f t="shared" si="2"/>
        <v>48.437577255871446</v>
      </c>
    </row>
    <row r="126" spans="1:24">
      <c r="A126" s="6" t="s">
        <v>20</v>
      </c>
      <c r="B126" s="7">
        <v>0.29899999999999999</v>
      </c>
      <c r="C126" s="7">
        <v>0.313</v>
      </c>
      <c r="D126" s="7">
        <v>0.29699999999999999</v>
      </c>
      <c r="E126" s="7">
        <v>13.231</v>
      </c>
      <c r="F126" s="7">
        <v>12.68</v>
      </c>
      <c r="G126" s="7">
        <v>12.952999999999999</v>
      </c>
      <c r="H126" s="4">
        <f t="shared" si="0"/>
        <v>42.754675467546761</v>
      </c>
      <c r="I126" s="6" t="s">
        <v>48</v>
      </c>
      <c r="J126" s="7">
        <v>0.39100000000000001</v>
      </c>
      <c r="K126" s="7">
        <v>0.374</v>
      </c>
      <c r="L126" s="7">
        <v>0.26300000000000001</v>
      </c>
      <c r="M126" s="7">
        <v>5.58</v>
      </c>
      <c r="N126" s="7">
        <v>8.4979999999999993</v>
      </c>
      <c r="O126" s="7">
        <v>4.4269999999999996</v>
      </c>
      <c r="P126" s="4">
        <f t="shared" si="1"/>
        <v>18.000972762645912</v>
      </c>
      <c r="Q126" s="6" t="s">
        <v>78</v>
      </c>
      <c r="R126" s="7">
        <v>0.28199999999999997</v>
      </c>
      <c r="S126" s="7">
        <v>0.28799999999999998</v>
      </c>
      <c r="T126" s="7">
        <v>0.27900000000000003</v>
      </c>
      <c r="U126" s="7">
        <v>15.643000000000001</v>
      </c>
      <c r="V126" s="7">
        <v>16.077000000000002</v>
      </c>
      <c r="W126" s="7">
        <v>15.548</v>
      </c>
      <c r="X126" s="4">
        <f t="shared" si="2"/>
        <v>55.67491166077739</v>
      </c>
    </row>
    <row r="127" spans="1:24">
      <c r="A127" s="6" t="s">
        <v>21</v>
      </c>
      <c r="B127" s="7">
        <v>0.315</v>
      </c>
      <c r="C127" s="7">
        <v>0.315</v>
      </c>
      <c r="D127" s="7">
        <v>0.30299999999999999</v>
      </c>
      <c r="E127" s="7">
        <v>14.206</v>
      </c>
      <c r="F127" s="7">
        <v>13.99</v>
      </c>
      <c r="G127" s="7">
        <v>13.821</v>
      </c>
      <c r="H127" s="4">
        <f t="shared" si="0"/>
        <v>45.034297963558409</v>
      </c>
      <c r="I127" s="76" t="s">
        <v>49</v>
      </c>
      <c r="J127" s="77">
        <v>0.442</v>
      </c>
      <c r="K127" s="77">
        <v>0.45700000000000002</v>
      </c>
      <c r="L127" s="77">
        <v>0.46300000000000002</v>
      </c>
      <c r="M127" s="77">
        <v>13.260999999999999</v>
      </c>
      <c r="N127" s="77">
        <v>12.94</v>
      </c>
      <c r="O127" s="77">
        <v>13.712999999999999</v>
      </c>
      <c r="P127" s="4">
        <f t="shared" si="1"/>
        <v>29.305433186490458</v>
      </c>
      <c r="Q127" s="6" t="s">
        <v>79</v>
      </c>
      <c r="R127" s="7">
        <v>0.28399999999999997</v>
      </c>
      <c r="S127" s="7">
        <v>0.26800000000000002</v>
      </c>
      <c r="T127" s="7">
        <v>0.26800000000000002</v>
      </c>
      <c r="U127" s="7">
        <v>14.989000000000001</v>
      </c>
      <c r="V127" s="7">
        <v>14.496</v>
      </c>
      <c r="W127" s="7">
        <v>14.629</v>
      </c>
      <c r="X127" s="4">
        <f t="shared" si="2"/>
        <v>53.797560975609748</v>
      </c>
    </row>
    <row r="128" spans="1:24">
      <c r="A128" s="6" t="s">
        <v>22</v>
      </c>
      <c r="B128" s="7">
        <v>0.35599999999999998</v>
      </c>
      <c r="C128" s="7">
        <v>0.36</v>
      </c>
      <c r="D128" s="7">
        <v>0.36499999999999999</v>
      </c>
      <c r="E128" s="7">
        <v>13.204000000000001</v>
      </c>
      <c r="F128" s="7">
        <v>12.965999999999999</v>
      </c>
      <c r="G128" s="7">
        <v>12.499000000000001</v>
      </c>
      <c r="H128" s="4">
        <f t="shared" si="0"/>
        <v>35.771507863089738</v>
      </c>
      <c r="I128" s="6" t="s">
        <v>50</v>
      </c>
      <c r="J128" s="7">
        <v>0.45800000000000002</v>
      </c>
      <c r="K128" s="7">
        <v>0.35299999999999998</v>
      </c>
      <c r="L128" s="7">
        <v>0.35599999999999998</v>
      </c>
      <c r="M128" s="7">
        <v>9.9260000000000002</v>
      </c>
      <c r="N128" s="7">
        <v>9.9550000000000001</v>
      </c>
      <c r="O128" s="7">
        <v>9.5990000000000002</v>
      </c>
      <c r="P128" s="4">
        <f t="shared" si="1"/>
        <v>25.261353898886036</v>
      </c>
      <c r="Q128" s="6" t="s">
        <v>80</v>
      </c>
      <c r="R128" s="7">
        <v>0.28799999999999998</v>
      </c>
      <c r="S128" s="7">
        <v>0.29299999999999998</v>
      </c>
      <c r="T128" s="7">
        <v>0.28799999999999998</v>
      </c>
      <c r="U128" s="7">
        <v>14.147</v>
      </c>
      <c r="V128" s="7">
        <v>14.451000000000001</v>
      </c>
      <c r="W128" s="7">
        <v>14.275</v>
      </c>
      <c r="X128" s="4">
        <f t="shared" si="2"/>
        <v>49.336018411967771</v>
      </c>
    </row>
    <row r="129" spans="1:24">
      <c r="A129" s="6" t="s">
        <v>23</v>
      </c>
      <c r="B129" s="7">
        <v>0.374</v>
      </c>
      <c r="C129" s="7">
        <v>0.39600000000000002</v>
      </c>
      <c r="D129" s="7">
        <v>0.39600000000000002</v>
      </c>
      <c r="E129" s="7">
        <v>14.291</v>
      </c>
      <c r="F129" s="7">
        <v>14.599</v>
      </c>
      <c r="G129" s="7">
        <v>14.074</v>
      </c>
      <c r="H129" s="4">
        <f t="shared" si="0"/>
        <v>36.847341337907373</v>
      </c>
      <c r="I129" s="6" t="s">
        <v>51</v>
      </c>
      <c r="J129" s="7">
        <v>0.502</v>
      </c>
      <c r="K129" s="7">
        <v>0.47499999999999998</v>
      </c>
      <c r="L129" s="7">
        <v>0.48299999999999998</v>
      </c>
      <c r="M129" s="7">
        <v>15.436999999999999</v>
      </c>
      <c r="N129" s="7">
        <v>15.436999999999999</v>
      </c>
      <c r="O129" s="7">
        <v>16.257000000000001</v>
      </c>
      <c r="P129" s="4">
        <f t="shared" si="1"/>
        <v>32.281506849315072</v>
      </c>
      <c r="Q129" s="6" t="s">
        <v>81</v>
      </c>
      <c r="R129" s="7">
        <v>0.29499999999999998</v>
      </c>
      <c r="S129" s="7">
        <v>0.29099999999999998</v>
      </c>
      <c r="T129" s="7">
        <v>0.29299999999999998</v>
      </c>
      <c r="U129" s="7">
        <v>13.976000000000001</v>
      </c>
      <c r="V129" s="7">
        <v>13.763999999999999</v>
      </c>
      <c r="W129" s="7">
        <v>14.103999999999999</v>
      </c>
      <c r="X129" s="4">
        <f t="shared" si="2"/>
        <v>47.604095563139936</v>
      </c>
    </row>
    <row r="130" spans="1:24">
      <c r="A130" s="76" t="s">
        <v>24</v>
      </c>
      <c r="B130" s="77">
        <v>0.44800000000000001</v>
      </c>
      <c r="C130" s="77">
        <v>0.44800000000000001</v>
      </c>
      <c r="D130" s="77">
        <v>0.45200000000000001</v>
      </c>
      <c r="E130" s="77">
        <v>13.124000000000001</v>
      </c>
      <c r="F130" s="77">
        <v>13.042999999999999</v>
      </c>
      <c r="G130" s="77">
        <v>13.571</v>
      </c>
      <c r="H130" s="4">
        <f t="shared" si="0"/>
        <v>29.479228486646882</v>
      </c>
      <c r="I130" s="6" t="s">
        <v>52</v>
      </c>
      <c r="J130" s="7">
        <v>0.52800000000000002</v>
      </c>
      <c r="K130" s="7"/>
      <c r="L130" s="7">
        <v>0.47799999999999998</v>
      </c>
      <c r="M130" s="7">
        <v>10.616</v>
      </c>
      <c r="N130" s="7"/>
      <c r="O130" s="7">
        <v>9.0619999999999994</v>
      </c>
      <c r="P130" s="4">
        <f t="shared" si="1"/>
        <v>19.560636182902581</v>
      </c>
      <c r="Q130" s="6" t="s">
        <v>82</v>
      </c>
      <c r="R130" s="7">
        <v>0.3</v>
      </c>
      <c r="S130" s="7">
        <v>0.3</v>
      </c>
      <c r="T130" s="7">
        <v>0.29699999999999999</v>
      </c>
      <c r="U130" s="7">
        <v>13.976000000000001</v>
      </c>
      <c r="V130" s="7">
        <v>14.019</v>
      </c>
      <c r="W130" s="7">
        <v>13.976000000000001</v>
      </c>
      <c r="X130" s="4">
        <f t="shared" si="2"/>
        <v>46.79041248606466</v>
      </c>
    </row>
    <row r="131" spans="1:24">
      <c r="A131" s="6" t="s">
        <v>25</v>
      </c>
      <c r="B131" s="7">
        <v>0.45900000000000002</v>
      </c>
      <c r="C131" s="7">
        <v>0.45900000000000002</v>
      </c>
      <c r="D131" s="7">
        <v>0.48499999999999999</v>
      </c>
      <c r="E131" s="7">
        <v>15.756</v>
      </c>
      <c r="F131" s="7">
        <v>15.282</v>
      </c>
      <c r="G131" s="7">
        <v>14.871</v>
      </c>
      <c r="H131" s="4">
        <f t="shared" si="0"/>
        <v>32.722024233784744</v>
      </c>
      <c r="I131" s="6" t="s">
        <v>53</v>
      </c>
      <c r="J131" s="7">
        <v>0.65600000000000003</v>
      </c>
      <c r="K131" s="7"/>
      <c r="L131" s="7"/>
      <c r="M131" s="7">
        <v>10.185</v>
      </c>
      <c r="N131" s="7"/>
      <c r="O131" s="7"/>
      <c r="P131" s="4">
        <f t="shared" si="1"/>
        <v>15.525914634146341</v>
      </c>
      <c r="Q131" s="6" t="s">
        <v>83</v>
      </c>
      <c r="R131" s="7">
        <v>0.30099999999999999</v>
      </c>
      <c r="S131" s="7">
        <v>0.30399999999999999</v>
      </c>
      <c r="T131" s="7">
        <v>0.30099999999999999</v>
      </c>
      <c r="U131" s="7">
        <v>11.391</v>
      </c>
      <c r="V131" s="7">
        <v>10.521000000000001</v>
      </c>
      <c r="W131" s="7">
        <v>10.023</v>
      </c>
      <c r="X131" s="4">
        <f t="shared" si="2"/>
        <v>35.248344370860927</v>
      </c>
    </row>
    <row r="132" spans="1:24">
      <c r="A132" s="76" t="s">
        <v>26</v>
      </c>
      <c r="B132" s="77">
        <v>0.496</v>
      </c>
      <c r="C132" s="77">
        <v>0.503</v>
      </c>
      <c r="D132" s="77">
        <v>0.47</v>
      </c>
      <c r="E132" s="77">
        <v>15.051</v>
      </c>
      <c r="F132" s="77">
        <v>15.282</v>
      </c>
      <c r="G132" s="77">
        <v>14.555</v>
      </c>
      <c r="H132" s="4">
        <f t="shared" si="0"/>
        <v>30.556841388699794</v>
      </c>
      <c r="I132" s="6" t="s">
        <v>54</v>
      </c>
      <c r="J132" s="7">
        <v>0.78</v>
      </c>
      <c r="K132" s="7">
        <v>0.78700000000000003</v>
      </c>
      <c r="L132" s="7">
        <v>0.82</v>
      </c>
      <c r="M132" s="7">
        <v>16.658000000000001</v>
      </c>
      <c r="N132" s="7">
        <v>16.864000000000001</v>
      </c>
      <c r="O132" s="7">
        <v>15.865</v>
      </c>
      <c r="P132" s="4">
        <f t="shared" si="1"/>
        <v>20.689987431922923</v>
      </c>
      <c r="Q132" s="76" t="s">
        <v>84</v>
      </c>
      <c r="R132" s="77">
        <v>0.30399999999999999</v>
      </c>
      <c r="S132" s="77">
        <v>0.29299999999999998</v>
      </c>
      <c r="T132" s="77">
        <v>0.28599999999999998</v>
      </c>
      <c r="U132" s="77">
        <v>14.496</v>
      </c>
      <c r="V132" s="77">
        <v>14.019</v>
      </c>
      <c r="W132" s="77">
        <v>13.597</v>
      </c>
      <c r="X132" s="4">
        <f t="shared" si="2"/>
        <v>47.691959229898082</v>
      </c>
    </row>
    <row r="133" spans="1:24">
      <c r="A133" s="6" t="s">
        <v>27</v>
      </c>
      <c r="B133" s="7">
        <v>0.56499999999999995</v>
      </c>
      <c r="C133" s="7">
        <v>0.56200000000000006</v>
      </c>
      <c r="D133" s="7">
        <v>0.55400000000000005</v>
      </c>
      <c r="E133" s="7">
        <v>15.898999999999999</v>
      </c>
      <c r="F133" s="7">
        <v>16.145</v>
      </c>
      <c r="G133" s="7">
        <v>15.282</v>
      </c>
      <c r="H133" s="4">
        <f t="shared" si="0"/>
        <v>28.153480071386074</v>
      </c>
      <c r="I133" s="6" t="s">
        <v>55</v>
      </c>
      <c r="J133" s="7">
        <v>1.2030000000000001</v>
      </c>
      <c r="K133" s="7">
        <v>1.1599999999999999</v>
      </c>
      <c r="L133" s="7">
        <v>1.196</v>
      </c>
      <c r="M133" s="7">
        <v>14.539</v>
      </c>
      <c r="N133" s="7">
        <v>14.147</v>
      </c>
      <c r="O133" s="7">
        <v>14.989000000000001</v>
      </c>
      <c r="P133" s="4">
        <f t="shared" si="1"/>
        <v>12.271705535262711</v>
      </c>
      <c r="Q133" s="6" t="s">
        <v>85</v>
      </c>
      <c r="R133" s="7">
        <v>0.312</v>
      </c>
      <c r="S133" s="7">
        <v>0.315</v>
      </c>
      <c r="T133" s="7">
        <v>0.309</v>
      </c>
      <c r="U133" s="7">
        <v>10.715999999999999</v>
      </c>
      <c r="V133" s="7">
        <v>10.75</v>
      </c>
      <c r="W133" s="7">
        <v>10.023</v>
      </c>
      <c r="X133" s="4">
        <f t="shared" si="2"/>
        <v>33.642094017094017</v>
      </c>
    </row>
    <row r="134" spans="1:24">
      <c r="A134" s="6" t="s">
        <v>28</v>
      </c>
      <c r="B134" s="7">
        <v>1.0760000000000001</v>
      </c>
      <c r="C134" s="7">
        <v>1.0720000000000001</v>
      </c>
      <c r="D134" s="7">
        <v>1.083</v>
      </c>
      <c r="E134" s="7">
        <v>20.850999999999999</v>
      </c>
      <c r="F134" s="7">
        <v>20.41</v>
      </c>
      <c r="G134" s="7">
        <v>20.66</v>
      </c>
      <c r="H134" s="4">
        <f t="shared" si="0"/>
        <v>19.164654905601978</v>
      </c>
      <c r="I134" s="6" t="s">
        <v>56</v>
      </c>
      <c r="J134" s="7">
        <v>1.458</v>
      </c>
      <c r="K134" s="7"/>
      <c r="L134" s="7"/>
      <c r="M134" s="7">
        <v>16.085000000000001</v>
      </c>
      <c r="N134" s="7"/>
      <c r="O134" s="7"/>
      <c r="P134" s="4">
        <f t="shared" si="1"/>
        <v>11.032235939643348</v>
      </c>
      <c r="Q134" s="6" t="s">
        <v>86</v>
      </c>
      <c r="R134" s="7">
        <v>0.32600000000000001</v>
      </c>
      <c r="S134" s="7">
        <v>0.38700000000000001</v>
      </c>
      <c r="T134" s="7">
        <v>0.38200000000000001</v>
      </c>
      <c r="U134" s="7">
        <v>7.88</v>
      </c>
      <c r="V134" s="7">
        <v>9.8109999999999999</v>
      </c>
      <c r="W134" s="7">
        <v>9.7799999999999994</v>
      </c>
      <c r="X134" s="4">
        <f t="shared" si="2"/>
        <v>25.087671232876705</v>
      </c>
    </row>
    <row r="135" spans="1:24">
      <c r="A135" s="4"/>
      <c r="B135" s="4"/>
      <c r="C135" s="4"/>
      <c r="D135" s="4"/>
      <c r="E135" s="4"/>
      <c r="F135" s="4"/>
      <c r="G135" s="4"/>
      <c r="H135" s="4"/>
      <c r="I135" s="6" t="s">
        <v>57</v>
      </c>
      <c r="J135" s="7">
        <v>2.5859999999999999</v>
      </c>
      <c r="K135" s="7"/>
      <c r="L135" s="7"/>
      <c r="M135" s="7">
        <v>19.667000000000002</v>
      </c>
      <c r="N135" s="7"/>
      <c r="O135" s="7"/>
      <c r="P135" s="4">
        <f t="shared" si="1"/>
        <v>7.6051817478731643</v>
      </c>
      <c r="Q135" s="6" t="s">
        <v>87</v>
      </c>
      <c r="R135" s="7">
        <v>0.33100000000000002</v>
      </c>
      <c r="S135" s="7">
        <v>0.33300000000000002</v>
      </c>
      <c r="T135" s="7">
        <v>0.33100000000000002</v>
      </c>
      <c r="U135" s="7">
        <v>15.406000000000001</v>
      </c>
      <c r="V135" s="7">
        <v>15.034000000000001</v>
      </c>
      <c r="W135" s="7">
        <v>15.595000000000001</v>
      </c>
      <c r="X135" s="4">
        <f t="shared" si="2"/>
        <v>46.266331658291449</v>
      </c>
    </row>
    <row r="136" spans="1:24">
      <c r="A136" s="4"/>
      <c r="B136" s="4"/>
      <c r="C136" s="4"/>
      <c r="D136" s="4"/>
      <c r="E136" s="4"/>
      <c r="F136" s="4"/>
      <c r="G136" s="4"/>
      <c r="H136" s="4"/>
      <c r="I136" s="6" t="s">
        <v>58</v>
      </c>
      <c r="J136" s="7">
        <v>2.7639999999999998</v>
      </c>
      <c r="K136" s="7">
        <v>2.9820000000000002</v>
      </c>
      <c r="L136" s="7">
        <v>2.84</v>
      </c>
      <c r="M136" s="7">
        <v>14.233000000000001</v>
      </c>
      <c r="N136" s="7">
        <v>14.32</v>
      </c>
      <c r="O136" s="7">
        <v>14.584</v>
      </c>
      <c r="P136" s="4">
        <f t="shared" si="1"/>
        <v>5.0241090146750524</v>
      </c>
      <c r="Q136" s="6" t="s">
        <v>88</v>
      </c>
      <c r="R136" s="7">
        <v>0.34499999999999997</v>
      </c>
      <c r="S136" s="7">
        <v>0.35399999999999998</v>
      </c>
      <c r="T136" s="7">
        <v>0.34899999999999998</v>
      </c>
      <c r="U136" s="7">
        <v>14.989000000000001</v>
      </c>
      <c r="V136" s="7">
        <v>14.807</v>
      </c>
      <c r="W136" s="7">
        <v>15.082000000000001</v>
      </c>
      <c r="X136" s="4">
        <f t="shared" si="2"/>
        <v>42.822519083969468</v>
      </c>
    </row>
    <row r="137" spans="1:24">
      <c r="A137" s="4"/>
      <c r="B137" s="4"/>
      <c r="C137" s="4"/>
      <c r="D137" s="4"/>
      <c r="E137" s="4"/>
      <c r="F137" s="4"/>
      <c r="G137" s="4"/>
      <c r="H137" s="4"/>
      <c r="I137" s="6" t="s">
        <v>59</v>
      </c>
      <c r="J137" s="7">
        <v>6.1440000000000001</v>
      </c>
      <c r="K137" s="7"/>
      <c r="L137" s="7"/>
      <c r="M137" s="7">
        <v>18.335999999999999</v>
      </c>
      <c r="N137" s="7"/>
      <c r="O137" s="7"/>
      <c r="P137" s="4">
        <f t="shared" si="1"/>
        <v>2.9843749999999996</v>
      </c>
      <c r="Q137" s="76" t="s">
        <v>89</v>
      </c>
      <c r="R137" s="77">
        <v>0.36899999999999999</v>
      </c>
      <c r="S137" s="77">
        <v>0.38700000000000001</v>
      </c>
      <c r="T137" s="77">
        <v>0.374</v>
      </c>
      <c r="U137" s="77">
        <v>15.406000000000001</v>
      </c>
      <c r="V137" s="77">
        <v>15.978</v>
      </c>
      <c r="W137" s="7">
        <v>16.273</v>
      </c>
      <c r="X137" s="4">
        <f t="shared" si="2"/>
        <v>42.174336283185838</v>
      </c>
    </row>
    <row r="138" spans="1:24">
      <c r="A138" s="4"/>
      <c r="B138" s="4"/>
      <c r="C138" s="4"/>
      <c r="D138" s="4"/>
      <c r="E138" s="4"/>
      <c r="F138" s="4"/>
      <c r="G138" s="4"/>
      <c r="H138" s="4"/>
      <c r="I138" s="6" t="s">
        <v>60</v>
      </c>
      <c r="J138" s="7">
        <v>6.4119999999999999</v>
      </c>
      <c r="K138" s="7"/>
      <c r="L138" s="7"/>
      <c r="M138" s="7">
        <v>25.87</v>
      </c>
      <c r="N138" s="7"/>
      <c r="O138" s="7"/>
      <c r="P138" s="4">
        <f t="shared" si="1"/>
        <v>4.0346225826575175</v>
      </c>
      <c r="Q138" s="4"/>
      <c r="R138" s="4"/>
      <c r="S138" s="4"/>
      <c r="T138" s="4"/>
      <c r="U138" s="4"/>
      <c r="V138" s="4"/>
      <c r="W138" s="4"/>
      <c r="X138" s="4"/>
    </row>
    <row r="139" spans="1:2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</sheetData>
  <mergeCells count="4">
    <mergeCell ref="B108:D108"/>
    <mergeCell ref="E108:G108"/>
    <mergeCell ref="R108:T108"/>
    <mergeCell ref="U108:W108"/>
  </mergeCells>
  <phoneticPr fontId="3" type="noConversion"/>
  <conditionalFormatting sqref="H109:H13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{506B2FB7-386F-4946-93D8-DE2536137F40}</x14:id>
        </ext>
      </extLst>
    </cfRule>
  </conditionalFormatting>
  <conditionalFormatting sqref="P109:P13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{E3F60E9E-0775-42DD-B4EF-C499201DDAF8}</x14:id>
        </ext>
      </extLst>
    </cfRule>
  </conditionalFormatting>
  <conditionalFormatting sqref="X109:X1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{64837D7D-D258-445D-BD14-BF28AE090C9B}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6B2FB7-386F-4946-93D8-DE2536137F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H109:H134</xm:sqref>
        </x14:conditionalFormatting>
        <x14:conditionalFormatting xmlns:xm="http://schemas.microsoft.com/office/excel/2006/main">
          <x14:cfRule type="dataBar" id="{E3F60E9E-0775-42DD-B4EF-C499201DDA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P109:P138</xm:sqref>
        </x14:conditionalFormatting>
        <x14:conditionalFormatting xmlns:xm="http://schemas.microsoft.com/office/excel/2006/main">
          <x14:cfRule type="dataBar" id="{64837D7D-D258-445D-BD14-BF28AE090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X109:X138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5BCB-E3D0-4C49-9055-BCFF4DC71019}">
  <dimension ref="A1:S166"/>
  <sheetViews>
    <sheetView topLeftCell="A11" zoomScale="90" zoomScaleNormal="90" workbookViewId="0">
      <selection activeCell="O48" sqref="O48"/>
    </sheetView>
  </sheetViews>
  <sheetFormatPr defaultColWidth="8.625" defaultRowHeight="14.25"/>
  <cols>
    <col min="1" max="1" width="24" style="4" customWidth="1"/>
    <col min="2" max="6" width="8.625" style="4"/>
    <col min="7" max="7" width="25.125" style="4" customWidth="1"/>
    <col min="8" max="8" width="11.625" style="4" customWidth="1"/>
    <col min="9" max="9" width="9.5" style="4" customWidth="1"/>
    <col min="10" max="10" width="8.625" style="4"/>
    <col min="11" max="11" width="14.125" style="4" customWidth="1"/>
    <col min="12" max="12" width="12.25" style="4" customWidth="1"/>
    <col min="13" max="13" width="25.125" style="4" customWidth="1"/>
    <col min="14" max="16384" width="8.625" style="4"/>
  </cols>
  <sheetData>
    <row r="1" spans="1:17" ht="15.75" thickBot="1">
      <c r="A1" s="117" t="s">
        <v>1509</v>
      </c>
      <c r="B1" s="222" t="s">
        <v>446</v>
      </c>
      <c r="C1" s="237"/>
      <c r="G1" s="68" t="s">
        <v>1511</v>
      </c>
      <c r="H1" s="218" t="s">
        <v>446</v>
      </c>
      <c r="I1" s="218"/>
      <c r="M1" s="68" t="s">
        <v>1510</v>
      </c>
      <c r="N1" s="218" t="s">
        <v>446</v>
      </c>
      <c r="O1" s="218"/>
    </row>
    <row r="2" spans="1:17" s="13" customFormat="1" ht="29.45" customHeight="1">
      <c r="A2" s="24" t="s">
        <v>445</v>
      </c>
      <c r="B2" s="25" t="s">
        <v>443</v>
      </c>
      <c r="C2" s="26" t="s">
        <v>444</v>
      </c>
      <c r="E2" s="15"/>
      <c r="G2" s="24" t="s">
        <v>448</v>
      </c>
      <c r="H2" s="27" t="s">
        <v>443</v>
      </c>
      <c r="I2" s="28" t="s">
        <v>444</v>
      </c>
      <c r="K2" s="14"/>
      <c r="M2" s="24" t="s">
        <v>450</v>
      </c>
      <c r="N2" s="27" t="s">
        <v>443</v>
      </c>
      <c r="O2" s="28" t="s">
        <v>444</v>
      </c>
      <c r="Q2" s="14"/>
    </row>
    <row r="3" spans="1:17">
      <c r="A3" s="19" t="s">
        <v>435</v>
      </c>
      <c r="B3" s="2">
        <v>-0.86560000000000004</v>
      </c>
      <c r="C3" s="20">
        <v>0.3599</v>
      </c>
      <c r="E3" s="2"/>
      <c r="G3" s="29" t="s">
        <v>435</v>
      </c>
      <c r="H3" s="4">
        <v>-0.376</v>
      </c>
      <c r="I3" s="30">
        <v>-0.42230000000000001</v>
      </c>
      <c r="M3" s="19" t="s">
        <v>435</v>
      </c>
      <c r="N3" s="2">
        <v>-9.7540000000000002E-2</v>
      </c>
      <c r="O3" s="20">
        <v>0.2329</v>
      </c>
      <c r="Q3" s="2"/>
    </row>
    <row r="4" spans="1:17">
      <c r="A4" s="19" t="s">
        <v>436</v>
      </c>
      <c r="B4" s="2">
        <v>-0.33800000000000002</v>
      </c>
      <c r="C4" s="20">
        <v>0.42499999999999999</v>
      </c>
      <c r="E4" s="2"/>
      <c r="G4" s="29" t="s">
        <v>436</v>
      </c>
      <c r="H4" s="4">
        <v>0.64490000000000003</v>
      </c>
      <c r="I4" s="30">
        <v>0.37869999999999998</v>
      </c>
      <c r="M4" s="19" t="s">
        <v>436</v>
      </c>
      <c r="N4" s="2">
        <v>0.26569999999999999</v>
      </c>
      <c r="O4" s="20">
        <v>-0.46810000000000002</v>
      </c>
      <c r="Q4" s="2"/>
    </row>
    <row r="5" spans="1:17">
      <c r="A5" s="19" t="s">
        <v>437</v>
      </c>
      <c r="B5" s="2">
        <v>0.75309999999999999</v>
      </c>
      <c r="C5" s="20">
        <v>-0.56689999999999996</v>
      </c>
      <c r="E5" s="2"/>
      <c r="G5" s="29" t="s">
        <v>437</v>
      </c>
      <c r="H5" s="4">
        <v>5.2310000000000002E-2</v>
      </c>
      <c r="I5" s="30">
        <v>0.30049999999999999</v>
      </c>
      <c r="M5" s="19" t="s">
        <v>437</v>
      </c>
      <c r="N5" s="2">
        <v>6.0429999999999998E-2</v>
      </c>
      <c r="O5" s="20">
        <v>-0.2271</v>
      </c>
      <c r="Q5" s="2"/>
    </row>
    <row r="6" spans="1:17">
      <c r="A6" s="19" t="s">
        <v>438</v>
      </c>
      <c r="B6" s="2">
        <v>-0.84470000000000001</v>
      </c>
      <c r="C6" s="20">
        <v>0.44690000000000002</v>
      </c>
      <c r="E6" s="2"/>
      <c r="G6" s="29" t="s">
        <v>438</v>
      </c>
      <c r="H6" s="4">
        <v>-0.80549999999999999</v>
      </c>
      <c r="I6" s="30">
        <v>-0.46839999999999998</v>
      </c>
      <c r="M6" s="19" t="s">
        <v>438</v>
      </c>
      <c r="N6" s="2">
        <v>-0.20230000000000001</v>
      </c>
      <c r="O6" s="20">
        <v>0.61160000000000003</v>
      </c>
      <c r="Q6" s="2"/>
    </row>
    <row r="7" spans="1:17">
      <c r="A7" s="19" t="s">
        <v>439</v>
      </c>
      <c r="B7" s="2">
        <v>-0.84830000000000005</v>
      </c>
      <c r="C7" s="20">
        <v>0.45519999999999999</v>
      </c>
      <c r="E7" s="2"/>
      <c r="G7" s="29" t="s">
        <v>439</v>
      </c>
      <c r="H7" s="4">
        <v>-0.71120000000000005</v>
      </c>
      <c r="I7" s="30">
        <v>-1.06E-2</v>
      </c>
      <c r="M7" s="19" t="s">
        <v>439</v>
      </c>
      <c r="N7" s="2">
        <v>-0.19450000000000001</v>
      </c>
      <c r="O7" s="20">
        <v>0.63670000000000004</v>
      </c>
      <c r="Q7" s="2"/>
    </row>
    <row r="8" spans="1:17">
      <c r="A8" s="19" t="s">
        <v>440</v>
      </c>
      <c r="B8" s="2">
        <v>-0.72589999999999999</v>
      </c>
      <c r="C8" s="20">
        <v>0.46050000000000002</v>
      </c>
      <c r="E8" s="2"/>
      <c r="G8" s="29" t="s">
        <v>440</v>
      </c>
      <c r="H8" s="4">
        <v>-0.67620000000000002</v>
      </c>
      <c r="I8" s="30">
        <v>9.4960000000000003E-2</v>
      </c>
      <c r="M8" s="19" t="s">
        <v>440</v>
      </c>
      <c r="N8" s="2">
        <v>-0.18629999999999999</v>
      </c>
      <c r="O8" s="20">
        <v>0.50849999999999995</v>
      </c>
      <c r="Q8" s="2"/>
    </row>
    <row r="9" spans="1:17">
      <c r="A9" s="19" t="s">
        <v>441</v>
      </c>
      <c r="B9" s="2">
        <v>0.83069999999999999</v>
      </c>
      <c r="C9" s="20">
        <v>-0.4551</v>
      </c>
      <c r="E9" s="2"/>
      <c r="G9" s="29" t="s">
        <v>441</v>
      </c>
      <c r="H9" s="4">
        <v>-0.14760000000000001</v>
      </c>
      <c r="I9" s="30">
        <v>0.10879999999999999</v>
      </c>
      <c r="M9" s="19" t="s">
        <v>441</v>
      </c>
      <c r="N9" s="2">
        <v>2.1780000000000001E-2</v>
      </c>
      <c r="O9" s="20">
        <v>-0.22439999999999999</v>
      </c>
      <c r="Q9" s="2"/>
    </row>
    <row r="10" spans="1:17" ht="15" thickBot="1">
      <c r="A10" s="21" t="s">
        <v>442</v>
      </c>
      <c r="B10" s="22">
        <v>0.84919999999999995</v>
      </c>
      <c r="C10" s="23">
        <v>-0.4662</v>
      </c>
      <c r="E10" s="2"/>
      <c r="G10" s="31" t="s">
        <v>442</v>
      </c>
      <c r="H10" s="32">
        <v>-0.10730000000000001</v>
      </c>
      <c r="I10" s="33">
        <v>7.8520000000000006E-2</v>
      </c>
      <c r="M10" s="21" t="s">
        <v>442</v>
      </c>
      <c r="N10" s="22">
        <v>-0.1782</v>
      </c>
      <c r="O10" s="23">
        <v>0.15709999999999999</v>
      </c>
      <c r="Q10" s="2"/>
    </row>
    <row r="12" spans="1:17">
      <c r="A12" s="1"/>
    </row>
    <row r="13" spans="1:17" ht="15" thickBot="1"/>
    <row r="14" spans="1:17" ht="15">
      <c r="A14" s="117" t="s">
        <v>1514</v>
      </c>
      <c r="B14" s="252" t="s">
        <v>446</v>
      </c>
      <c r="C14" s="253"/>
      <c r="D14" s="68"/>
      <c r="E14" s="68"/>
      <c r="F14" s="68"/>
      <c r="G14" s="117" t="s">
        <v>1513</v>
      </c>
      <c r="H14" s="252" t="s">
        <v>446</v>
      </c>
      <c r="I14" s="253"/>
      <c r="J14" s="68"/>
      <c r="K14" s="68"/>
      <c r="L14" s="68"/>
      <c r="M14" s="117" t="s">
        <v>1512</v>
      </c>
      <c r="N14" s="222" t="s">
        <v>446</v>
      </c>
      <c r="O14" s="237"/>
    </row>
    <row r="15" spans="1:17" ht="42" customHeight="1">
      <c r="A15" s="17" t="s">
        <v>451</v>
      </c>
      <c r="B15" s="15" t="s">
        <v>443</v>
      </c>
      <c r="C15" s="18" t="s">
        <v>444</v>
      </c>
      <c r="E15" s="15"/>
      <c r="G15" s="17" t="s">
        <v>453</v>
      </c>
      <c r="H15" s="14" t="s">
        <v>443</v>
      </c>
      <c r="I15" s="18" t="s">
        <v>444</v>
      </c>
      <c r="K15" s="15"/>
      <c r="M15" s="17" t="s">
        <v>455</v>
      </c>
      <c r="N15" s="14" t="s">
        <v>443</v>
      </c>
      <c r="O15" s="18" t="s">
        <v>444</v>
      </c>
      <c r="Q15" s="15"/>
    </row>
    <row r="16" spans="1:17">
      <c r="A16" s="29" t="s">
        <v>435</v>
      </c>
      <c r="B16" s="4">
        <v>-8.1030000000000005E-2</v>
      </c>
      <c r="C16" s="30">
        <v>-3.771E-2</v>
      </c>
      <c r="G16" s="19" t="s">
        <v>435</v>
      </c>
      <c r="H16" s="2">
        <v>-9.3520000000000006E-2</v>
      </c>
      <c r="I16" s="20">
        <v>0.12939999999999999</v>
      </c>
      <c r="K16" s="2"/>
      <c r="M16" s="19" t="s">
        <v>435</v>
      </c>
      <c r="N16" s="2">
        <v>-0.183</v>
      </c>
      <c r="O16" s="20">
        <v>-0.36549999999999999</v>
      </c>
      <c r="Q16" s="2"/>
    </row>
    <row r="17" spans="1:19">
      <c r="A17" s="29" t="s">
        <v>436</v>
      </c>
      <c r="B17" s="4">
        <v>6.4479999999999996E-2</v>
      </c>
      <c r="C17" s="30">
        <v>-0.192</v>
      </c>
      <c r="G17" s="19" t="s">
        <v>436</v>
      </c>
      <c r="H17" s="2">
        <v>8.0600000000000005E-2</v>
      </c>
      <c r="I17" s="20">
        <v>-0.161</v>
      </c>
      <c r="K17" s="2"/>
      <c r="M17" s="19" t="s">
        <v>436</v>
      </c>
      <c r="N17" s="2">
        <v>0.21729999999999999</v>
      </c>
      <c r="O17" s="20">
        <v>0.3357</v>
      </c>
      <c r="Q17" s="2"/>
    </row>
    <row r="18" spans="1:19">
      <c r="A18" s="29" t="s">
        <v>437</v>
      </c>
      <c r="B18" s="4">
        <v>-8.0850000000000005E-2</v>
      </c>
      <c r="C18" s="30">
        <v>-0.30359999999999998</v>
      </c>
      <c r="G18" s="19" t="s">
        <v>437</v>
      </c>
      <c r="H18" s="2">
        <v>9.1770000000000004E-2</v>
      </c>
      <c r="I18" s="20">
        <v>-0.1072</v>
      </c>
      <c r="K18" s="2"/>
      <c r="M18" s="19" t="s">
        <v>437</v>
      </c>
      <c r="N18" s="2">
        <v>0.27310000000000001</v>
      </c>
      <c r="O18" s="20">
        <v>0.45129999999999998</v>
      </c>
      <c r="Q18" s="2"/>
    </row>
    <row r="19" spans="1:19">
      <c r="A19" s="29" t="s">
        <v>438</v>
      </c>
      <c r="B19" s="4">
        <v>-0.22220000000000001</v>
      </c>
      <c r="C19" s="30">
        <v>-0.19409999999999999</v>
      </c>
      <c r="G19" s="19" t="s">
        <v>438</v>
      </c>
      <c r="H19" s="2">
        <v>6.7130000000000002E-3</v>
      </c>
      <c r="I19" s="20">
        <v>-0.13339999999999999</v>
      </c>
      <c r="K19" s="2"/>
      <c r="M19" s="19" t="s">
        <v>438</v>
      </c>
      <c r="N19" s="2">
        <v>-0.14000000000000001</v>
      </c>
      <c r="O19" s="20">
        <v>5.7140000000000003E-2</v>
      </c>
      <c r="Q19" s="2"/>
    </row>
    <row r="20" spans="1:19">
      <c r="A20" s="29" t="s">
        <v>439</v>
      </c>
      <c r="B20" s="4">
        <v>-0.22550000000000001</v>
      </c>
      <c r="C20" s="30">
        <v>-0.18590000000000001</v>
      </c>
      <c r="G20" s="19" t="s">
        <v>439</v>
      </c>
      <c r="H20" s="2">
        <v>3.4910000000000002E-3</v>
      </c>
      <c r="I20" s="20">
        <v>-0.14419999999999999</v>
      </c>
      <c r="K20" s="2"/>
      <c r="M20" s="19" t="s">
        <v>439</v>
      </c>
      <c r="N20" s="2">
        <v>-0.27639999999999998</v>
      </c>
      <c r="O20" s="20">
        <v>-0.1116</v>
      </c>
      <c r="Q20" s="2"/>
    </row>
    <row r="21" spans="1:19">
      <c r="A21" s="29" t="s">
        <v>440</v>
      </c>
      <c r="B21" s="4">
        <v>-9.0550000000000005E-2</v>
      </c>
      <c r="C21" s="30">
        <v>-5.4949999999999999E-2</v>
      </c>
      <c r="G21" s="19" t="s">
        <v>440</v>
      </c>
      <c r="H21" s="2">
        <v>-3.107E-2</v>
      </c>
      <c r="I21" s="20">
        <v>-0.14430000000000001</v>
      </c>
      <c r="K21" s="2"/>
      <c r="M21" s="19" t="s">
        <v>440</v>
      </c>
      <c r="N21" s="2">
        <v>-0.37809999999999999</v>
      </c>
      <c r="O21" s="20">
        <v>-0.26240000000000002</v>
      </c>
      <c r="Q21" s="2"/>
    </row>
    <row r="22" spans="1:19">
      <c r="A22" s="29" t="s">
        <v>441</v>
      </c>
      <c r="B22" s="4">
        <v>0.2172</v>
      </c>
      <c r="C22" s="30">
        <v>0.18260000000000001</v>
      </c>
      <c r="G22" s="19" t="s">
        <v>441</v>
      </c>
      <c r="H22" s="2">
        <v>-0.11310000000000001</v>
      </c>
      <c r="I22" s="20">
        <v>-8.7970000000000007E-2</v>
      </c>
      <c r="K22" s="2"/>
      <c r="M22" s="19" t="s">
        <v>441</v>
      </c>
      <c r="N22" s="2">
        <v>-0.6835</v>
      </c>
      <c r="O22" s="20">
        <v>-0.77180000000000004</v>
      </c>
      <c r="Q22" s="2"/>
    </row>
    <row r="23" spans="1:19" ht="15" thickBot="1">
      <c r="A23" s="31" t="s">
        <v>442</v>
      </c>
      <c r="B23" s="32">
        <v>0.18179999999999999</v>
      </c>
      <c r="C23" s="33">
        <v>0.16170000000000001</v>
      </c>
      <c r="G23" s="19" t="s">
        <v>442</v>
      </c>
      <c r="H23" s="2">
        <v>6.3689999999999997E-2</v>
      </c>
      <c r="I23" s="20">
        <v>0.28260000000000002</v>
      </c>
      <c r="K23" s="2"/>
      <c r="M23" s="21" t="s">
        <v>442</v>
      </c>
      <c r="N23" s="22">
        <v>-0.57909999999999995</v>
      </c>
      <c r="O23" s="23">
        <v>-0.73009999999999997</v>
      </c>
      <c r="Q23" s="2"/>
    </row>
    <row r="24" spans="1:19" ht="15" thickBot="1">
      <c r="G24" s="31"/>
      <c r="H24" s="32"/>
      <c r="I24" s="33"/>
    </row>
    <row r="25" spans="1:19" ht="15" thickBot="1"/>
    <row r="26" spans="1:19">
      <c r="A26" s="16" t="s">
        <v>445</v>
      </c>
      <c r="B26" s="34"/>
      <c r="C26" s="34"/>
      <c r="D26" s="34"/>
      <c r="E26" s="34"/>
      <c r="F26" s="34"/>
      <c r="G26" s="34"/>
      <c r="H26" s="34"/>
      <c r="I26" s="34"/>
      <c r="J26" s="34"/>
      <c r="K26" s="35"/>
    </row>
    <row r="27" spans="1:19">
      <c r="A27" s="29" t="s">
        <v>456</v>
      </c>
      <c r="B27" s="4" t="s">
        <v>435</v>
      </c>
      <c r="C27" s="4" t="s">
        <v>436</v>
      </c>
      <c r="D27" s="4" t="s">
        <v>437</v>
      </c>
      <c r="E27" s="4" t="s">
        <v>438</v>
      </c>
      <c r="F27" s="4" t="s">
        <v>439</v>
      </c>
      <c r="G27" s="4" t="s">
        <v>440</v>
      </c>
      <c r="H27" s="4" t="s">
        <v>441</v>
      </c>
      <c r="I27" s="4" t="s">
        <v>442</v>
      </c>
      <c r="J27" s="4" t="s">
        <v>433</v>
      </c>
      <c r="K27" s="30" t="s">
        <v>434</v>
      </c>
    </row>
    <row r="28" spans="1:19">
      <c r="A28" s="29">
        <v>0</v>
      </c>
      <c r="B28" s="4">
        <v>0.469727273</v>
      </c>
      <c r="C28" s="4">
        <v>0</v>
      </c>
      <c r="D28" s="4">
        <v>0.192541667</v>
      </c>
      <c r="E28" s="4">
        <v>0.41009836100000002</v>
      </c>
      <c r="F28" s="4">
        <v>0.43774999999999997</v>
      </c>
      <c r="G28" s="4">
        <v>0.35910555599999999</v>
      </c>
      <c r="H28" s="4">
        <v>3.4474999999999999E-2</v>
      </c>
      <c r="I28" s="4">
        <v>9.4380000000000002E-3</v>
      </c>
      <c r="J28" s="169">
        <v>0.35208266666666671</v>
      </c>
      <c r="K28" s="174">
        <v>14.5601</v>
      </c>
      <c r="M28" s="6"/>
      <c r="N28" s="7"/>
      <c r="O28" s="7"/>
      <c r="P28" s="7"/>
      <c r="Q28" s="7"/>
      <c r="R28" s="7"/>
      <c r="S28" s="7"/>
    </row>
    <row r="29" spans="1:19">
      <c r="A29" s="29">
        <v>8</v>
      </c>
      <c r="B29" s="4">
        <v>0.472409091</v>
      </c>
      <c r="C29" s="4">
        <v>0.21375</v>
      </c>
      <c r="D29" s="4">
        <v>0.17458333300000001</v>
      </c>
      <c r="E29" s="4">
        <v>0.42591803299999997</v>
      </c>
      <c r="F29" s="4">
        <v>0.45700000000000002</v>
      </c>
      <c r="G29" s="4">
        <v>0.37077555600000001</v>
      </c>
      <c r="H29" s="4">
        <v>3.3305000000000001E-2</v>
      </c>
      <c r="I29" s="4">
        <v>9.1369999999999993E-3</v>
      </c>
      <c r="J29" s="169">
        <v>0.22375033333333336</v>
      </c>
      <c r="K29" s="174">
        <v>13.658896666666665</v>
      </c>
      <c r="M29" s="6"/>
      <c r="N29" s="7"/>
      <c r="O29" s="7"/>
      <c r="P29" s="7"/>
      <c r="Q29" s="7"/>
      <c r="R29" s="7"/>
      <c r="S29" s="7"/>
    </row>
    <row r="30" spans="1:19">
      <c r="A30" s="29">
        <v>16</v>
      </c>
      <c r="B30" s="4">
        <v>0.49327272700000002</v>
      </c>
      <c r="C30" s="4">
        <v>0.1945625</v>
      </c>
      <c r="D30" s="4">
        <v>0.17374999999999999</v>
      </c>
      <c r="E30" s="4">
        <v>0.43352458999999999</v>
      </c>
      <c r="F30" s="4">
        <v>0.46500000000000002</v>
      </c>
      <c r="G30" s="4">
        <v>0.37333666700000001</v>
      </c>
      <c r="H30" s="4">
        <v>3.2814999999999997E-2</v>
      </c>
      <c r="I30" s="4">
        <v>8.9849999999999999E-3</v>
      </c>
      <c r="J30" s="169">
        <v>0.11501533333333332</v>
      </c>
      <c r="K30" s="174">
        <v>14.165876666666668</v>
      </c>
      <c r="M30" s="6"/>
      <c r="N30" s="7"/>
      <c r="O30" s="7"/>
      <c r="P30" s="7"/>
      <c r="Q30" s="7"/>
      <c r="R30" s="7"/>
      <c r="S30" s="7"/>
    </row>
    <row r="31" spans="1:19">
      <c r="A31" s="29">
        <v>24</v>
      </c>
      <c r="B31" s="4">
        <v>0.504</v>
      </c>
      <c r="C31" s="4">
        <v>0.181208333</v>
      </c>
      <c r="D31" s="4">
        <v>0.162041667</v>
      </c>
      <c r="E31" s="4">
        <v>0.43568852499999999</v>
      </c>
      <c r="F31" s="4">
        <v>0.46887499999999999</v>
      </c>
      <c r="G31" s="4">
        <v>0.375218889</v>
      </c>
      <c r="H31" s="4">
        <v>3.27E-2</v>
      </c>
      <c r="I31" s="4">
        <v>8.9449999999999998E-3</v>
      </c>
      <c r="J31" s="4">
        <v>9.5783999999999994E-2</v>
      </c>
      <c r="K31" s="30">
        <v>13.46</v>
      </c>
      <c r="M31" s="6"/>
      <c r="N31" s="7"/>
      <c r="O31" s="7"/>
      <c r="P31" s="7"/>
      <c r="Q31" s="7"/>
      <c r="R31" s="7"/>
      <c r="S31" s="7"/>
    </row>
    <row r="32" spans="1:19">
      <c r="A32" s="29">
        <v>34</v>
      </c>
      <c r="B32" s="4">
        <v>0.52413636399999997</v>
      </c>
      <c r="C32" s="4">
        <v>0.178764706</v>
      </c>
      <c r="D32" s="4">
        <v>0.15508333299999999</v>
      </c>
      <c r="E32" s="4">
        <v>0.44103278699999998</v>
      </c>
      <c r="F32" s="4">
        <v>0.47299999999999998</v>
      </c>
      <c r="G32" s="4">
        <v>0.37525222200000002</v>
      </c>
      <c r="H32" s="4">
        <v>3.2390000000000002E-2</v>
      </c>
      <c r="I32" s="4">
        <v>8.8579999999999996E-3</v>
      </c>
      <c r="J32" s="4">
        <v>0.11268366666666667</v>
      </c>
      <c r="K32" s="30">
        <v>15.588703333333333</v>
      </c>
      <c r="M32" s="6"/>
      <c r="N32" s="7"/>
      <c r="O32" s="7"/>
      <c r="P32" s="7"/>
      <c r="Q32" s="7"/>
      <c r="R32" s="7"/>
      <c r="S32" s="7"/>
    </row>
    <row r="33" spans="1:19">
      <c r="A33" s="29">
        <v>44</v>
      </c>
      <c r="B33" s="4">
        <v>0.54122727299999995</v>
      </c>
      <c r="C33" s="4">
        <v>0.170306818</v>
      </c>
      <c r="D33" s="4">
        <v>0.16216666699999999</v>
      </c>
      <c r="E33" s="4">
        <v>0.44675409799999999</v>
      </c>
      <c r="F33" s="4">
        <v>0.47799999999999998</v>
      </c>
      <c r="G33" s="4">
        <v>0.37568666699999997</v>
      </c>
      <c r="H33" s="4">
        <v>3.2015000000000002E-2</v>
      </c>
      <c r="I33" s="4">
        <v>8.7690000000000008E-3</v>
      </c>
      <c r="J33" s="4">
        <v>9.9829666666666664E-2</v>
      </c>
      <c r="K33" s="30">
        <v>14.064036666666667</v>
      </c>
      <c r="M33" s="6"/>
      <c r="N33" s="7"/>
      <c r="O33" s="7"/>
      <c r="P33" s="7"/>
      <c r="Q33" s="7"/>
      <c r="R33" s="7"/>
      <c r="S33" s="7"/>
    </row>
    <row r="34" spans="1:19" ht="15" thickBot="1">
      <c r="A34" s="31">
        <v>54</v>
      </c>
      <c r="B34" s="32">
        <v>0.55577272700000002</v>
      </c>
      <c r="C34" s="32">
        <v>0.169707407</v>
      </c>
      <c r="D34" s="32">
        <v>0.17195833299999999</v>
      </c>
      <c r="E34" s="32">
        <v>0.44929508200000001</v>
      </c>
      <c r="F34" s="32">
        <v>0.47799999999999998</v>
      </c>
      <c r="G34" s="32">
        <v>0.37358999999999998</v>
      </c>
      <c r="H34" s="32">
        <v>3.1954999999999997E-2</v>
      </c>
      <c r="I34" s="32">
        <v>8.7740000000000005E-3</v>
      </c>
      <c r="J34" s="32">
        <v>9.988933333333333E-2</v>
      </c>
      <c r="K34" s="33">
        <v>14.27528</v>
      </c>
      <c r="M34" s="6"/>
      <c r="N34" s="7"/>
      <c r="O34" s="7"/>
      <c r="P34" s="7"/>
      <c r="Q34" s="7"/>
      <c r="R34" s="7"/>
      <c r="S34" s="7"/>
    </row>
    <row r="35" spans="1:19" ht="15" thickBot="1"/>
    <row r="36" spans="1:19">
      <c r="A36" s="16" t="s">
        <v>447</v>
      </c>
      <c r="B36" s="34"/>
      <c r="C36" s="34"/>
      <c r="D36" s="34"/>
      <c r="E36" s="34"/>
      <c r="F36" s="34"/>
      <c r="G36" s="34"/>
      <c r="H36" s="34"/>
      <c r="I36" s="34"/>
      <c r="J36" s="34"/>
      <c r="K36" s="35"/>
    </row>
    <row r="37" spans="1:19">
      <c r="A37" s="29" t="s">
        <v>456</v>
      </c>
      <c r="B37" s="4" t="s">
        <v>435</v>
      </c>
      <c r="C37" s="4" t="s">
        <v>436</v>
      </c>
      <c r="D37" s="4" t="s">
        <v>437</v>
      </c>
      <c r="E37" s="4" t="s">
        <v>438</v>
      </c>
      <c r="F37" s="4" t="s">
        <v>439</v>
      </c>
      <c r="G37" s="4" t="s">
        <v>440</v>
      </c>
      <c r="H37" s="4" t="s">
        <v>441</v>
      </c>
      <c r="I37" s="4" t="s">
        <v>442</v>
      </c>
      <c r="J37" s="4" t="s">
        <v>433</v>
      </c>
      <c r="K37" s="30" t="s">
        <v>434</v>
      </c>
    </row>
    <row r="38" spans="1:19">
      <c r="A38" s="29">
        <v>8</v>
      </c>
      <c r="B38" s="4">
        <v>0.50504545499999998</v>
      </c>
      <c r="C38" s="4">
        <v>0.19316666699999999</v>
      </c>
      <c r="D38" s="4">
        <v>9.6600000000000005E-2</v>
      </c>
      <c r="E38" s="4">
        <v>7.2312500000000002E-2</v>
      </c>
      <c r="F38" s="4">
        <v>7.0224999999999996E-2</v>
      </c>
      <c r="G38" s="4">
        <v>6.3487777999999995E-2</v>
      </c>
      <c r="H38" s="4">
        <v>1.7665500000000001E-2</v>
      </c>
      <c r="I38" s="4">
        <v>3.3777E-3</v>
      </c>
      <c r="J38" s="4">
        <v>1.7773333330000001</v>
      </c>
      <c r="K38" s="30">
        <v>11.78333333</v>
      </c>
      <c r="N38" s="7"/>
      <c r="O38" s="7"/>
      <c r="P38" s="7"/>
      <c r="Q38" s="7"/>
      <c r="R38" s="7"/>
      <c r="S38" s="7"/>
    </row>
    <row r="39" spans="1:19">
      <c r="A39" s="29">
        <v>16</v>
      </c>
      <c r="B39" s="4">
        <v>0.50390909100000003</v>
      </c>
      <c r="C39" s="4">
        <v>0.20929166699999999</v>
      </c>
      <c r="D39" s="4">
        <v>0.136625</v>
      </c>
      <c r="E39" s="4">
        <v>0.120375</v>
      </c>
      <c r="F39" s="4">
        <v>0.11712500000000001</v>
      </c>
      <c r="G39" s="4">
        <v>0.10671333299999999</v>
      </c>
      <c r="H39" s="4">
        <v>2.0395E-2</v>
      </c>
      <c r="I39" s="4">
        <v>7.6150000000000002E-3</v>
      </c>
      <c r="J39" s="4">
        <v>1.534333333</v>
      </c>
      <c r="K39" s="30">
        <v>13.527333329999999</v>
      </c>
      <c r="N39" s="7"/>
      <c r="O39" s="7"/>
      <c r="P39" s="7"/>
      <c r="Q39" s="7"/>
      <c r="R39" s="7"/>
      <c r="S39" s="7"/>
    </row>
    <row r="40" spans="1:19">
      <c r="A40" s="29">
        <v>26</v>
      </c>
      <c r="B40" s="4">
        <v>0.499863636</v>
      </c>
      <c r="C40" s="4">
        <v>0.21841666700000001</v>
      </c>
      <c r="D40" s="4">
        <v>0.24074999999999999</v>
      </c>
      <c r="E40" s="4">
        <v>0.24411538499999999</v>
      </c>
      <c r="F40" s="4">
        <v>0.24337500000000001</v>
      </c>
      <c r="G40" s="4">
        <v>0.216311111</v>
      </c>
      <c r="H40" s="4">
        <v>3.1269999999999999E-2</v>
      </c>
      <c r="I40" s="4">
        <v>1.005E-2</v>
      </c>
      <c r="J40" s="4">
        <v>1.070333333</v>
      </c>
      <c r="K40" s="30">
        <v>15.356999999999999</v>
      </c>
      <c r="N40" s="7"/>
      <c r="O40" s="7"/>
      <c r="P40" s="7"/>
      <c r="Q40" s="7"/>
      <c r="R40" s="7"/>
      <c r="S40" s="7"/>
    </row>
    <row r="41" spans="1:19">
      <c r="A41" s="29">
        <v>31</v>
      </c>
      <c r="B41" s="4">
        <v>0.50222727300000003</v>
      </c>
      <c r="C41" s="4">
        <v>0.193291667</v>
      </c>
      <c r="D41" s="4">
        <v>0.1915</v>
      </c>
      <c r="E41" s="4">
        <v>0.206548387</v>
      </c>
      <c r="F41" s="4">
        <v>0.20799999999999999</v>
      </c>
      <c r="G41" s="4">
        <v>0.18296222200000001</v>
      </c>
      <c r="H41" s="4">
        <v>3.9074999999999999E-2</v>
      </c>
      <c r="I41" s="4">
        <v>1.0083999999999999E-2</v>
      </c>
      <c r="J41" s="4">
        <v>0.43866666700000001</v>
      </c>
      <c r="K41" s="30">
        <v>12.932333330000001</v>
      </c>
      <c r="N41" s="7"/>
      <c r="O41" s="7"/>
      <c r="P41" s="7"/>
      <c r="Q41" s="7"/>
      <c r="R41" s="7"/>
      <c r="S41" s="7"/>
    </row>
    <row r="42" spans="1:19">
      <c r="A42" s="29">
        <v>36</v>
      </c>
      <c r="B42" s="4">
        <v>0.50186363599999995</v>
      </c>
      <c r="C42" s="4">
        <v>0.17983333300000001</v>
      </c>
      <c r="D42" s="4">
        <v>0.19550000000000001</v>
      </c>
      <c r="E42" s="4">
        <v>0.22066666700000001</v>
      </c>
      <c r="F42" s="4">
        <v>0.22500000000000001</v>
      </c>
      <c r="G42" s="4">
        <v>0.19538777800000001</v>
      </c>
      <c r="H42" s="4">
        <v>3.5860000000000003E-2</v>
      </c>
      <c r="I42" s="4">
        <v>9.0969999999999992E-3</v>
      </c>
      <c r="J42" s="4">
        <v>0.35099999999999998</v>
      </c>
      <c r="K42" s="30">
        <v>13.41333333</v>
      </c>
      <c r="N42" s="7"/>
      <c r="O42" s="7"/>
      <c r="P42" s="7"/>
      <c r="Q42" s="7"/>
      <c r="R42" s="7"/>
      <c r="S42" s="7"/>
    </row>
    <row r="43" spans="1:19">
      <c r="A43" s="29">
        <v>41</v>
      </c>
      <c r="B43" s="4">
        <v>0.50122727300000003</v>
      </c>
      <c r="C43" s="4">
        <v>0.20025000000000001</v>
      </c>
      <c r="D43" s="4">
        <v>0.213708333</v>
      </c>
      <c r="E43" s="4">
        <v>0.270073171</v>
      </c>
      <c r="F43" s="4">
        <v>0.27900000000000003</v>
      </c>
      <c r="G43" s="4">
        <v>0.23246444399999999</v>
      </c>
      <c r="H43" s="4">
        <v>3.9489999999999997E-2</v>
      </c>
      <c r="I43" s="4">
        <v>1.0977000000000001E-2</v>
      </c>
      <c r="J43" s="4">
        <v>0.18099999999999999</v>
      </c>
      <c r="K43" s="30">
        <v>11.99333333</v>
      </c>
      <c r="N43" s="7"/>
      <c r="O43" s="7"/>
      <c r="P43" s="7"/>
      <c r="Q43" s="7"/>
      <c r="R43" s="7"/>
      <c r="S43" s="7"/>
    </row>
    <row r="44" spans="1:19">
      <c r="A44" s="29">
        <v>46</v>
      </c>
      <c r="B44" s="4">
        <v>0.504681818</v>
      </c>
      <c r="C44" s="4">
        <v>0.19141666700000001</v>
      </c>
      <c r="D44" s="4">
        <v>0.192041667</v>
      </c>
      <c r="E44" s="4">
        <v>0.27795652199999998</v>
      </c>
      <c r="F44" s="4">
        <v>0.29099999999999998</v>
      </c>
      <c r="G44" s="4">
        <v>0.24192444399999999</v>
      </c>
      <c r="H44" s="4">
        <v>3.7714999999999999E-2</v>
      </c>
      <c r="I44" s="4">
        <v>1.1856999999999999E-2</v>
      </c>
      <c r="J44" s="4">
        <v>0.17499999999999999</v>
      </c>
      <c r="K44" s="30">
        <v>12.220333330000001</v>
      </c>
      <c r="N44" s="7"/>
      <c r="O44" s="7"/>
      <c r="P44" s="7"/>
      <c r="Q44" s="7"/>
      <c r="R44" s="7"/>
      <c r="S44" s="7"/>
    </row>
    <row r="45" spans="1:19">
      <c r="A45" s="29">
        <v>51</v>
      </c>
      <c r="B45" s="4">
        <v>0.50045454499999997</v>
      </c>
      <c r="C45" s="4">
        <v>0.200833333</v>
      </c>
      <c r="D45" s="4">
        <v>0.23733333300000001</v>
      </c>
      <c r="E45" s="4">
        <v>0.383078431</v>
      </c>
      <c r="F45" s="4">
        <v>0.40187499999999998</v>
      </c>
      <c r="G45" s="4">
        <v>0.32118333300000002</v>
      </c>
      <c r="H45" s="4">
        <v>3.9355000000000001E-2</v>
      </c>
      <c r="I45" s="4">
        <v>1.0732E-2</v>
      </c>
      <c r="J45" s="4">
        <v>0.14233333300000001</v>
      </c>
      <c r="K45" s="30">
        <v>11.84166667</v>
      </c>
      <c r="N45" s="7"/>
      <c r="O45" s="7"/>
      <c r="P45" s="7"/>
      <c r="Q45" s="7"/>
      <c r="R45" s="7"/>
      <c r="S45" s="7"/>
    </row>
    <row r="46" spans="1:19">
      <c r="A46" s="29">
        <v>61</v>
      </c>
      <c r="B46" s="4">
        <v>0.504</v>
      </c>
      <c r="C46" s="4">
        <v>0.181208333</v>
      </c>
      <c r="D46" s="4">
        <v>0.162041667</v>
      </c>
      <c r="E46" s="4">
        <v>0.43568852499999999</v>
      </c>
      <c r="F46" s="4">
        <v>0.46887499999999999</v>
      </c>
      <c r="G46" s="4">
        <v>0.375218889</v>
      </c>
      <c r="H46" s="4">
        <v>3.27E-2</v>
      </c>
      <c r="I46" s="4">
        <v>8.9449999999999998E-3</v>
      </c>
      <c r="J46" s="4">
        <v>9.5000000000000001E-2</v>
      </c>
      <c r="K46" s="30">
        <v>13.46</v>
      </c>
      <c r="N46" s="7"/>
      <c r="O46" s="7"/>
      <c r="P46" s="7"/>
      <c r="Q46" s="7"/>
      <c r="R46" s="7"/>
      <c r="S46" s="7"/>
    </row>
    <row r="47" spans="1:19">
      <c r="A47" s="29">
        <v>71</v>
      </c>
      <c r="B47" s="4">
        <v>0.50649999999999995</v>
      </c>
      <c r="C47" s="4">
        <v>0.174875</v>
      </c>
      <c r="D47" s="4">
        <v>0.13416666699999999</v>
      </c>
      <c r="E47" s="4">
        <v>0.49733802799999999</v>
      </c>
      <c r="F47" s="4">
        <v>0.58199999999999996</v>
      </c>
      <c r="G47" s="4">
        <v>0.46505333300000001</v>
      </c>
      <c r="H47" s="4">
        <v>3.2254999999999999E-2</v>
      </c>
      <c r="I47" s="4">
        <v>7.0591999999999998E-3</v>
      </c>
      <c r="J47" s="4">
        <v>0.103666667</v>
      </c>
      <c r="K47" s="30">
        <v>11.95166667</v>
      </c>
      <c r="N47" s="7"/>
      <c r="O47" s="7"/>
      <c r="P47" s="7"/>
      <c r="Q47" s="7"/>
      <c r="R47" s="7"/>
      <c r="S47" s="7"/>
    </row>
    <row r="48" spans="1:19">
      <c r="A48" s="29">
        <v>81</v>
      </c>
      <c r="B48" s="4">
        <v>0.50959090900000004</v>
      </c>
      <c r="C48" s="4">
        <v>0.17383333300000001</v>
      </c>
      <c r="D48" s="4">
        <v>0.12026666699999999</v>
      </c>
      <c r="E48" s="4">
        <v>0.47807407400000002</v>
      </c>
      <c r="F48" s="4">
        <v>0.57225000000000004</v>
      </c>
      <c r="G48" s="4">
        <v>0.42231222200000001</v>
      </c>
      <c r="H48" s="4">
        <v>2.6235000000000001E-2</v>
      </c>
      <c r="I48" s="4">
        <v>7.1586999999999996E-3</v>
      </c>
      <c r="J48" s="4">
        <v>0.16750000000000001</v>
      </c>
      <c r="K48" s="30">
        <v>11.077500000000001</v>
      </c>
      <c r="N48" s="7"/>
      <c r="O48" s="7"/>
      <c r="P48" s="7"/>
      <c r="Q48" s="7"/>
      <c r="R48" s="7"/>
      <c r="S48" s="7"/>
    </row>
    <row r="49" spans="1:19">
      <c r="A49" s="29">
        <v>91</v>
      </c>
      <c r="B49" s="4">
        <v>0.50877272699999998</v>
      </c>
      <c r="C49" s="4">
        <v>0.17629166700000001</v>
      </c>
      <c r="D49" s="4">
        <v>9.6562499999999996E-2</v>
      </c>
      <c r="E49" s="4">
        <v>0.52384615400000001</v>
      </c>
      <c r="F49" s="4">
        <v>0.62737500000000002</v>
      </c>
      <c r="G49" s="4">
        <v>0.42118222199999999</v>
      </c>
      <c r="H49" s="4">
        <v>2.257E-2</v>
      </c>
      <c r="I49" s="4">
        <v>6.1701000000000004E-3</v>
      </c>
      <c r="J49" s="4">
        <v>0.14000000000000001</v>
      </c>
      <c r="K49" s="30">
        <v>12.59633333</v>
      </c>
      <c r="N49" s="7"/>
      <c r="O49" s="7"/>
      <c r="P49" s="7"/>
      <c r="Q49" s="7"/>
      <c r="R49" s="7"/>
      <c r="S49" s="7"/>
    </row>
    <row r="50" spans="1:19">
      <c r="A50" s="29">
        <v>101</v>
      </c>
      <c r="B50" s="4">
        <v>0.50731818200000001</v>
      </c>
      <c r="C50" s="4">
        <v>0.18354166699999999</v>
      </c>
      <c r="D50" s="4">
        <v>0.1001375</v>
      </c>
      <c r="E50" s="4">
        <v>0.51182178199999995</v>
      </c>
      <c r="F50" s="4">
        <v>0.63062499999999999</v>
      </c>
      <c r="G50" s="4">
        <v>0.407577778</v>
      </c>
      <c r="H50" s="4">
        <v>2.1340000000000001E-2</v>
      </c>
      <c r="I50" s="4">
        <v>5.8320999999999998E-3</v>
      </c>
      <c r="J50" s="4">
        <v>0.121</v>
      </c>
      <c r="K50" s="30">
        <v>15.31233333</v>
      </c>
      <c r="N50" s="7"/>
      <c r="O50" s="7"/>
      <c r="P50" s="7"/>
      <c r="Q50" s="7"/>
      <c r="R50" s="7"/>
      <c r="S50" s="7"/>
    </row>
    <row r="51" spans="1:19">
      <c r="A51" s="29">
        <v>111</v>
      </c>
      <c r="B51" s="4">
        <v>0.50695454500000003</v>
      </c>
      <c r="C51" s="4">
        <v>0.183708333</v>
      </c>
      <c r="D51" s="4">
        <v>0.115966667</v>
      </c>
      <c r="E51" s="4">
        <v>0.548144144</v>
      </c>
      <c r="F51" s="4">
        <v>0.68274999999999997</v>
      </c>
      <c r="G51" s="4">
        <v>0.40997</v>
      </c>
      <c r="H51" s="4">
        <v>1.7145500000000001E-2</v>
      </c>
      <c r="I51" s="4">
        <v>4.6908000000000002E-3</v>
      </c>
      <c r="J51" s="4">
        <v>0.112</v>
      </c>
      <c r="K51" s="30">
        <v>11.815666670000001</v>
      </c>
      <c r="N51" s="7"/>
      <c r="O51" s="7"/>
      <c r="P51" s="7"/>
      <c r="Q51" s="7"/>
      <c r="R51" s="7"/>
      <c r="S51" s="7"/>
    </row>
    <row r="52" spans="1:19">
      <c r="A52" s="29">
        <v>121</v>
      </c>
      <c r="B52" s="4">
        <v>0.50681818199999995</v>
      </c>
      <c r="C52" s="4">
        <v>0.178666667</v>
      </c>
      <c r="D52" s="4">
        <v>0.139125</v>
      </c>
      <c r="E52" s="4">
        <v>0.53370247900000001</v>
      </c>
      <c r="F52" s="4">
        <v>0.644625</v>
      </c>
      <c r="G52" s="4">
        <v>0.37397999999999998</v>
      </c>
      <c r="H52" s="4">
        <v>1.6927500000000002E-2</v>
      </c>
      <c r="I52" s="4">
        <v>4.6902999999999997E-3</v>
      </c>
      <c r="J52" s="4">
        <v>8.5333332999999997E-2</v>
      </c>
      <c r="K52" s="30">
        <v>12.37633333</v>
      </c>
      <c r="N52" s="7"/>
      <c r="O52" s="7"/>
      <c r="P52" s="7"/>
      <c r="Q52" s="7"/>
      <c r="R52" s="7"/>
      <c r="S52" s="7"/>
    </row>
    <row r="53" spans="1:19">
      <c r="A53" s="29">
        <v>141</v>
      </c>
      <c r="B53" s="4">
        <v>0.50890909100000004</v>
      </c>
      <c r="C53" s="4">
        <v>0.17483333300000001</v>
      </c>
      <c r="D53" s="4">
        <v>0.116666667</v>
      </c>
      <c r="E53" s="4">
        <v>0.53330496500000002</v>
      </c>
      <c r="F53" s="4">
        <v>0.57199999999999995</v>
      </c>
      <c r="G53" s="4">
        <v>0.27978555599999999</v>
      </c>
      <c r="H53" s="4">
        <v>1.7828500000000001E-2</v>
      </c>
      <c r="I53" s="4">
        <v>5.1346999999999999E-3</v>
      </c>
      <c r="J53" s="4">
        <v>7.9000000000000001E-2</v>
      </c>
      <c r="K53" s="30">
        <v>12.57</v>
      </c>
      <c r="N53" s="7"/>
      <c r="O53" s="7"/>
      <c r="P53" s="7"/>
      <c r="Q53" s="7"/>
      <c r="R53" s="7"/>
      <c r="S53" s="7"/>
    </row>
    <row r="54" spans="1:19">
      <c r="A54" s="29">
        <v>161</v>
      </c>
      <c r="B54" s="4">
        <v>0.50777272699999998</v>
      </c>
      <c r="C54" s="4">
        <v>0.18129166699999999</v>
      </c>
      <c r="D54" s="4">
        <v>0.110366667</v>
      </c>
      <c r="E54" s="4">
        <v>0.53232298099999997</v>
      </c>
      <c r="F54" s="4">
        <v>0.43974999999999997</v>
      </c>
      <c r="G54" s="4">
        <v>0.24303555600000001</v>
      </c>
      <c r="H54" s="4">
        <v>1.8075500000000001E-2</v>
      </c>
      <c r="I54" s="4">
        <v>5.228E-3</v>
      </c>
      <c r="J54" s="4">
        <v>8.3000000000000004E-2</v>
      </c>
      <c r="K54" s="30">
        <v>9.9366666670000008</v>
      </c>
      <c r="N54" s="7"/>
      <c r="O54" s="7"/>
      <c r="P54" s="7"/>
      <c r="Q54" s="7"/>
      <c r="R54" s="7"/>
      <c r="S54" s="7"/>
    </row>
    <row r="55" spans="1:19">
      <c r="A55" s="29">
        <v>181</v>
      </c>
      <c r="B55" s="4">
        <v>0.50731818200000001</v>
      </c>
      <c r="C55" s="4">
        <v>0.18229166699999999</v>
      </c>
      <c r="D55" s="4">
        <v>0.123191667</v>
      </c>
      <c r="E55" s="4">
        <v>0.55177900599999996</v>
      </c>
      <c r="F55" s="4">
        <v>0.41762500000000002</v>
      </c>
      <c r="G55" s="4">
        <v>0.226157778</v>
      </c>
      <c r="H55" s="4">
        <v>1.9095000000000001E-2</v>
      </c>
      <c r="I55" s="4">
        <v>5.9348999999999999E-3</v>
      </c>
      <c r="J55" s="4">
        <v>8.1000000000000003E-2</v>
      </c>
      <c r="K55" s="30">
        <v>7.9963333329999999</v>
      </c>
      <c r="N55" s="7"/>
      <c r="O55" s="7"/>
      <c r="P55" s="7"/>
      <c r="Q55" s="7"/>
      <c r="R55" s="7"/>
      <c r="S55" s="7"/>
    </row>
    <row r="56" spans="1:19">
      <c r="A56" s="29">
        <v>201</v>
      </c>
      <c r="B56" s="4">
        <v>0.50740909099999998</v>
      </c>
      <c r="C56" s="4">
        <v>0.181708333</v>
      </c>
      <c r="D56" s="4">
        <v>0.12775</v>
      </c>
      <c r="E56" s="4">
        <v>0.55157711399999998</v>
      </c>
      <c r="F56" s="4">
        <v>0.37487500000000001</v>
      </c>
      <c r="G56" s="4">
        <v>0.22902</v>
      </c>
      <c r="H56" s="4">
        <v>2.1989999999999999E-2</v>
      </c>
      <c r="I56" s="4">
        <v>6.7984999999999999E-3</v>
      </c>
      <c r="J56" s="4">
        <v>7.6333333000000003E-2</v>
      </c>
      <c r="K56" s="30">
        <v>6.1326666669999996</v>
      </c>
      <c r="N56" s="7"/>
      <c r="O56" s="7"/>
      <c r="P56" s="7"/>
      <c r="Q56" s="7"/>
      <c r="R56" s="7"/>
      <c r="S56" s="7"/>
    </row>
    <row r="57" spans="1:19">
      <c r="A57" s="29">
        <v>221</v>
      </c>
      <c r="B57" s="4">
        <v>0.50672727299999998</v>
      </c>
      <c r="C57" s="4">
        <v>0.181166667</v>
      </c>
      <c r="D57" s="4">
        <v>0.13575000000000001</v>
      </c>
      <c r="E57" s="4">
        <v>0.53286877799999999</v>
      </c>
      <c r="F57" s="4">
        <v>0.364375</v>
      </c>
      <c r="G57" s="4">
        <v>0.240213333</v>
      </c>
      <c r="H57" s="4">
        <v>3.0415000000000001E-2</v>
      </c>
      <c r="I57" s="4">
        <v>8.8050000000000003E-3</v>
      </c>
      <c r="J57" s="4">
        <v>7.6999999999999999E-2</v>
      </c>
      <c r="K57" s="30">
        <v>6.0926666669999996</v>
      </c>
      <c r="N57" s="7"/>
      <c r="O57" s="7"/>
      <c r="P57" s="7"/>
      <c r="Q57" s="7"/>
      <c r="R57" s="7"/>
      <c r="S57" s="7"/>
    </row>
    <row r="58" spans="1:19" ht="15" thickBot="1">
      <c r="A58" s="31">
        <v>241</v>
      </c>
      <c r="B58" s="32">
        <v>0.50768181800000001</v>
      </c>
      <c r="C58" s="32">
        <v>0.17837500000000001</v>
      </c>
      <c r="D58" s="32">
        <v>0.12516666700000001</v>
      </c>
      <c r="E58" s="32">
        <v>0.54772614100000006</v>
      </c>
      <c r="F58" s="32">
        <v>0.41212500000000002</v>
      </c>
      <c r="G58" s="32">
        <v>0.29736555599999998</v>
      </c>
      <c r="H58" s="32">
        <v>2.9295000000000002E-2</v>
      </c>
      <c r="I58" s="32">
        <v>8.3174000000000008E-3</v>
      </c>
      <c r="J58" s="32">
        <v>8.1666666999999998E-2</v>
      </c>
      <c r="K58" s="33">
        <v>4.5033333329999996</v>
      </c>
      <c r="N58" s="7"/>
      <c r="O58" s="7"/>
      <c r="P58" s="7"/>
      <c r="Q58" s="7"/>
      <c r="R58" s="7"/>
      <c r="S58" s="7"/>
    </row>
    <row r="59" spans="1:19" ht="15" thickBot="1"/>
    <row r="60" spans="1:19">
      <c r="A60" s="16" t="s">
        <v>449</v>
      </c>
      <c r="B60" s="34"/>
      <c r="C60" s="34"/>
      <c r="D60" s="34"/>
      <c r="E60" s="34"/>
      <c r="F60" s="34"/>
      <c r="G60" s="34"/>
      <c r="H60" s="34"/>
      <c r="I60" s="34"/>
      <c r="J60" s="34"/>
      <c r="K60" s="35"/>
    </row>
    <row r="61" spans="1:19">
      <c r="A61" s="29" t="s">
        <v>456</v>
      </c>
      <c r="B61" s="4" t="s">
        <v>435</v>
      </c>
      <c r="C61" s="4" t="s">
        <v>436</v>
      </c>
      <c r="D61" s="4" t="s">
        <v>437</v>
      </c>
      <c r="E61" s="4" t="s">
        <v>438</v>
      </c>
      <c r="F61" s="4" t="s">
        <v>439</v>
      </c>
      <c r="G61" s="4" t="s">
        <v>440</v>
      </c>
      <c r="H61" s="4" t="s">
        <v>441</v>
      </c>
      <c r="I61" s="4" t="s">
        <v>442</v>
      </c>
      <c r="J61" s="4" t="s">
        <v>433</v>
      </c>
      <c r="K61" s="30" t="s">
        <v>434</v>
      </c>
    </row>
    <row r="62" spans="1:19">
      <c r="A62" s="29">
        <v>391</v>
      </c>
      <c r="B62" s="4">
        <v>0.496681818</v>
      </c>
      <c r="C62" s="4">
        <v>0.214</v>
      </c>
      <c r="D62" s="4">
        <v>0.25720833300000001</v>
      </c>
      <c r="E62" s="4">
        <v>0.240770492</v>
      </c>
      <c r="F62" s="4">
        <v>0.23899999999999999</v>
      </c>
      <c r="G62" s="4">
        <v>0.23197435899999999</v>
      </c>
      <c r="H62" s="4">
        <v>9.9010000000000001E-2</v>
      </c>
      <c r="I62" s="4">
        <v>7.8289999999999992E-3</v>
      </c>
      <c r="J62" s="4">
        <v>0.18866666700000001</v>
      </c>
      <c r="K62" s="30">
        <v>5.9473333330000004</v>
      </c>
    </row>
    <row r="63" spans="1:19">
      <c r="A63" s="29">
        <v>392</v>
      </c>
      <c r="B63" s="4">
        <v>0.49990909100000003</v>
      </c>
      <c r="C63" s="4">
        <v>0.20050000000000001</v>
      </c>
      <c r="D63" s="4">
        <v>0.22566666699999999</v>
      </c>
      <c r="E63" s="4">
        <v>0.20899999999999999</v>
      </c>
      <c r="F63" s="4">
        <v>0.20699999999999999</v>
      </c>
      <c r="G63" s="4">
        <v>0.201461538</v>
      </c>
      <c r="H63" s="4">
        <v>9.4274999999999998E-2</v>
      </c>
      <c r="I63" s="4">
        <v>9.4097E-3</v>
      </c>
      <c r="J63" s="4">
        <v>7.2333333E-2</v>
      </c>
      <c r="K63" s="30">
        <v>6.3109999999999999</v>
      </c>
    </row>
    <row r="64" spans="1:19">
      <c r="A64" s="29">
        <v>73</v>
      </c>
      <c r="B64" s="4">
        <v>0.505318182</v>
      </c>
      <c r="C64" s="4">
        <v>0.18920833300000001</v>
      </c>
      <c r="D64" s="4">
        <v>0.15062500000000001</v>
      </c>
      <c r="E64" s="4">
        <v>0.140081967</v>
      </c>
      <c r="F64" s="4">
        <v>0.14000000000000001</v>
      </c>
      <c r="G64" s="4">
        <v>9.4602740000000005E-2</v>
      </c>
      <c r="H64" s="4">
        <v>9.8279999999999999E-3</v>
      </c>
      <c r="I64" s="4">
        <v>1.0608E-3</v>
      </c>
      <c r="J64" s="4">
        <v>0.12166666700000001</v>
      </c>
      <c r="K64" s="30">
        <v>6.9130000000000003</v>
      </c>
    </row>
    <row r="65" spans="1:11">
      <c r="A65" s="29">
        <v>82</v>
      </c>
      <c r="B65" s="4">
        <v>0.50681818199999995</v>
      </c>
      <c r="C65" s="4">
        <v>0.181708333</v>
      </c>
      <c r="D65" s="4">
        <v>0.12858333299999999</v>
      </c>
      <c r="E65" s="4">
        <v>0.12395082</v>
      </c>
      <c r="F65" s="4">
        <v>0.125</v>
      </c>
      <c r="G65" s="4">
        <v>8.1856098000000002E-2</v>
      </c>
      <c r="H65" s="4">
        <v>7.077E-3</v>
      </c>
      <c r="I65" s="4">
        <v>8.9409999999999999E-4</v>
      </c>
      <c r="J65" s="4">
        <v>6.9333332999999997E-2</v>
      </c>
      <c r="K65" s="30">
        <v>8.0660000000000007</v>
      </c>
    </row>
    <row r="66" spans="1:11">
      <c r="A66" s="29">
        <v>84</v>
      </c>
      <c r="B66" s="4">
        <v>0.50481818199999995</v>
      </c>
      <c r="C66" s="4">
        <v>0.18970833300000001</v>
      </c>
      <c r="D66" s="4">
        <v>0.16362499999999999</v>
      </c>
      <c r="E66" s="4">
        <v>0.17547541</v>
      </c>
      <c r="F66" s="4">
        <v>0.17799999999999999</v>
      </c>
      <c r="G66" s="4">
        <v>0.115544048</v>
      </c>
      <c r="H66" s="4">
        <v>8.3210000000000003E-3</v>
      </c>
      <c r="I66" s="4">
        <v>1.3240999999999999E-3</v>
      </c>
      <c r="J66" s="4">
        <v>0.12</v>
      </c>
      <c r="K66" s="30">
        <v>8.93</v>
      </c>
    </row>
    <row r="67" spans="1:11">
      <c r="A67" s="29">
        <v>901</v>
      </c>
      <c r="B67" s="4">
        <v>0.50413636399999995</v>
      </c>
      <c r="C67" s="4">
        <v>0.18641666700000001</v>
      </c>
      <c r="D67" s="4">
        <v>0.17</v>
      </c>
      <c r="E67" s="4">
        <v>0.23273770499999999</v>
      </c>
      <c r="F67" s="4">
        <v>0.24537500000000001</v>
      </c>
      <c r="G67" s="4">
        <v>0.16957666699999999</v>
      </c>
      <c r="H67" s="4">
        <v>1.7236499999999998E-2</v>
      </c>
      <c r="I67" s="4">
        <v>2.9079000000000002E-3</v>
      </c>
      <c r="J67" s="4">
        <v>8.9333333000000001E-2</v>
      </c>
      <c r="K67" s="30">
        <v>12.298</v>
      </c>
    </row>
    <row r="68" spans="1:11">
      <c r="A68" s="29">
        <v>902</v>
      </c>
      <c r="B68" s="4">
        <v>0.502363636</v>
      </c>
      <c r="C68" s="4">
        <v>0.194833333</v>
      </c>
      <c r="D68" s="4">
        <v>0.19020833300000001</v>
      </c>
      <c r="E68" s="4">
        <v>0.23201639299999999</v>
      </c>
      <c r="F68" s="4">
        <v>0.246</v>
      </c>
      <c r="G68" s="4">
        <v>0.16166666699999999</v>
      </c>
      <c r="H68" s="4">
        <v>2.0386999999999999E-2</v>
      </c>
      <c r="I68" s="4">
        <v>2.0403000000000001E-3</v>
      </c>
      <c r="J68" s="4">
        <v>0.106333333</v>
      </c>
      <c r="K68" s="30">
        <v>12.31666667</v>
      </c>
    </row>
    <row r="69" spans="1:11">
      <c r="A69" s="29">
        <v>903</v>
      </c>
      <c r="B69" s="4">
        <v>0.504</v>
      </c>
      <c r="C69" s="4">
        <v>0.181208333</v>
      </c>
      <c r="D69" s="4">
        <v>0.162041667</v>
      </c>
      <c r="E69" s="4">
        <v>0.43568852499999999</v>
      </c>
      <c r="F69" s="4">
        <v>0.46887499999999999</v>
      </c>
      <c r="G69" s="4">
        <v>0.375218889</v>
      </c>
      <c r="H69" s="4">
        <v>3.27E-2</v>
      </c>
      <c r="I69" s="4">
        <v>8.9449999999999998E-3</v>
      </c>
      <c r="J69" s="4">
        <v>0.09</v>
      </c>
      <c r="K69" s="30">
        <v>13.46</v>
      </c>
    </row>
    <row r="70" spans="1:11">
      <c r="A70" s="29">
        <v>91</v>
      </c>
      <c r="B70" s="4">
        <v>0.50227272700000003</v>
      </c>
      <c r="C70" s="4">
        <v>0.19620833300000001</v>
      </c>
      <c r="D70" s="4">
        <v>0.18887499999999999</v>
      </c>
      <c r="E70" s="4">
        <v>0.22560655700000001</v>
      </c>
      <c r="F70" s="4">
        <v>0.24199999999999999</v>
      </c>
      <c r="G70" s="4">
        <v>0.15802857100000001</v>
      </c>
      <c r="H70" s="4">
        <v>2.1582E-2</v>
      </c>
      <c r="I70" s="4">
        <v>1.7593999999999999E-3</v>
      </c>
      <c r="J70" s="4">
        <v>0.19133333299999999</v>
      </c>
      <c r="K70" s="30">
        <v>7.2469999999999999</v>
      </c>
    </row>
    <row r="71" spans="1:11">
      <c r="A71" s="29">
        <v>101</v>
      </c>
      <c r="B71" s="4">
        <v>0.50218181799999995</v>
      </c>
      <c r="C71" s="4">
        <v>0.19637499999999999</v>
      </c>
      <c r="D71" s="4">
        <v>0.19066666700000001</v>
      </c>
      <c r="E71" s="4">
        <v>0.20386885199999999</v>
      </c>
      <c r="F71" s="4">
        <v>0.21099999999999999</v>
      </c>
      <c r="G71" s="4">
        <v>0.115187129</v>
      </c>
      <c r="H71" s="4">
        <v>7.4865000000000001E-3</v>
      </c>
      <c r="I71" s="4">
        <v>6.2629999999999999E-4</v>
      </c>
      <c r="J71" s="4">
        <v>0.103666667</v>
      </c>
      <c r="K71" s="30">
        <v>5.3133333330000001</v>
      </c>
    </row>
    <row r="72" spans="1:11" ht="15" thickBot="1">
      <c r="A72" s="31">
        <v>102</v>
      </c>
      <c r="B72" s="32">
        <v>0.50709090899999998</v>
      </c>
      <c r="C72" s="32">
        <v>0.183</v>
      </c>
      <c r="D72" s="32">
        <v>0.12516666700000001</v>
      </c>
      <c r="E72" s="32">
        <v>0.126114754</v>
      </c>
      <c r="F72" s="32">
        <v>0.13100000000000001</v>
      </c>
      <c r="G72" s="32">
        <v>7.3855783999999994E-2</v>
      </c>
      <c r="H72" s="32">
        <v>4.6024999999999998E-3</v>
      </c>
      <c r="I72" s="32">
        <v>9.1067000000000003E-4</v>
      </c>
      <c r="J72" s="32">
        <v>0.22466666699999999</v>
      </c>
      <c r="K72" s="33">
        <v>6.4829999999999997</v>
      </c>
    </row>
    <row r="73" spans="1:11" ht="15" thickBot="1"/>
    <row r="74" spans="1:11">
      <c r="A74" s="16" t="s">
        <v>713</v>
      </c>
      <c r="B74" s="34"/>
      <c r="C74" s="34"/>
      <c r="D74" s="34"/>
      <c r="E74" s="34"/>
      <c r="F74" s="34"/>
      <c r="G74" s="34"/>
      <c r="H74" s="34"/>
      <c r="I74" s="34"/>
      <c r="J74" s="34"/>
      <c r="K74" s="35"/>
    </row>
    <row r="75" spans="1:11">
      <c r="A75" s="29" t="s">
        <v>456</v>
      </c>
      <c r="B75" s="4" t="s">
        <v>435</v>
      </c>
      <c r="C75" s="4" t="s">
        <v>436</v>
      </c>
      <c r="D75" s="4" t="s">
        <v>437</v>
      </c>
      <c r="E75" s="4" t="s">
        <v>438</v>
      </c>
      <c r="F75" s="4" t="s">
        <v>439</v>
      </c>
      <c r="G75" s="4" t="s">
        <v>440</v>
      </c>
      <c r="H75" s="4" t="s">
        <v>441</v>
      </c>
      <c r="I75" s="4" t="s">
        <v>442</v>
      </c>
      <c r="J75" s="4" t="s">
        <v>433</v>
      </c>
      <c r="K75" s="30" t="s">
        <v>434</v>
      </c>
    </row>
    <row r="76" spans="1:11">
      <c r="A76" s="29" t="s">
        <v>457</v>
      </c>
      <c r="B76" s="4">
        <v>0.55577272700000002</v>
      </c>
      <c r="C76" s="4">
        <v>0.169707407</v>
      </c>
      <c r="D76" s="4">
        <v>0.17195833299999999</v>
      </c>
      <c r="E76" s="4">
        <v>0.44929508200000001</v>
      </c>
      <c r="F76" s="4">
        <v>0.47799999999999998</v>
      </c>
      <c r="G76" s="4">
        <v>0.37358999999999998</v>
      </c>
      <c r="H76" s="4">
        <v>3.1954999999999997E-2</v>
      </c>
      <c r="I76" s="4">
        <v>8.7740000000000005E-3</v>
      </c>
      <c r="J76" s="4">
        <v>9.9672017000000002E-2</v>
      </c>
      <c r="K76" s="30">
        <v>14.25138726</v>
      </c>
    </row>
    <row r="77" spans="1:11">
      <c r="A77" s="29" t="s">
        <v>458</v>
      </c>
      <c r="B77" s="4">
        <v>0.54122727299999995</v>
      </c>
      <c r="C77" s="4">
        <v>0.170306818</v>
      </c>
      <c r="D77" s="4">
        <v>0.16216666699999999</v>
      </c>
      <c r="E77" s="4">
        <v>0.44675409799999999</v>
      </c>
      <c r="F77" s="4">
        <v>0.47799999999999998</v>
      </c>
      <c r="G77" s="4">
        <v>0.37568666699999997</v>
      </c>
      <c r="H77" s="4">
        <v>3.2015000000000002E-2</v>
      </c>
      <c r="I77" s="4">
        <v>8.7690000000000008E-3</v>
      </c>
      <c r="J77" s="4">
        <v>9.9778960999999999E-2</v>
      </c>
      <c r="K77" s="30">
        <v>14.057818210000001</v>
      </c>
    </row>
    <row r="78" spans="1:11">
      <c r="A78" s="29" t="s">
        <v>459</v>
      </c>
      <c r="B78" s="4">
        <v>0.50395454500000003</v>
      </c>
      <c r="C78" s="4">
        <v>0.17095833299999999</v>
      </c>
      <c r="D78" s="4">
        <v>0.153708333</v>
      </c>
      <c r="E78" s="4">
        <v>0.42967213100000001</v>
      </c>
      <c r="F78" s="4">
        <v>0.46200000000000002</v>
      </c>
      <c r="G78" s="4">
        <v>0.37221444399999998</v>
      </c>
      <c r="H78" s="4">
        <v>3.3059999999999999E-2</v>
      </c>
      <c r="I78" s="4">
        <v>9.0500000000000008E-3</v>
      </c>
      <c r="J78" s="4">
        <v>0.110983818</v>
      </c>
      <c r="K78" s="30">
        <v>9.2274418180000009</v>
      </c>
    </row>
    <row r="79" spans="1:11">
      <c r="A79" s="29" t="s">
        <v>460</v>
      </c>
      <c r="B79" s="4">
        <v>0.52413636399999997</v>
      </c>
      <c r="C79" s="4">
        <v>0.178764706</v>
      </c>
      <c r="D79" s="4">
        <v>0.15508333299999999</v>
      </c>
      <c r="E79" s="4">
        <v>0.44103278699999998</v>
      </c>
      <c r="F79" s="4">
        <v>0.47299999999999998</v>
      </c>
      <c r="G79" s="4">
        <v>0.37525222200000002</v>
      </c>
      <c r="H79" s="4">
        <v>3.2390000000000002E-2</v>
      </c>
      <c r="I79" s="4">
        <v>8.8579999999999996E-3</v>
      </c>
      <c r="J79" s="4">
        <v>0.112719212</v>
      </c>
      <c r="K79" s="30">
        <v>15.57321786</v>
      </c>
    </row>
    <row r="80" spans="1:11">
      <c r="A80" s="29" t="s">
        <v>461</v>
      </c>
      <c r="B80" s="4">
        <v>0.50645454499999998</v>
      </c>
      <c r="C80" s="4">
        <v>0.17649999999999999</v>
      </c>
      <c r="D80" s="4">
        <v>0.16162499999999999</v>
      </c>
      <c r="E80" s="4">
        <v>0.43562295099999998</v>
      </c>
      <c r="F80" s="4">
        <v>0.46737499999999998</v>
      </c>
      <c r="G80" s="4">
        <v>0.37352333300000001</v>
      </c>
      <c r="H80" s="4">
        <v>3.2730000000000002E-2</v>
      </c>
      <c r="I80" s="4">
        <v>8.9449999999999998E-3</v>
      </c>
      <c r="J80" s="4">
        <v>0.12580112399999999</v>
      </c>
      <c r="K80" s="30">
        <v>7.4112226879999996</v>
      </c>
    </row>
    <row r="81" spans="1:11">
      <c r="A81" s="29" t="s">
        <v>462</v>
      </c>
      <c r="B81" s="4">
        <v>0.52345454499999999</v>
      </c>
      <c r="C81" s="4">
        <v>0.198375</v>
      </c>
      <c r="D81" s="4">
        <v>0.17054166700000001</v>
      </c>
      <c r="E81" s="4">
        <v>0.43788524600000001</v>
      </c>
      <c r="F81" s="4">
        <v>0.46800000000000003</v>
      </c>
      <c r="G81" s="4">
        <v>0.372062222</v>
      </c>
      <c r="H81" s="4">
        <v>3.2634999999999997E-2</v>
      </c>
      <c r="I81" s="4">
        <v>8.9449999999999998E-3</v>
      </c>
      <c r="J81" s="4">
        <v>0.169596</v>
      </c>
      <c r="K81" s="30">
        <v>12.97788727</v>
      </c>
    </row>
    <row r="82" spans="1:11">
      <c r="A82" s="29" t="s">
        <v>463</v>
      </c>
      <c r="B82" s="4">
        <v>0.50645454499999998</v>
      </c>
      <c r="C82" s="4">
        <v>0.184</v>
      </c>
      <c r="D82" s="4">
        <v>0.16166666699999999</v>
      </c>
      <c r="E82" s="4">
        <v>0.43481967199999999</v>
      </c>
      <c r="F82" s="4">
        <v>0.46700000000000003</v>
      </c>
      <c r="G82" s="4">
        <v>0.37383555600000001</v>
      </c>
      <c r="H82" s="4">
        <v>3.2745000000000003E-2</v>
      </c>
      <c r="I82" s="4">
        <v>8.966E-3</v>
      </c>
      <c r="J82" s="4">
        <v>0.17237634900000001</v>
      </c>
      <c r="K82" s="30">
        <v>9.923643985</v>
      </c>
    </row>
    <row r="83" spans="1:11">
      <c r="A83" s="29" t="s">
        <v>464</v>
      </c>
      <c r="B83" s="4">
        <v>0.50890909100000004</v>
      </c>
      <c r="C83" s="4">
        <v>0.18154166699999999</v>
      </c>
      <c r="D83" s="4">
        <v>0.16470833300000001</v>
      </c>
      <c r="E83" s="4">
        <v>0.43524590200000002</v>
      </c>
      <c r="F83" s="4">
        <v>0.46600000000000003</v>
      </c>
      <c r="G83" s="4">
        <v>0.372514444</v>
      </c>
      <c r="H83" s="4">
        <v>3.2779999999999997E-2</v>
      </c>
      <c r="I83" s="4">
        <v>8.9849999999999999E-3</v>
      </c>
      <c r="J83" s="4">
        <v>0.173336663</v>
      </c>
      <c r="K83" s="30">
        <v>9.4855007580000006</v>
      </c>
    </row>
    <row r="84" spans="1:11">
      <c r="A84" s="29" t="s">
        <v>465</v>
      </c>
      <c r="B84" s="4">
        <v>0.52786363599999997</v>
      </c>
      <c r="C84" s="4">
        <v>0.223833333</v>
      </c>
      <c r="D84" s="4">
        <v>0.19770833300000001</v>
      </c>
      <c r="E84" s="4">
        <v>0.44945901599999999</v>
      </c>
      <c r="F84" s="4">
        <v>0.47799999999999998</v>
      </c>
      <c r="G84" s="4">
        <v>0.37405555600000001</v>
      </c>
      <c r="H84" s="4">
        <v>3.1965E-2</v>
      </c>
      <c r="I84" s="4">
        <v>8.7569999999999992E-3</v>
      </c>
      <c r="J84" s="4">
        <v>0.17549736899999999</v>
      </c>
      <c r="K84" s="30">
        <v>6.4605119059999998</v>
      </c>
    </row>
    <row r="85" spans="1:11">
      <c r="A85" s="29" t="s">
        <v>466</v>
      </c>
      <c r="B85" s="4">
        <v>0.49327272700000002</v>
      </c>
      <c r="C85" s="4">
        <v>0.1945625</v>
      </c>
      <c r="D85" s="4">
        <v>0.17374999999999999</v>
      </c>
      <c r="E85" s="4">
        <v>0.43352458999999999</v>
      </c>
      <c r="F85" s="4">
        <v>0.46500000000000002</v>
      </c>
      <c r="G85" s="4">
        <v>0.37333666700000001</v>
      </c>
      <c r="H85" s="4">
        <v>3.2814999999999997E-2</v>
      </c>
      <c r="I85" s="4">
        <v>8.9849999999999999E-3</v>
      </c>
      <c r="J85" s="4">
        <v>0.183409344</v>
      </c>
      <c r="K85" s="30">
        <v>14.41608136</v>
      </c>
    </row>
    <row r="86" spans="1:11">
      <c r="A86" s="29" t="s">
        <v>467</v>
      </c>
      <c r="B86" s="4">
        <v>0.52400000000000002</v>
      </c>
      <c r="C86" s="4">
        <v>0.19145833300000001</v>
      </c>
      <c r="D86" s="4">
        <v>0.15825</v>
      </c>
      <c r="E86" s="4">
        <v>0.43057377000000002</v>
      </c>
      <c r="F86" s="4">
        <v>0.46200000000000002</v>
      </c>
      <c r="G86" s="4">
        <v>0.37142444400000002</v>
      </c>
      <c r="H86" s="4">
        <v>3.3050000000000003E-2</v>
      </c>
      <c r="I86" s="4">
        <v>9.0500000000000008E-3</v>
      </c>
      <c r="J86" s="4">
        <v>0.19806474600000001</v>
      </c>
      <c r="K86" s="30">
        <v>16.997556410000001</v>
      </c>
    </row>
    <row r="87" spans="1:11">
      <c r="A87" s="29" t="s">
        <v>468</v>
      </c>
      <c r="B87" s="4">
        <v>0.49609090900000002</v>
      </c>
      <c r="C87" s="4">
        <v>0.1565</v>
      </c>
      <c r="D87" s="4">
        <v>0.15104166699999999</v>
      </c>
      <c r="E87" s="4">
        <v>0.43050819699999998</v>
      </c>
      <c r="F87" s="4">
        <v>0.46250000000000002</v>
      </c>
      <c r="G87" s="4">
        <v>0.37263333300000001</v>
      </c>
      <c r="H87" s="4">
        <v>3.3005E-2</v>
      </c>
      <c r="I87" s="4">
        <v>9.025E-3</v>
      </c>
      <c r="J87" s="4">
        <v>0.20550717900000001</v>
      </c>
      <c r="K87" s="30">
        <v>15.63150985</v>
      </c>
    </row>
    <row r="88" spans="1:11">
      <c r="A88" s="29" t="s">
        <v>469</v>
      </c>
      <c r="B88" s="4">
        <v>0.52318181799999997</v>
      </c>
      <c r="C88" s="4">
        <v>0.208416667</v>
      </c>
      <c r="D88" s="4">
        <v>0.18575</v>
      </c>
      <c r="E88" s="4">
        <v>0.44421311499999999</v>
      </c>
      <c r="F88" s="4">
        <v>0.47375</v>
      </c>
      <c r="G88" s="4">
        <v>0.37380222200000002</v>
      </c>
      <c r="H88" s="4">
        <v>3.2239999999999998E-2</v>
      </c>
      <c r="I88" s="4">
        <v>8.8240000000000002E-3</v>
      </c>
      <c r="J88" s="4">
        <v>0.214625818</v>
      </c>
      <c r="K88" s="30">
        <v>14.556378179999999</v>
      </c>
    </row>
    <row r="89" spans="1:11">
      <c r="A89" s="29" t="s">
        <v>470</v>
      </c>
      <c r="B89" s="4">
        <v>0.53990909099999995</v>
      </c>
      <c r="C89" s="4">
        <v>0.235125</v>
      </c>
      <c r="D89" s="4">
        <v>0.19141666700000001</v>
      </c>
      <c r="E89" s="4">
        <v>0.44736065600000002</v>
      </c>
      <c r="F89" s="4">
        <v>0.47799999999999998</v>
      </c>
      <c r="G89" s="4">
        <v>0.37511333299999999</v>
      </c>
      <c r="H89" s="4">
        <v>3.2009999999999997E-2</v>
      </c>
      <c r="I89" s="4">
        <v>8.7690000000000008E-3</v>
      </c>
      <c r="J89" s="4">
        <v>0.23922090900000001</v>
      </c>
      <c r="K89" s="30">
        <v>10.29934727</v>
      </c>
    </row>
    <row r="90" spans="1:11">
      <c r="A90" s="29" t="s">
        <v>471</v>
      </c>
      <c r="B90" s="4">
        <v>0.504</v>
      </c>
      <c r="C90" s="4">
        <v>0.181208333</v>
      </c>
      <c r="D90" s="4">
        <v>0.162041667</v>
      </c>
      <c r="E90" s="4">
        <v>0.43568852499999999</v>
      </c>
      <c r="F90" s="4">
        <v>0.46887499999999999</v>
      </c>
      <c r="G90" s="4">
        <v>0.375218889</v>
      </c>
      <c r="H90" s="4">
        <v>3.27E-2</v>
      </c>
      <c r="I90" s="4">
        <v>8.9449999999999998E-3</v>
      </c>
      <c r="J90" s="4">
        <v>0.25121254500000001</v>
      </c>
      <c r="K90" s="30">
        <v>13.46</v>
      </c>
    </row>
    <row r="91" spans="1:11">
      <c r="A91" s="29" t="s">
        <v>472</v>
      </c>
      <c r="B91" s="4">
        <v>0.472409091</v>
      </c>
      <c r="C91" s="4">
        <v>0.21375</v>
      </c>
      <c r="D91" s="4">
        <v>0.17458333300000001</v>
      </c>
      <c r="E91" s="4">
        <v>0.42591803299999997</v>
      </c>
      <c r="F91" s="4">
        <v>0.45700000000000002</v>
      </c>
      <c r="G91" s="4">
        <v>0.37077555600000001</v>
      </c>
      <c r="H91" s="4">
        <v>3.3305000000000001E-2</v>
      </c>
      <c r="I91" s="4">
        <v>9.1369999999999993E-3</v>
      </c>
      <c r="J91" s="4">
        <v>0.27367026900000002</v>
      </c>
      <c r="K91" s="30">
        <v>14.11235976</v>
      </c>
    </row>
    <row r="92" spans="1:11">
      <c r="A92" s="29" t="s">
        <v>473</v>
      </c>
      <c r="B92" s="4">
        <v>0.53718181799999998</v>
      </c>
      <c r="C92" s="4">
        <v>0.22541666699999999</v>
      </c>
      <c r="D92" s="4">
        <v>0.18533333299999999</v>
      </c>
      <c r="E92" s="4">
        <v>0.44336065600000002</v>
      </c>
      <c r="F92" s="4">
        <v>0.47387499999999999</v>
      </c>
      <c r="G92" s="4">
        <v>0.37386333300000002</v>
      </c>
      <c r="H92" s="4">
        <v>3.2285000000000001E-2</v>
      </c>
      <c r="I92" s="4">
        <v>8.8280000000000008E-3</v>
      </c>
      <c r="J92" s="4">
        <v>0.28893445099999998</v>
      </c>
      <c r="K92" s="30">
        <v>14.94608579</v>
      </c>
    </row>
    <row r="93" spans="1:11">
      <c r="A93" s="29" t="s">
        <v>474</v>
      </c>
      <c r="B93" s="4">
        <v>0.51463636400000001</v>
      </c>
      <c r="C93" s="4">
        <v>0.19950000000000001</v>
      </c>
      <c r="D93" s="4">
        <v>0.18479166699999999</v>
      </c>
      <c r="E93" s="4">
        <v>0.44478688500000002</v>
      </c>
      <c r="F93" s="4">
        <v>0.47399999999999998</v>
      </c>
      <c r="G93" s="4">
        <v>0.37377444399999998</v>
      </c>
      <c r="H93" s="4">
        <v>3.2199999999999999E-2</v>
      </c>
      <c r="I93" s="4">
        <v>8.7980000000000003E-3</v>
      </c>
      <c r="J93" s="4">
        <v>0.30333916</v>
      </c>
      <c r="K93" s="30">
        <v>12.954634799999999</v>
      </c>
    </row>
    <row r="94" spans="1:11">
      <c r="A94" s="29" t="s">
        <v>475</v>
      </c>
      <c r="B94" s="4">
        <v>0.52345454499999999</v>
      </c>
      <c r="C94" s="4">
        <v>0.20654166700000001</v>
      </c>
      <c r="D94" s="4">
        <v>0.17404166700000001</v>
      </c>
      <c r="E94" s="4">
        <v>0.44065573800000002</v>
      </c>
      <c r="F94" s="4">
        <v>0.47199999999999998</v>
      </c>
      <c r="G94" s="4">
        <v>0.37448777799999999</v>
      </c>
      <c r="H94" s="4">
        <v>3.2405000000000003E-2</v>
      </c>
      <c r="I94" s="4">
        <v>8.8559999999999993E-3</v>
      </c>
      <c r="J94" s="4">
        <v>0.31104836400000002</v>
      </c>
      <c r="K94" s="30">
        <v>14.005741820000001</v>
      </c>
    </row>
    <row r="95" spans="1:11">
      <c r="A95" s="29" t="s">
        <v>476</v>
      </c>
      <c r="B95" s="4">
        <v>0.55900000000000005</v>
      </c>
      <c r="C95" s="4">
        <v>0.25320833300000001</v>
      </c>
      <c r="D95" s="4">
        <v>0.17699999999999999</v>
      </c>
      <c r="E95" s="4">
        <v>0.43518032800000001</v>
      </c>
      <c r="F95" s="4">
        <v>0.46612500000000001</v>
      </c>
      <c r="G95" s="4">
        <v>0.37252777799999998</v>
      </c>
      <c r="H95" s="4">
        <v>3.2750000000000001E-2</v>
      </c>
      <c r="I95" s="4">
        <v>8.9680000000000003E-3</v>
      </c>
      <c r="J95" s="4">
        <v>0.36048327299999999</v>
      </c>
      <c r="K95" s="30">
        <v>12.88978545</v>
      </c>
    </row>
    <row r="96" spans="1:11">
      <c r="A96" s="29" t="s">
        <v>477</v>
      </c>
      <c r="B96" s="4">
        <v>0.52536363600000002</v>
      </c>
      <c r="C96" s="4">
        <v>0.19575000000000001</v>
      </c>
      <c r="D96" s="4">
        <v>0.162083333</v>
      </c>
      <c r="E96" s="4">
        <v>0.43257377000000002</v>
      </c>
      <c r="F96" s="4">
        <v>0.46400000000000002</v>
      </c>
      <c r="G96" s="4">
        <v>0.37334555600000002</v>
      </c>
      <c r="H96" s="4">
        <v>3.2904999999999997E-2</v>
      </c>
      <c r="I96" s="4">
        <v>8.9999999999999993E-3</v>
      </c>
      <c r="J96" s="4">
        <v>0.38911636399999999</v>
      </c>
      <c r="K96" s="30">
        <v>14.321440000000001</v>
      </c>
    </row>
    <row r="97" spans="1:11">
      <c r="A97" s="29" t="s">
        <v>478</v>
      </c>
      <c r="B97" s="4">
        <v>0.55086363599999999</v>
      </c>
      <c r="C97" s="4">
        <v>0.23833333300000001</v>
      </c>
      <c r="D97" s="4">
        <v>0.17779166699999999</v>
      </c>
      <c r="E97" s="4">
        <v>0.433721311</v>
      </c>
      <c r="F97" s="4">
        <v>0.46500000000000002</v>
      </c>
      <c r="G97" s="4">
        <v>0.372344444</v>
      </c>
      <c r="H97" s="4">
        <v>3.2820000000000002E-2</v>
      </c>
      <c r="I97" s="4">
        <v>8.9849999999999999E-3</v>
      </c>
      <c r="J97" s="4">
        <v>0.44907454499999999</v>
      </c>
      <c r="K97" s="30">
        <v>13.24586364</v>
      </c>
    </row>
    <row r="98" spans="1:11">
      <c r="A98" s="29" t="s">
        <v>479</v>
      </c>
      <c r="B98" s="4">
        <v>0.52086363599999996</v>
      </c>
      <c r="C98" s="4">
        <v>0.20574999999999999</v>
      </c>
      <c r="D98" s="4">
        <v>0.184</v>
      </c>
      <c r="E98" s="4">
        <v>0.44591803299999999</v>
      </c>
      <c r="F98" s="4">
        <v>0.47599999999999998</v>
      </c>
      <c r="G98" s="4">
        <v>0.375655556</v>
      </c>
      <c r="H98" s="4">
        <v>3.2134999999999997E-2</v>
      </c>
      <c r="I98" s="4">
        <v>8.7889999999999999E-3</v>
      </c>
      <c r="J98" s="4">
        <v>0.46742909100000002</v>
      </c>
      <c r="K98" s="30">
        <v>15.30279636</v>
      </c>
    </row>
    <row r="99" spans="1:11">
      <c r="A99" s="29" t="s">
        <v>480</v>
      </c>
      <c r="B99" s="4">
        <v>0.50749999999999995</v>
      </c>
      <c r="C99" s="4">
        <v>0.183208333</v>
      </c>
      <c r="D99" s="4">
        <v>0.16087499999999999</v>
      </c>
      <c r="E99" s="4">
        <v>0.43562295099999998</v>
      </c>
      <c r="F99" s="4">
        <v>0.46800000000000003</v>
      </c>
      <c r="G99" s="4">
        <v>0.37331777799999999</v>
      </c>
      <c r="H99" s="4">
        <v>3.2719999999999999E-2</v>
      </c>
      <c r="I99" s="4">
        <v>8.9449999999999998E-3</v>
      </c>
      <c r="J99" s="4">
        <v>0.48945454500000002</v>
      </c>
      <c r="K99" s="30">
        <v>14.962625450000001</v>
      </c>
    </row>
    <row r="100" spans="1:11">
      <c r="A100" s="29" t="s">
        <v>481</v>
      </c>
      <c r="B100" s="4">
        <v>0.51886363599999996</v>
      </c>
      <c r="C100" s="4">
        <v>0.194083333</v>
      </c>
      <c r="D100" s="4">
        <v>0.16362499999999999</v>
      </c>
      <c r="E100" s="4">
        <v>0.43455737700000002</v>
      </c>
      <c r="F100" s="4">
        <v>0.46600000000000003</v>
      </c>
      <c r="G100" s="4">
        <v>0.37255333299999999</v>
      </c>
      <c r="H100" s="4">
        <v>3.2765000000000002E-2</v>
      </c>
      <c r="I100" s="4">
        <v>8.9700000000000005E-3</v>
      </c>
      <c r="J100" s="4">
        <v>0.56042545499999996</v>
      </c>
      <c r="K100" s="30">
        <v>15.775119999999999</v>
      </c>
    </row>
    <row r="101" spans="1:11" ht="15" thickBot="1">
      <c r="A101" s="31" t="s">
        <v>482</v>
      </c>
      <c r="B101" s="32">
        <v>0.502681818</v>
      </c>
      <c r="C101" s="32">
        <v>0.166625</v>
      </c>
      <c r="D101" s="32">
        <v>0.15466666700000001</v>
      </c>
      <c r="E101" s="32">
        <v>0.43247541</v>
      </c>
      <c r="F101" s="32">
        <v>0.46400000000000002</v>
      </c>
      <c r="G101" s="32">
        <v>0.373171111</v>
      </c>
      <c r="H101" s="32">
        <v>3.2899999999999999E-2</v>
      </c>
      <c r="I101" s="32">
        <v>8.9949999999999995E-3</v>
      </c>
      <c r="J101" s="32">
        <v>1.0768</v>
      </c>
      <c r="K101" s="33">
        <v>20.640298179999998</v>
      </c>
    </row>
    <row r="102" spans="1:11" ht="15" thickBot="1"/>
    <row r="103" spans="1:11">
      <c r="A103" s="16" t="s">
        <v>452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5"/>
    </row>
    <row r="104" spans="1:11">
      <c r="A104" s="29" t="s">
        <v>456</v>
      </c>
      <c r="B104" s="4" t="s">
        <v>435</v>
      </c>
      <c r="C104" s="4" t="s">
        <v>436</v>
      </c>
      <c r="D104" s="4" t="s">
        <v>437</v>
      </c>
      <c r="E104" s="4" t="s">
        <v>438</v>
      </c>
      <c r="F104" s="4" t="s">
        <v>439</v>
      </c>
      <c r="G104" s="4" t="s">
        <v>440</v>
      </c>
      <c r="H104" s="4" t="s">
        <v>441</v>
      </c>
      <c r="I104" s="4" t="s">
        <v>442</v>
      </c>
      <c r="J104" s="4" t="s">
        <v>433</v>
      </c>
      <c r="K104" s="30" t="s">
        <v>434</v>
      </c>
    </row>
    <row r="105" spans="1:11">
      <c r="A105" s="29" t="s">
        <v>483</v>
      </c>
      <c r="B105" s="4">
        <v>0.504</v>
      </c>
      <c r="C105" s="4">
        <v>0.181208333</v>
      </c>
      <c r="D105" s="4">
        <v>0.162041667</v>
      </c>
      <c r="E105" s="4">
        <v>0.43568852499999999</v>
      </c>
      <c r="F105" s="4">
        <v>0.46887499999999999</v>
      </c>
      <c r="G105" s="4">
        <v>0.375218889</v>
      </c>
      <c r="H105" s="4">
        <v>3.27E-2</v>
      </c>
      <c r="I105" s="4">
        <v>8.9449999999999998E-3</v>
      </c>
      <c r="J105" s="4">
        <v>9.4832525000000001E-2</v>
      </c>
      <c r="K105" s="30">
        <v>13.46</v>
      </c>
    </row>
    <row r="106" spans="1:11">
      <c r="A106" s="29" t="s">
        <v>484</v>
      </c>
      <c r="B106" s="4">
        <v>0.50249999999999995</v>
      </c>
      <c r="C106" s="4">
        <v>0.19091666700000001</v>
      </c>
      <c r="D106" s="4">
        <v>0.18837499999999999</v>
      </c>
      <c r="E106" s="4">
        <v>0.42396721300000001</v>
      </c>
      <c r="F106" s="4">
        <v>0.45700000000000002</v>
      </c>
      <c r="G106" s="4">
        <v>0.35432333300000002</v>
      </c>
      <c r="H106" s="4">
        <v>3.3939999999999998E-2</v>
      </c>
      <c r="I106" s="4">
        <v>7.5791000000000001E-3</v>
      </c>
      <c r="J106" s="4">
        <v>9.7652568999999995E-2</v>
      </c>
      <c r="K106" s="30">
        <v>14.467456370000001</v>
      </c>
    </row>
    <row r="107" spans="1:11">
      <c r="A107" s="29" t="s">
        <v>485</v>
      </c>
      <c r="B107" s="4">
        <v>0.50868181800000001</v>
      </c>
      <c r="C107" s="4">
        <v>0.17395833299999999</v>
      </c>
      <c r="D107" s="4">
        <v>0.101304167</v>
      </c>
      <c r="E107" s="4">
        <v>0.28560655699999998</v>
      </c>
      <c r="F107" s="4">
        <v>0.315</v>
      </c>
      <c r="G107" s="4">
        <v>0.26121444399999999</v>
      </c>
      <c r="H107" s="4">
        <v>3.006E-2</v>
      </c>
      <c r="I107" s="4">
        <v>6.3006E-3</v>
      </c>
      <c r="J107" s="4">
        <v>0.10304814499999999</v>
      </c>
      <c r="K107" s="30">
        <v>9.2540518049999996</v>
      </c>
    </row>
    <row r="108" spans="1:11">
      <c r="A108" s="29" t="s">
        <v>486</v>
      </c>
      <c r="B108" s="4">
        <v>0.50940909099999998</v>
      </c>
      <c r="C108" s="4">
        <v>0.174916667</v>
      </c>
      <c r="D108" s="4">
        <v>9.6199999999999994E-2</v>
      </c>
      <c r="E108" s="4">
        <v>0.24618852499999999</v>
      </c>
      <c r="F108" s="4">
        <v>0.28187499999999999</v>
      </c>
      <c r="G108" s="4">
        <v>0.23466777799999999</v>
      </c>
      <c r="H108" s="4">
        <v>4.3325000000000002E-2</v>
      </c>
      <c r="I108" s="4">
        <v>9.6234000000000007E-3</v>
      </c>
      <c r="J108" s="4">
        <v>0.12593204599999999</v>
      </c>
      <c r="K108" s="30">
        <v>12.977628709999999</v>
      </c>
    </row>
    <row r="109" spans="1:11">
      <c r="A109" s="29" t="s">
        <v>487</v>
      </c>
      <c r="B109" s="4">
        <v>0.504363636</v>
      </c>
      <c r="C109" s="4">
        <v>0.19441666699999999</v>
      </c>
      <c r="D109" s="4">
        <v>0.166625</v>
      </c>
      <c r="E109" s="4">
        <v>0.36713114800000002</v>
      </c>
      <c r="F109" s="4">
        <v>0.40237499999999998</v>
      </c>
      <c r="G109" s="4">
        <v>0.312794444</v>
      </c>
      <c r="H109" s="4">
        <v>3.9289999999999999E-2</v>
      </c>
      <c r="I109" s="4">
        <v>6.9654000000000001E-3</v>
      </c>
      <c r="J109" s="4">
        <v>0.14242840700000001</v>
      </c>
      <c r="K109" s="30">
        <v>13.09693276</v>
      </c>
    </row>
    <row r="110" spans="1:11">
      <c r="A110" s="29" t="s">
        <v>488</v>
      </c>
      <c r="B110" s="4">
        <v>0.50754545500000003</v>
      </c>
      <c r="C110" s="4">
        <v>0.18366666700000001</v>
      </c>
      <c r="D110" s="4">
        <v>0.13475000000000001</v>
      </c>
      <c r="E110" s="4">
        <v>0.34088524599999998</v>
      </c>
      <c r="F110" s="4">
        <v>0.378</v>
      </c>
      <c r="G110" s="4">
        <v>0.30677333299999998</v>
      </c>
      <c r="H110" s="4">
        <v>4.2555000000000003E-2</v>
      </c>
      <c r="I110" s="4">
        <v>8.3084000000000005E-3</v>
      </c>
      <c r="J110" s="4">
        <v>0.146527248</v>
      </c>
      <c r="K110" s="30">
        <v>11.221778759999999</v>
      </c>
    </row>
    <row r="111" spans="1:11">
      <c r="A111" s="29" t="s">
        <v>489</v>
      </c>
      <c r="B111" s="4">
        <v>0.51009090899999998</v>
      </c>
      <c r="C111" s="4">
        <v>0.17270833299999999</v>
      </c>
      <c r="D111" s="4">
        <v>8.1966666999999993E-2</v>
      </c>
      <c r="E111" s="4">
        <v>0.18346721299999999</v>
      </c>
      <c r="F111" s="4">
        <v>0.218</v>
      </c>
      <c r="G111" s="4">
        <v>0.183042222</v>
      </c>
      <c r="H111" s="4">
        <v>4.5289999999999997E-2</v>
      </c>
      <c r="I111" s="4">
        <v>9.1071999999999993E-3</v>
      </c>
      <c r="J111" s="4">
        <v>0.14992512499999999</v>
      </c>
      <c r="K111" s="30">
        <v>14.09196392</v>
      </c>
    </row>
    <row r="112" spans="1:11">
      <c r="A112" s="29" t="s">
        <v>490</v>
      </c>
      <c r="B112" s="4">
        <v>0.50140909099999997</v>
      </c>
      <c r="C112" s="4">
        <v>0.18883333299999999</v>
      </c>
      <c r="D112" s="4">
        <v>0.200333333</v>
      </c>
      <c r="E112" s="4">
        <v>0.53172131099999997</v>
      </c>
      <c r="F112" s="4">
        <v>0.56999999999999995</v>
      </c>
      <c r="G112" s="4">
        <v>0.45383777800000003</v>
      </c>
      <c r="H112" s="4">
        <v>3.2904999999999997E-2</v>
      </c>
      <c r="I112" s="4">
        <v>6.0555000000000001E-3</v>
      </c>
      <c r="J112" s="4">
        <v>0.15597259099999999</v>
      </c>
      <c r="K112" s="30">
        <v>3.1542197029999999</v>
      </c>
    </row>
    <row r="113" spans="1:11">
      <c r="A113" s="29" t="s">
        <v>491</v>
      </c>
      <c r="B113" s="4">
        <v>0.50281818199999995</v>
      </c>
      <c r="C113" s="4">
        <v>0.207916667</v>
      </c>
      <c r="D113" s="4">
        <v>0.168083333</v>
      </c>
      <c r="E113" s="4">
        <v>0.372721311</v>
      </c>
      <c r="F113" s="4">
        <v>0.40699999999999997</v>
      </c>
      <c r="G113" s="4">
        <v>0.31208999999999998</v>
      </c>
      <c r="H113" s="4">
        <v>3.4389999999999997E-2</v>
      </c>
      <c r="I113" s="4">
        <v>6.6571E-3</v>
      </c>
      <c r="J113" s="4">
        <v>0.187219312</v>
      </c>
      <c r="K113" s="30">
        <v>8.5265237539999994</v>
      </c>
    </row>
    <row r="114" spans="1:11">
      <c r="A114" s="29" t="s">
        <v>492</v>
      </c>
      <c r="B114" s="4">
        <v>0.50872727299999998</v>
      </c>
      <c r="C114" s="4">
        <v>0.174125</v>
      </c>
      <c r="D114" s="4">
        <v>0.101583333</v>
      </c>
      <c r="E114" s="4">
        <v>0.30250819699999998</v>
      </c>
      <c r="F114" s="4">
        <v>0.33100000000000002</v>
      </c>
      <c r="G114" s="4">
        <v>0.274368889</v>
      </c>
      <c r="H114" s="4">
        <v>3.261E-2</v>
      </c>
      <c r="I114" s="4">
        <v>6.5443999999999997E-3</v>
      </c>
      <c r="J114" s="4">
        <v>0.21091776500000001</v>
      </c>
      <c r="K114" s="30">
        <v>16.260699240000001</v>
      </c>
    </row>
    <row r="115" spans="1:11">
      <c r="A115" s="29" t="s">
        <v>493</v>
      </c>
      <c r="B115" s="4">
        <v>0.50895454500000004</v>
      </c>
      <c r="C115" s="4">
        <v>0.17479166700000001</v>
      </c>
      <c r="D115" s="4">
        <v>9.0904166999999994E-2</v>
      </c>
      <c r="E115" s="4">
        <v>0.35690163899999999</v>
      </c>
      <c r="F115" s="4">
        <v>0.39600000000000002</v>
      </c>
      <c r="G115" s="4">
        <v>0.338762222</v>
      </c>
      <c r="H115" s="4">
        <v>3.934E-2</v>
      </c>
      <c r="I115" s="4">
        <v>6.8788E-3</v>
      </c>
      <c r="J115" s="4">
        <v>0.24496917300000001</v>
      </c>
      <c r="K115" s="30">
        <v>8.3980521410000009</v>
      </c>
    </row>
    <row r="116" spans="1:11">
      <c r="A116" s="29" t="s">
        <v>494</v>
      </c>
      <c r="B116" s="4">
        <v>0.50418181799999995</v>
      </c>
      <c r="C116" s="4">
        <v>0.18037500000000001</v>
      </c>
      <c r="D116" s="4">
        <v>0.15425</v>
      </c>
      <c r="E116" s="4">
        <v>0.34183870999999999</v>
      </c>
      <c r="F116" s="4">
        <v>0.38200000000000001</v>
      </c>
      <c r="G116" s="4">
        <v>0.302731111</v>
      </c>
      <c r="H116" s="4">
        <v>3.8609999999999998E-2</v>
      </c>
      <c r="I116" s="4">
        <v>8.2273999999999993E-3</v>
      </c>
      <c r="J116" s="4">
        <v>0.24768599299999999</v>
      </c>
      <c r="K116" s="30">
        <v>11.448715249999999</v>
      </c>
    </row>
    <row r="117" spans="1:11">
      <c r="A117" s="29" t="s">
        <v>495</v>
      </c>
      <c r="B117" s="4">
        <v>0.50813636399999995</v>
      </c>
      <c r="C117" s="4">
        <v>0.16825000000000001</v>
      </c>
      <c r="D117" s="4">
        <v>0.1048</v>
      </c>
      <c r="E117" s="4">
        <v>0.31788709700000001</v>
      </c>
      <c r="F117" s="4">
        <v>0.35499999999999998</v>
      </c>
      <c r="G117" s="4">
        <v>0.29616999999999999</v>
      </c>
      <c r="H117" s="4">
        <v>3.9234999999999999E-2</v>
      </c>
      <c r="I117" s="4">
        <v>9.6830000000000006E-3</v>
      </c>
      <c r="J117" s="4">
        <v>0.24768599299999999</v>
      </c>
      <c r="K117" s="30">
        <v>11.448715249999999</v>
      </c>
    </row>
    <row r="118" spans="1:11">
      <c r="A118" s="29" t="s">
        <v>496</v>
      </c>
      <c r="B118" s="4">
        <v>0.504</v>
      </c>
      <c r="C118" s="4">
        <v>0.18337500000000001</v>
      </c>
      <c r="D118" s="4">
        <v>0.16945833299999999</v>
      </c>
      <c r="E118" s="4">
        <v>0.46108196699999998</v>
      </c>
      <c r="F118" s="4">
        <v>0.495</v>
      </c>
      <c r="G118" s="4">
        <v>0.39561222200000001</v>
      </c>
      <c r="H118" s="4">
        <v>3.4075000000000001E-2</v>
      </c>
      <c r="I118" s="4">
        <v>7.6826999999999998E-3</v>
      </c>
      <c r="J118" s="4">
        <v>0.248918313</v>
      </c>
      <c r="K118" s="30">
        <v>16.050076050000001</v>
      </c>
    </row>
    <row r="119" spans="1:11">
      <c r="A119" s="29" t="s">
        <v>471</v>
      </c>
      <c r="B119" s="4">
        <v>0.50790909100000003</v>
      </c>
      <c r="C119" s="4">
        <v>0.17433333300000001</v>
      </c>
      <c r="D119" s="4">
        <v>0.11475</v>
      </c>
      <c r="E119" s="4">
        <v>0.26370491800000001</v>
      </c>
      <c r="F119" s="4">
        <v>0.28999999999999998</v>
      </c>
      <c r="G119" s="4">
        <v>0.23371777799999999</v>
      </c>
      <c r="H119" s="4">
        <v>2.9454999999999999E-2</v>
      </c>
      <c r="I119" s="4">
        <v>9.2336999999999992E-3</v>
      </c>
      <c r="J119" s="4">
        <v>0.27330422700000001</v>
      </c>
      <c r="K119" s="30">
        <v>17.368343729999999</v>
      </c>
    </row>
    <row r="120" spans="1:11">
      <c r="A120" s="29" t="s">
        <v>497</v>
      </c>
      <c r="B120" s="4">
        <v>0.50577272699999998</v>
      </c>
      <c r="C120" s="4">
        <v>0.185208333</v>
      </c>
      <c r="D120" s="4">
        <v>0.159</v>
      </c>
      <c r="E120" s="4">
        <v>0.371387097</v>
      </c>
      <c r="F120" s="4">
        <v>0.40600000000000003</v>
      </c>
      <c r="G120" s="4">
        <v>0.319443333</v>
      </c>
      <c r="H120" s="4">
        <v>3.117E-2</v>
      </c>
      <c r="I120" s="4">
        <v>8.0874999999999992E-3</v>
      </c>
      <c r="J120" s="4">
        <v>0.28131128300000002</v>
      </c>
      <c r="K120" s="30">
        <v>6.3203021030000004</v>
      </c>
    </row>
    <row r="121" spans="1:11">
      <c r="A121" s="29" t="s">
        <v>498</v>
      </c>
      <c r="B121" s="4">
        <v>0.50218181799999995</v>
      </c>
      <c r="C121" s="4">
        <v>0.19700000000000001</v>
      </c>
      <c r="D121" s="4">
        <v>0.19375000000000001</v>
      </c>
      <c r="E121" s="4">
        <v>0.39425806499999999</v>
      </c>
      <c r="F121" s="4">
        <v>0.432</v>
      </c>
      <c r="G121" s="4">
        <v>0.32726</v>
      </c>
      <c r="H121" s="4">
        <v>3.7425E-2</v>
      </c>
      <c r="I121" s="4">
        <v>7.6479E-3</v>
      </c>
      <c r="J121" s="4">
        <v>0.28218764200000002</v>
      </c>
      <c r="K121" s="30">
        <v>11.792288559999999</v>
      </c>
    </row>
    <row r="122" spans="1:11">
      <c r="A122" s="29" t="s">
        <v>499</v>
      </c>
      <c r="B122" s="4">
        <v>0.495136364</v>
      </c>
      <c r="C122" s="4">
        <v>0.21637500000000001</v>
      </c>
      <c r="D122" s="4">
        <v>0.25212499999999999</v>
      </c>
      <c r="E122" s="4">
        <v>0.39059677399999998</v>
      </c>
      <c r="F122" s="4">
        <v>0.42599999999999999</v>
      </c>
      <c r="G122" s="4">
        <v>0.29619666700000002</v>
      </c>
      <c r="H122" s="4">
        <v>3.8365000000000003E-2</v>
      </c>
      <c r="I122" s="4">
        <v>6.633E-3</v>
      </c>
      <c r="J122" s="4">
        <v>0.342656813</v>
      </c>
      <c r="K122" s="30">
        <v>6.1684020950000003</v>
      </c>
    </row>
    <row r="123" spans="1:11">
      <c r="A123" s="29" t="s">
        <v>500</v>
      </c>
      <c r="B123" s="4">
        <v>0.50854545500000004</v>
      </c>
      <c r="C123" s="4">
        <v>0.17858333300000001</v>
      </c>
      <c r="D123" s="4">
        <v>0.11370833299999999</v>
      </c>
      <c r="E123" s="4">
        <v>0.363885246</v>
      </c>
      <c r="F123" s="4">
        <v>0.40100000000000002</v>
      </c>
      <c r="G123" s="4">
        <v>0.33383666699999998</v>
      </c>
      <c r="H123" s="4">
        <v>3.7969999999999997E-2</v>
      </c>
      <c r="I123" s="4">
        <v>7.7190999999999996E-3</v>
      </c>
      <c r="J123" s="4">
        <v>0.389207146</v>
      </c>
      <c r="K123" s="30">
        <v>9.8267561170000004</v>
      </c>
    </row>
    <row r="124" spans="1:11">
      <c r="A124" s="29" t="s">
        <v>501</v>
      </c>
      <c r="B124" s="4">
        <v>0.50690909100000003</v>
      </c>
      <c r="C124" s="4">
        <v>0.18083333300000001</v>
      </c>
      <c r="D124" s="4">
        <v>0.113279167</v>
      </c>
      <c r="E124" s="4">
        <v>0.27303225800000003</v>
      </c>
      <c r="F124" s="4">
        <v>0.314</v>
      </c>
      <c r="G124" s="4">
        <v>0.25501666699999997</v>
      </c>
      <c r="H124" s="4">
        <v>4.8129999999999999E-2</v>
      </c>
      <c r="I124" s="4">
        <v>9.2343000000000008E-3</v>
      </c>
      <c r="J124" s="4">
        <v>0.45395403299999998</v>
      </c>
      <c r="K124" s="30">
        <v>13.30488443</v>
      </c>
    </row>
    <row r="125" spans="1:11">
      <c r="A125" s="29" t="s">
        <v>502</v>
      </c>
      <c r="B125" s="4">
        <v>0.50845454499999998</v>
      </c>
      <c r="C125" s="4">
        <v>0.174916667</v>
      </c>
      <c r="D125" s="4">
        <v>0.11597916699999999</v>
      </c>
      <c r="E125" s="4">
        <v>0.30762295099999998</v>
      </c>
      <c r="F125" s="4">
        <v>0.34499999999999997</v>
      </c>
      <c r="G125" s="4">
        <v>0.28503777800000002</v>
      </c>
      <c r="H125" s="4">
        <v>4.0079999999999998E-2</v>
      </c>
      <c r="I125" s="4">
        <v>8.1700999999999996E-3</v>
      </c>
      <c r="J125" s="4">
        <v>0.48639587000000001</v>
      </c>
      <c r="K125" s="30">
        <v>15.710038040000001</v>
      </c>
    </row>
    <row r="126" spans="1:11">
      <c r="A126" s="29" t="s">
        <v>503</v>
      </c>
      <c r="B126" s="4">
        <v>0.49545454500000002</v>
      </c>
      <c r="C126" s="4">
        <v>0.205625</v>
      </c>
      <c r="D126" s="4">
        <v>0.28687499999999999</v>
      </c>
      <c r="E126" s="4">
        <v>0.47434920600000002</v>
      </c>
      <c r="F126" s="4">
        <v>0.50900000000000001</v>
      </c>
      <c r="G126" s="4">
        <v>0.35643000000000002</v>
      </c>
      <c r="H126" s="4">
        <v>3.1910000000000001E-2</v>
      </c>
      <c r="I126" s="4">
        <v>6.9959000000000002E-3</v>
      </c>
      <c r="J126" s="4">
        <v>0.50346832500000005</v>
      </c>
      <c r="K126" s="30">
        <v>9.8393222209999998</v>
      </c>
    </row>
    <row r="127" spans="1:11">
      <c r="A127" s="29" t="s">
        <v>504</v>
      </c>
      <c r="B127" s="4">
        <v>0.50377272699999998</v>
      </c>
      <c r="C127" s="4">
        <v>0.19320833300000001</v>
      </c>
      <c r="D127" s="4">
        <v>0.16220833300000001</v>
      </c>
      <c r="E127" s="4">
        <v>0.37833871000000002</v>
      </c>
      <c r="F127" s="4">
        <v>0.42699999999999999</v>
      </c>
      <c r="G127" s="4">
        <v>0.33938888900000003</v>
      </c>
      <c r="H127" s="4">
        <v>4.7199999999999999E-2</v>
      </c>
      <c r="I127" s="4">
        <v>9.0417999999999991E-3</v>
      </c>
      <c r="J127" s="4">
        <v>0.65614890299999995</v>
      </c>
      <c r="K127" s="30">
        <v>10.185220470000001</v>
      </c>
    </row>
    <row r="128" spans="1:11">
      <c r="A128" s="29" t="s">
        <v>505</v>
      </c>
      <c r="B128" s="4">
        <v>0.50586363599999995</v>
      </c>
      <c r="C128" s="4">
        <v>0.18566666700000001</v>
      </c>
      <c r="D128" s="4">
        <v>0.16462499999999999</v>
      </c>
      <c r="E128" s="4">
        <v>0.41345901600000001</v>
      </c>
      <c r="F128" s="4">
        <v>0.44600000000000001</v>
      </c>
      <c r="G128" s="4">
        <v>0.35443777799999998</v>
      </c>
      <c r="H128" s="4">
        <v>3.0734999999999998E-2</v>
      </c>
      <c r="I128" s="4">
        <v>7.7079999999999996E-3</v>
      </c>
      <c r="J128" s="4">
        <v>0.795360289</v>
      </c>
      <c r="K128" s="30">
        <v>16.462485090000001</v>
      </c>
    </row>
    <row r="129" spans="1:11">
      <c r="A129" s="29" t="s">
        <v>506</v>
      </c>
      <c r="B129" s="4">
        <v>0.50577272699999998</v>
      </c>
      <c r="C129" s="4">
        <v>0.194291667</v>
      </c>
      <c r="D129" s="4">
        <v>0.159</v>
      </c>
      <c r="E129" s="4">
        <v>0.403852459</v>
      </c>
      <c r="F129" s="4">
        <v>0.43112499999999998</v>
      </c>
      <c r="G129" s="4">
        <v>0.33809444399999999</v>
      </c>
      <c r="H129" s="4">
        <v>3.0380000000000001E-2</v>
      </c>
      <c r="I129" s="4">
        <v>5.8500000000000002E-3</v>
      </c>
      <c r="J129" s="4">
        <v>1.1862338240000001</v>
      </c>
      <c r="K129" s="30">
        <v>14.55839246</v>
      </c>
    </row>
    <row r="130" spans="1:11">
      <c r="A130" s="29" t="s">
        <v>507</v>
      </c>
      <c r="B130" s="4">
        <v>0.50718181799999995</v>
      </c>
      <c r="C130" s="4">
        <v>0.181666667</v>
      </c>
      <c r="D130" s="4">
        <v>0.124625</v>
      </c>
      <c r="E130" s="4">
        <v>0.34411290300000003</v>
      </c>
      <c r="F130" s="4">
        <v>0.38</v>
      </c>
      <c r="G130" s="4">
        <v>0.309341111</v>
      </c>
      <c r="H130" s="4">
        <v>3.0075000000000001E-2</v>
      </c>
      <c r="I130" s="4">
        <v>6.9131000000000001E-3</v>
      </c>
      <c r="J130" s="4">
        <v>1.458440062</v>
      </c>
      <c r="K130" s="30">
        <v>16.084595610000001</v>
      </c>
    </row>
    <row r="131" spans="1:11">
      <c r="A131" s="29" t="s">
        <v>508</v>
      </c>
      <c r="B131" s="4">
        <v>0.49959090900000003</v>
      </c>
      <c r="C131" s="4">
        <v>0.20154166700000001</v>
      </c>
      <c r="D131" s="4">
        <v>0.21920833300000001</v>
      </c>
      <c r="E131" s="4">
        <v>0.53659677400000005</v>
      </c>
      <c r="F131" s="4">
        <v>0.57899999999999996</v>
      </c>
      <c r="G131" s="4">
        <v>0.44873444400000001</v>
      </c>
      <c r="H131" s="4">
        <v>3.4200000000000001E-2</v>
      </c>
      <c r="I131" s="4">
        <v>5.9204000000000001E-3</v>
      </c>
      <c r="J131" s="4">
        <v>2.585823177</v>
      </c>
      <c r="K131" s="30">
        <v>19.666572120000001</v>
      </c>
    </row>
    <row r="132" spans="1:11">
      <c r="A132" s="29" t="s">
        <v>509</v>
      </c>
      <c r="B132" s="4">
        <v>0.50404545499999998</v>
      </c>
      <c r="C132" s="4">
        <v>0.19591666699999999</v>
      </c>
      <c r="D132" s="4">
        <v>0.15575</v>
      </c>
      <c r="E132" s="4">
        <v>0.32877049200000003</v>
      </c>
      <c r="F132" s="4">
        <v>0.36599999999999999</v>
      </c>
      <c r="G132" s="4">
        <v>0.28517666699999999</v>
      </c>
      <c r="H132" s="4">
        <v>4.1895000000000002E-2</v>
      </c>
      <c r="I132" s="4">
        <v>8.2854999999999995E-3</v>
      </c>
      <c r="J132" s="4">
        <v>2.861976796</v>
      </c>
      <c r="K132" s="30">
        <v>14.37895582</v>
      </c>
    </row>
    <row r="133" spans="1:11">
      <c r="A133" s="29" t="s">
        <v>510</v>
      </c>
      <c r="B133" s="4">
        <v>0.50927272700000004</v>
      </c>
      <c r="C133" s="4">
        <v>0.17320833299999999</v>
      </c>
      <c r="D133" s="4">
        <v>0.1057125</v>
      </c>
      <c r="E133" s="4">
        <v>0.28149999999999997</v>
      </c>
      <c r="F133" s="4">
        <v>0.3115</v>
      </c>
      <c r="G133" s="4">
        <v>0.25624888899999998</v>
      </c>
      <c r="H133" s="4">
        <v>3.0169999999999999E-2</v>
      </c>
      <c r="I133" s="4">
        <v>6.6073E-3</v>
      </c>
      <c r="J133" s="4">
        <v>6.1439397299999996</v>
      </c>
      <c r="K133" s="30">
        <v>18.336379350000001</v>
      </c>
    </row>
    <row r="134" spans="1:11" ht="15" thickBot="1">
      <c r="A134" s="31" t="s">
        <v>511</v>
      </c>
      <c r="B134" s="32">
        <v>0.500636364</v>
      </c>
      <c r="C134" s="32">
        <v>0.193791667</v>
      </c>
      <c r="D134" s="32">
        <v>0.20041666699999999</v>
      </c>
      <c r="E134" s="32">
        <v>0.38262903199999998</v>
      </c>
      <c r="F134" s="32">
        <v>0.41799999999999998</v>
      </c>
      <c r="G134" s="32">
        <v>0.31285444400000001</v>
      </c>
      <c r="H134" s="32">
        <v>3.8275000000000003E-2</v>
      </c>
      <c r="I134" s="32">
        <v>1.02963E-2</v>
      </c>
      <c r="J134" s="32">
        <v>6.4123642810000003</v>
      </c>
      <c r="K134" s="33">
        <v>25.870161750000001</v>
      </c>
    </row>
    <row r="135" spans="1:11" ht="15" thickBot="1"/>
    <row r="136" spans="1:11">
      <c r="A136" s="16" t="s">
        <v>454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5"/>
    </row>
    <row r="137" spans="1:11">
      <c r="A137" s="29" t="s">
        <v>456</v>
      </c>
      <c r="B137" s="4" t="s">
        <v>435</v>
      </c>
      <c r="C137" s="4" t="s">
        <v>436</v>
      </c>
      <c r="D137" s="4" t="s">
        <v>437</v>
      </c>
      <c r="E137" s="4" t="s">
        <v>438</v>
      </c>
      <c r="F137" s="4" t="s">
        <v>439</v>
      </c>
      <c r="G137" s="4" t="s">
        <v>440</v>
      </c>
      <c r="H137" s="4" t="s">
        <v>441</v>
      </c>
      <c r="I137" s="4" t="s">
        <v>442</v>
      </c>
      <c r="J137" s="4" t="s">
        <v>433</v>
      </c>
      <c r="K137" s="30" t="s">
        <v>434</v>
      </c>
    </row>
    <row r="138" spans="1:11">
      <c r="A138" s="29" t="s">
        <v>512</v>
      </c>
      <c r="B138" s="4">
        <v>0.504636364</v>
      </c>
      <c r="C138" s="4">
        <v>0.18966666700000001</v>
      </c>
      <c r="D138" s="4">
        <v>0.15783333299999999</v>
      </c>
      <c r="E138" s="4">
        <v>0.25786885199999998</v>
      </c>
      <c r="F138" s="4">
        <v>0.29599999999999999</v>
      </c>
      <c r="G138" s="4">
        <v>0.225454444</v>
      </c>
      <c r="H138" s="4">
        <v>5.1020000000000003E-2</v>
      </c>
      <c r="I138" s="4">
        <v>5.1190000000000003E-3</v>
      </c>
      <c r="J138" s="4">
        <v>8.2880371999999994E-2</v>
      </c>
      <c r="K138" s="30">
        <v>6.626636607</v>
      </c>
    </row>
    <row r="139" spans="1:11">
      <c r="A139" s="29" t="s">
        <v>513</v>
      </c>
      <c r="B139" s="4">
        <v>0.49990909100000003</v>
      </c>
      <c r="C139" s="4">
        <v>0.19650000000000001</v>
      </c>
      <c r="D139" s="4">
        <v>0.22145833300000001</v>
      </c>
      <c r="E139" s="4">
        <v>0.39377049200000003</v>
      </c>
      <c r="F139" s="4">
        <v>0.45</v>
      </c>
      <c r="G139" s="4">
        <v>0.344422222</v>
      </c>
      <c r="H139" s="4">
        <v>7.3764999999999997E-2</v>
      </c>
      <c r="I139" s="4">
        <v>7.8826E-3</v>
      </c>
      <c r="J139" s="4">
        <v>8.9613216999999995E-2</v>
      </c>
      <c r="K139" s="30">
        <v>9.0267535579999993</v>
      </c>
    </row>
    <row r="140" spans="1:11">
      <c r="A140" s="29" t="s">
        <v>514</v>
      </c>
      <c r="B140" s="4">
        <v>0.504</v>
      </c>
      <c r="C140" s="4">
        <v>0.181208333</v>
      </c>
      <c r="D140" s="4">
        <v>0.162041667</v>
      </c>
      <c r="E140" s="4">
        <v>0.43568852499999999</v>
      </c>
      <c r="F140" s="4">
        <v>0.46887499999999999</v>
      </c>
      <c r="G140" s="4">
        <v>0.375218889</v>
      </c>
      <c r="H140" s="4">
        <v>3.27E-2</v>
      </c>
      <c r="I140" s="4">
        <v>8.9449999999999998E-3</v>
      </c>
      <c r="J140" s="4">
        <v>9.4832525000000001E-2</v>
      </c>
      <c r="K140" s="30">
        <v>13.46</v>
      </c>
    </row>
    <row r="141" spans="1:11">
      <c r="A141" s="29" t="s">
        <v>515</v>
      </c>
      <c r="B141" s="4">
        <v>0.50022727300000003</v>
      </c>
      <c r="C141" s="4">
        <v>0.195583333</v>
      </c>
      <c r="D141" s="4">
        <v>0.21729166699999999</v>
      </c>
      <c r="E141" s="4">
        <v>0.36475409800000003</v>
      </c>
      <c r="F141" s="4">
        <v>0.41799999999999998</v>
      </c>
      <c r="G141" s="4">
        <v>0.31631111099999998</v>
      </c>
      <c r="H141" s="4">
        <v>6.8849999999999995E-2</v>
      </c>
      <c r="I141" s="4">
        <v>9.9812000000000008E-3</v>
      </c>
      <c r="J141" s="4">
        <v>0.100708187</v>
      </c>
      <c r="K141" s="30">
        <v>7.7408750179999997</v>
      </c>
    </row>
    <row r="142" spans="1:11">
      <c r="A142" s="29" t="s">
        <v>516</v>
      </c>
      <c r="B142" s="4">
        <v>0.49827272700000003</v>
      </c>
      <c r="C142" s="4">
        <v>0.198583333</v>
      </c>
      <c r="D142" s="4">
        <v>0.24712500000000001</v>
      </c>
      <c r="E142" s="4">
        <v>0.43062295099999998</v>
      </c>
      <c r="F142" s="4">
        <v>0.46700000000000003</v>
      </c>
      <c r="G142" s="4">
        <v>0.34614777800000002</v>
      </c>
      <c r="H142" s="4">
        <v>3.1934999999999998E-2</v>
      </c>
      <c r="I142" s="4">
        <v>5.5560999999999996E-3</v>
      </c>
      <c r="J142" s="4">
        <v>0.13272384800000001</v>
      </c>
      <c r="K142" s="30">
        <v>9.4782845709999997</v>
      </c>
    </row>
    <row r="143" spans="1:11">
      <c r="A143" s="29" t="s">
        <v>517</v>
      </c>
      <c r="B143" s="4">
        <v>0.499318182</v>
      </c>
      <c r="C143" s="4">
        <v>0.19516666699999999</v>
      </c>
      <c r="D143" s="4">
        <v>0.22891666699999999</v>
      </c>
      <c r="E143" s="4">
        <v>0.46052459000000001</v>
      </c>
      <c r="F143" s="4">
        <v>0.51200000000000001</v>
      </c>
      <c r="G143" s="4">
        <v>0.39936666700000001</v>
      </c>
      <c r="H143" s="4">
        <v>4.0945000000000002E-2</v>
      </c>
      <c r="I143" s="4">
        <v>4.8885999999999999E-3</v>
      </c>
      <c r="J143" s="4">
        <v>0.140711427</v>
      </c>
      <c r="K143" s="30">
        <v>7.7126580179999999</v>
      </c>
    </row>
    <row r="144" spans="1:11">
      <c r="A144" s="29" t="s">
        <v>518</v>
      </c>
      <c r="B144" s="4">
        <v>0.499636364</v>
      </c>
      <c r="C144" s="4">
        <v>0.198125</v>
      </c>
      <c r="D144" s="4">
        <v>0.234416667</v>
      </c>
      <c r="E144" s="4">
        <v>0.34660655699999998</v>
      </c>
      <c r="F144" s="4">
        <v>0.36299999999999999</v>
      </c>
      <c r="G144" s="4">
        <v>0.25037999999999999</v>
      </c>
      <c r="H144" s="4">
        <v>1.7308E-2</v>
      </c>
      <c r="I144" s="4">
        <v>4.1269999999999996E-3</v>
      </c>
      <c r="J144" s="4">
        <v>0.15058813600000001</v>
      </c>
      <c r="K144" s="30">
        <v>13.113874879999999</v>
      </c>
    </row>
    <row r="145" spans="1:11">
      <c r="A145" s="29" t="s">
        <v>519</v>
      </c>
      <c r="B145" s="4">
        <v>0.49945454500000003</v>
      </c>
      <c r="C145" s="4">
        <v>0.20300000000000001</v>
      </c>
      <c r="D145" s="4">
        <v>0.22975000000000001</v>
      </c>
      <c r="E145" s="4">
        <v>0.351540984</v>
      </c>
      <c r="F145" s="4">
        <v>0.379</v>
      </c>
      <c r="G145" s="4">
        <v>0.26823888899999998</v>
      </c>
      <c r="H145" s="4">
        <v>3.5525000000000001E-2</v>
      </c>
      <c r="I145" s="4">
        <v>6.0917999999999996E-3</v>
      </c>
      <c r="J145" s="4">
        <v>0.15106227999999999</v>
      </c>
      <c r="K145" s="30">
        <v>8.2026912779999996</v>
      </c>
    </row>
    <row r="146" spans="1:11">
      <c r="A146" s="29" t="s">
        <v>520</v>
      </c>
      <c r="B146" s="4">
        <v>0.50422727300000003</v>
      </c>
      <c r="C146" s="4">
        <v>0.186</v>
      </c>
      <c r="D146" s="4">
        <v>0.171083333</v>
      </c>
      <c r="E146" s="4">
        <v>0.23470491800000001</v>
      </c>
      <c r="F146" s="4">
        <v>0.246</v>
      </c>
      <c r="G146" s="4">
        <v>0.169082222</v>
      </c>
      <c r="H146" s="4">
        <v>1.2822E-2</v>
      </c>
      <c r="I146" s="4">
        <v>4.4454999999999998E-3</v>
      </c>
      <c r="J146" s="4">
        <v>0.153338171</v>
      </c>
      <c r="K146" s="30">
        <v>10.64073975</v>
      </c>
    </row>
    <row r="147" spans="1:11">
      <c r="A147" s="29" t="s">
        <v>521</v>
      </c>
      <c r="B147" s="4">
        <v>0.501363636</v>
      </c>
      <c r="C147" s="4">
        <v>0.18995833300000001</v>
      </c>
      <c r="D147" s="4">
        <v>0.208416667</v>
      </c>
      <c r="E147" s="4">
        <v>0.43219672100000001</v>
      </c>
      <c r="F147" s="4">
        <v>0.45800000000000002</v>
      </c>
      <c r="G147" s="4">
        <v>0.34811111099999997</v>
      </c>
      <c r="H147" s="4">
        <v>2.15225E-2</v>
      </c>
      <c r="I147" s="4">
        <v>2.7894999999999999E-3</v>
      </c>
      <c r="J147" s="4">
        <v>0.156183035</v>
      </c>
      <c r="K147" s="30">
        <v>12.76111174</v>
      </c>
    </row>
    <row r="148" spans="1:11">
      <c r="A148" s="29" t="s">
        <v>522</v>
      </c>
      <c r="B148" s="4">
        <v>0.49804545500000003</v>
      </c>
      <c r="C148" s="4">
        <v>0.198125</v>
      </c>
      <c r="D148" s="4">
        <v>0.252</v>
      </c>
      <c r="E148" s="4">
        <v>0.39418032800000002</v>
      </c>
      <c r="F148" s="4">
        <v>0.42399999999999999</v>
      </c>
      <c r="G148" s="4">
        <v>0.3034</v>
      </c>
      <c r="H148" s="4">
        <v>2.9864999999999999E-2</v>
      </c>
      <c r="I148" s="4">
        <v>6.0308000000000002E-3</v>
      </c>
      <c r="J148" s="4">
        <v>0.16569583199999999</v>
      </c>
      <c r="K148" s="30">
        <v>11.18725504</v>
      </c>
    </row>
    <row r="149" spans="1:11">
      <c r="A149" s="29" t="s">
        <v>523</v>
      </c>
      <c r="B149" s="4">
        <v>0.49954545500000003</v>
      </c>
      <c r="C149" s="4">
        <v>0.194333333</v>
      </c>
      <c r="D149" s="4">
        <v>0.23245833299999999</v>
      </c>
      <c r="E149" s="4">
        <v>0.43198360699999999</v>
      </c>
      <c r="F149" s="4">
        <v>0.47899999999999998</v>
      </c>
      <c r="G149" s="4">
        <v>0.366244444</v>
      </c>
      <c r="H149" s="4">
        <v>4.3159999999999997E-2</v>
      </c>
      <c r="I149" s="4">
        <v>6.1460999999999998E-3</v>
      </c>
      <c r="J149" s="4">
        <v>0.172754623</v>
      </c>
      <c r="K149" s="30">
        <v>10.341128899999999</v>
      </c>
    </row>
    <row r="150" spans="1:11">
      <c r="A150" s="29" t="s">
        <v>524</v>
      </c>
      <c r="B150" s="4">
        <v>0.498136364</v>
      </c>
      <c r="C150" s="4">
        <v>0.203625</v>
      </c>
      <c r="D150" s="4">
        <v>0.25333333299999999</v>
      </c>
      <c r="E150" s="4">
        <v>0.39891803300000001</v>
      </c>
      <c r="F150" s="4">
        <v>0.42599999999999999</v>
      </c>
      <c r="G150" s="4">
        <v>0.29405914</v>
      </c>
      <c r="H150" s="4">
        <v>2.0951999999999998E-2</v>
      </c>
      <c r="I150" s="4">
        <v>1.8462000000000001E-3</v>
      </c>
      <c r="J150" s="4">
        <v>0.178986167</v>
      </c>
      <c r="K150" s="30">
        <v>13.55685074</v>
      </c>
    </row>
    <row r="151" spans="1:11">
      <c r="A151" s="29" t="s">
        <v>525</v>
      </c>
      <c r="B151" s="4">
        <v>0.49977272700000003</v>
      </c>
      <c r="C151" s="4">
        <v>0.19350000000000001</v>
      </c>
      <c r="D151" s="4">
        <v>0.226041667</v>
      </c>
      <c r="E151" s="4">
        <v>0.48934426199999997</v>
      </c>
      <c r="F151" s="4">
        <v>0.52300000000000002</v>
      </c>
      <c r="G151" s="4">
        <v>0.401043333</v>
      </c>
      <c r="H151" s="4">
        <v>3.1866499999999999E-2</v>
      </c>
      <c r="I151" s="4">
        <v>2.8601E-3</v>
      </c>
      <c r="J151" s="4">
        <v>0.206062984</v>
      </c>
      <c r="K151" s="30">
        <v>14.75536142</v>
      </c>
    </row>
    <row r="152" spans="1:11">
      <c r="A152" s="29" t="s">
        <v>526</v>
      </c>
      <c r="B152" s="4">
        <v>0.49945454500000003</v>
      </c>
      <c r="C152" s="4">
        <v>0.19970833299999999</v>
      </c>
      <c r="D152" s="4">
        <v>0.23629166700000001</v>
      </c>
      <c r="E152" s="4">
        <v>0.34699999999999998</v>
      </c>
      <c r="F152" s="4">
        <v>0.36299999999999999</v>
      </c>
      <c r="G152" s="4">
        <v>0.24894555600000001</v>
      </c>
      <c r="H152" s="4">
        <v>1.6881500000000001E-2</v>
      </c>
      <c r="I152" s="4">
        <v>2.6622E-3</v>
      </c>
      <c r="J152" s="4">
        <v>0.22283177200000001</v>
      </c>
      <c r="K152" s="30">
        <v>14.32414882</v>
      </c>
    </row>
    <row r="153" spans="1:11">
      <c r="A153" s="29" t="s">
        <v>527</v>
      </c>
      <c r="B153" s="4">
        <v>0.499681818</v>
      </c>
      <c r="C153" s="4">
        <v>0.200125</v>
      </c>
      <c r="D153" s="4">
        <v>0.22950000000000001</v>
      </c>
      <c r="E153" s="4">
        <v>0.36867213100000001</v>
      </c>
      <c r="F153" s="4">
        <v>0.38400000000000001</v>
      </c>
      <c r="G153" s="4">
        <v>0.26909</v>
      </c>
      <c r="H153" s="4">
        <v>1.4394000000000001E-2</v>
      </c>
      <c r="I153" s="4">
        <v>1.9051000000000001E-3</v>
      </c>
      <c r="J153" s="4">
        <v>0.26577643899999998</v>
      </c>
      <c r="K153" s="30">
        <v>13.92173025</v>
      </c>
    </row>
    <row r="154" spans="1:11">
      <c r="A154" s="29" t="s">
        <v>528</v>
      </c>
      <c r="B154" s="4">
        <v>0.50213636399999995</v>
      </c>
      <c r="C154" s="4">
        <v>0.19037499999999999</v>
      </c>
      <c r="D154" s="4">
        <v>0.199083333</v>
      </c>
      <c r="E154" s="4">
        <v>0.33811475400000002</v>
      </c>
      <c r="F154" s="4">
        <v>0.35799999999999998</v>
      </c>
      <c r="G154" s="4">
        <v>0.25945333300000001</v>
      </c>
      <c r="H154" s="4">
        <v>2.4244999999999999E-2</v>
      </c>
      <c r="I154" s="4">
        <v>6.8640999999999997E-3</v>
      </c>
      <c r="J154" s="4">
        <v>0.26953876500000001</v>
      </c>
      <c r="K154" s="30">
        <v>13.062319860000001</v>
      </c>
    </row>
    <row r="155" spans="1:11">
      <c r="A155" s="29" t="s">
        <v>529</v>
      </c>
      <c r="B155" s="4">
        <v>0.49972727300000003</v>
      </c>
      <c r="C155" s="4">
        <v>0.19845833299999999</v>
      </c>
      <c r="D155" s="4">
        <v>0.23300000000000001</v>
      </c>
      <c r="E155" s="4">
        <v>0.35798360699999998</v>
      </c>
      <c r="F155" s="4">
        <v>0.378</v>
      </c>
      <c r="G155" s="4">
        <v>0.26518444400000002</v>
      </c>
      <c r="H155" s="4">
        <v>2.0795500000000001E-2</v>
      </c>
      <c r="I155" s="4">
        <v>3.6403E-3</v>
      </c>
      <c r="J155" s="4">
        <v>0.27328424800000001</v>
      </c>
      <c r="K155" s="30">
        <v>14.70479473</v>
      </c>
    </row>
    <row r="156" spans="1:11">
      <c r="A156" s="29" t="s">
        <v>530</v>
      </c>
      <c r="B156" s="4">
        <v>0.497636364</v>
      </c>
      <c r="C156" s="4">
        <v>0.205375</v>
      </c>
      <c r="D156" s="4">
        <v>0.26070833300000001</v>
      </c>
      <c r="E156" s="4">
        <v>0.38842622999999998</v>
      </c>
      <c r="F156" s="4">
        <v>0.40699999999999997</v>
      </c>
      <c r="G156" s="4">
        <v>0.27177311799999998</v>
      </c>
      <c r="H156" s="4">
        <v>1.23915E-2</v>
      </c>
      <c r="I156" s="4">
        <v>1.0034099999999999E-3</v>
      </c>
      <c r="J156" s="4">
        <v>0.28304439999999997</v>
      </c>
      <c r="K156" s="30">
        <v>15.755888000000001</v>
      </c>
    </row>
    <row r="157" spans="1:11">
      <c r="A157" s="29" t="s">
        <v>531</v>
      </c>
      <c r="B157" s="4">
        <v>0.49995454499999997</v>
      </c>
      <c r="C157" s="4">
        <v>0.19904166700000001</v>
      </c>
      <c r="D157" s="4">
        <v>0.22650000000000001</v>
      </c>
      <c r="E157" s="4">
        <v>0.38031147500000001</v>
      </c>
      <c r="F157" s="4">
        <v>0.39800000000000002</v>
      </c>
      <c r="G157" s="4">
        <v>0.28443777799999997</v>
      </c>
      <c r="H157" s="4">
        <v>1.5972500000000001E-2</v>
      </c>
      <c r="I157" s="4">
        <v>2.6010999999999999E-3</v>
      </c>
      <c r="J157" s="4">
        <v>0.28980142800000003</v>
      </c>
      <c r="K157" s="30">
        <v>14.291114459999999</v>
      </c>
    </row>
    <row r="158" spans="1:11">
      <c r="A158" s="29" t="s">
        <v>532</v>
      </c>
      <c r="B158" s="4">
        <v>0.49954545500000003</v>
      </c>
      <c r="C158" s="4">
        <v>0.19566666699999999</v>
      </c>
      <c r="D158" s="4">
        <v>0.24012500000000001</v>
      </c>
      <c r="E158" s="4">
        <v>0.34462295100000001</v>
      </c>
      <c r="F158" s="4">
        <v>0.35499999999999998</v>
      </c>
      <c r="G158" s="4">
        <v>0.23974111100000001</v>
      </c>
      <c r="H158" s="4">
        <v>9.7249999999999993E-3</v>
      </c>
      <c r="I158" s="4">
        <v>1.2352000000000001E-3</v>
      </c>
      <c r="J158" s="4">
        <v>0.292804552</v>
      </c>
      <c r="K158" s="30">
        <v>13.94800759</v>
      </c>
    </row>
    <row r="159" spans="1:11">
      <c r="A159" s="29" t="s">
        <v>533</v>
      </c>
      <c r="B159" s="4">
        <v>0.49977272700000003</v>
      </c>
      <c r="C159" s="4">
        <v>0.19520833300000001</v>
      </c>
      <c r="D159" s="4">
        <v>0.23958333300000001</v>
      </c>
      <c r="E159" s="4">
        <v>0.35129508199999998</v>
      </c>
      <c r="F159" s="4">
        <v>0.36299999999999999</v>
      </c>
      <c r="G159" s="4">
        <v>0.248141111</v>
      </c>
      <c r="H159" s="4">
        <v>1.0432500000000001E-2</v>
      </c>
      <c r="I159" s="4">
        <v>1.6565E-3</v>
      </c>
      <c r="J159" s="4">
        <v>0.29430611299999998</v>
      </c>
      <c r="K159" s="30">
        <v>14.03735051</v>
      </c>
    </row>
    <row r="160" spans="1:11">
      <c r="A160" s="29" t="s">
        <v>534</v>
      </c>
      <c r="B160" s="4">
        <v>0.498136364</v>
      </c>
      <c r="C160" s="4">
        <v>0.20345833299999999</v>
      </c>
      <c r="D160" s="4">
        <v>0.25474999999999998</v>
      </c>
      <c r="E160" s="4">
        <v>0.402868852</v>
      </c>
      <c r="F160" s="4">
        <v>0.42799999999999999</v>
      </c>
      <c r="G160" s="4">
        <v>0.29447957000000002</v>
      </c>
      <c r="H160" s="4">
        <v>1.7957500000000001E-2</v>
      </c>
      <c r="I160" s="4">
        <v>2.3024E-3</v>
      </c>
      <c r="J160" s="4">
        <v>0.29881079900000002</v>
      </c>
      <c r="K160" s="30">
        <v>13.990051319999999</v>
      </c>
    </row>
    <row r="161" spans="1:11">
      <c r="A161" s="29" t="s">
        <v>535</v>
      </c>
      <c r="B161" s="4">
        <v>0.50190909100000003</v>
      </c>
      <c r="C161" s="4">
        <v>0.19066666700000001</v>
      </c>
      <c r="D161" s="4">
        <v>0.19700000000000001</v>
      </c>
      <c r="E161" s="4">
        <v>0.36768852499999999</v>
      </c>
      <c r="F161" s="4">
        <v>0.38900000000000001</v>
      </c>
      <c r="G161" s="4">
        <v>0.28788888899999998</v>
      </c>
      <c r="H161" s="4">
        <v>2.3644999999999999E-2</v>
      </c>
      <c r="I161" s="4">
        <v>6.4859000000000002E-3</v>
      </c>
      <c r="J161" s="4">
        <v>0.30185619699999999</v>
      </c>
      <c r="K161" s="30">
        <v>10.644842669999999</v>
      </c>
    </row>
    <row r="162" spans="1:11">
      <c r="A162" s="29" t="s">
        <v>536</v>
      </c>
      <c r="B162" s="4">
        <v>0.50218181799999995</v>
      </c>
      <c r="C162" s="4">
        <v>0.189041667</v>
      </c>
      <c r="D162" s="4">
        <v>0.18975</v>
      </c>
      <c r="E162" s="4">
        <v>0.38881967200000001</v>
      </c>
      <c r="F162" s="4">
        <v>0.41599999999999998</v>
      </c>
      <c r="G162" s="4">
        <v>0.31662222200000001</v>
      </c>
      <c r="H162" s="4">
        <v>2.7144999999999999E-2</v>
      </c>
      <c r="I162" s="4">
        <v>5.5170999999999996E-3</v>
      </c>
      <c r="J162" s="4">
        <v>0.312072868</v>
      </c>
      <c r="K162" s="30">
        <v>10.49623654</v>
      </c>
    </row>
    <row r="163" spans="1:11">
      <c r="A163" s="29" t="s">
        <v>537</v>
      </c>
      <c r="B163" s="4">
        <v>0.49927272700000003</v>
      </c>
      <c r="C163" s="4">
        <v>0.20075000000000001</v>
      </c>
      <c r="D163" s="4">
        <v>0.241166667</v>
      </c>
      <c r="E163" s="4">
        <v>0.33490163899999997</v>
      </c>
      <c r="F163" s="4">
        <v>0.34599999999999997</v>
      </c>
      <c r="G163" s="4">
        <v>0.23101777800000001</v>
      </c>
      <c r="H163" s="4">
        <v>1.13495E-2</v>
      </c>
      <c r="I163" s="4">
        <v>8.5386999999999995E-4</v>
      </c>
      <c r="J163" s="4">
        <v>0.33184515799999997</v>
      </c>
      <c r="K163" s="30">
        <v>15.34521084</v>
      </c>
    </row>
    <row r="164" spans="1:11">
      <c r="A164" s="29" t="s">
        <v>538</v>
      </c>
      <c r="B164" s="4">
        <v>0.49945454500000003</v>
      </c>
      <c r="C164" s="4">
        <v>0.201625</v>
      </c>
      <c r="D164" s="4">
        <v>0.23549999999999999</v>
      </c>
      <c r="E164" s="4">
        <v>0.35339344299999997</v>
      </c>
      <c r="F164" s="4">
        <v>0.36399999999999999</v>
      </c>
      <c r="G164" s="4">
        <v>0.24757111100000001</v>
      </c>
      <c r="H164" s="4">
        <v>9.3015000000000007E-3</v>
      </c>
      <c r="I164" s="4">
        <v>7.8665899999999999E-4</v>
      </c>
      <c r="J164" s="4">
        <v>0.34911311900000003</v>
      </c>
      <c r="K164" s="30">
        <v>14.95930946</v>
      </c>
    </row>
    <row r="165" spans="1:11">
      <c r="A165" s="29" t="s">
        <v>539</v>
      </c>
      <c r="B165" s="4">
        <v>0.502636364</v>
      </c>
      <c r="C165" s="4">
        <v>0.18808333299999999</v>
      </c>
      <c r="D165" s="4">
        <v>0.18995833300000001</v>
      </c>
      <c r="E165" s="4">
        <v>0.36978688500000001</v>
      </c>
      <c r="F165" s="4">
        <v>0.39737499999999998</v>
      </c>
      <c r="G165" s="4">
        <v>0.30070999999999998</v>
      </c>
      <c r="H165" s="4">
        <v>3.1300000000000001E-2</v>
      </c>
      <c r="I165" s="4">
        <v>6.5848E-3</v>
      </c>
      <c r="J165" s="4">
        <v>0.36501380100000003</v>
      </c>
      <c r="K165" s="30">
        <v>9.1569238199999994</v>
      </c>
    </row>
    <row r="166" spans="1:11" ht="15" thickBot="1">
      <c r="A166" s="31" t="s">
        <v>540</v>
      </c>
      <c r="B166" s="32">
        <v>0.499363636</v>
      </c>
      <c r="C166" s="32">
        <v>0.19670833300000001</v>
      </c>
      <c r="D166" s="32">
        <v>0.24412500000000001</v>
      </c>
      <c r="E166" s="32">
        <v>0.33408196699999998</v>
      </c>
      <c r="F166" s="32">
        <v>0.34100000000000003</v>
      </c>
      <c r="G166" s="32">
        <v>0.22545222200000001</v>
      </c>
      <c r="H166" s="32">
        <v>6.5075000000000003E-3</v>
      </c>
      <c r="I166" s="32">
        <v>6.3458999999999998E-4</v>
      </c>
      <c r="J166" s="32">
        <v>0.376892012</v>
      </c>
      <c r="K166" s="33">
        <v>15.885773090000001</v>
      </c>
    </row>
  </sheetData>
  <mergeCells count="6">
    <mergeCell ref="N1:O1"/>
    <mergeCell ref="H1:I1"/>
    <mergeCell ref="B1:C1"/>
    <mergeCell ref="B14:C14"/>
    <mergeCell ref="N14:O14"/>
    <mergeCell ref="H14:I14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9C85-97E1-4E91-B4C9-25D40102E898}">
  <dimension ref="A2:S73"/>
  <sheetViews>
    <sheetView zoomScale="70" zoomScaleNormal="70" workbookViewId="0">
      <selection activeCell="W75" sqref="W75"/>
    </sheetView>
  </sheetViews>
  <sheetFormatPr defaultColWidth="8.625" defaultRowHeight="14.25"/>
  <cols>
    <col min="1" max="4" width="8.625" style="4"/>
    <col min="5" max="5" width="20.375" style="4" customWidth="1"/>
    <col min="6" max="11" width="8.625" style="4"/>
    <col min="12" max="12" width="23.625" style="4" customWidth="1"/>
    <col min="13" max="16384" width="8.625" style="4"/>
  </cols>
  <sheetData>
    <row r="2" spans="1:19">
      <c r="A2" s="3" t="s">
        <v>590</v>
      </c>
      <c r="B2" s="235" t="s">
        <v>433</v>
      </c>
      <c r="C2" s="235"/>
      <c r="D2" s="235" t="s">
        <v>434</v>
      </c>
      <c r="E2" s="235"/>
    </row>
    <row r="3" spans="1:19">
      <c r="A3" s="1" t="s">
        <v>584</v>
      </c>
      <c r="B3" s="2">
        <v>-0.67300000000000004</v>
      </c>
      <c r="C3" s="2"/>
      <c r="D3" s="2">
        <v>0.42520000000000002</v>
      </c>
      <c r="E3" s="2"/>
    </row>
    <row r="4" spans="1:19">
      <c r="A4" s="1" t="s">
        <v>585</v>
      </c>
      <c r="B4" s="2">
        <v>0.20549999999999999</v>
      </c>
      <c r="C4" s="2"/>
      <c r="D4" s="2">
        <v>-5.0290000000000001E-2</v>
      </c>
      <c r="E4" s="2"/>
    </row>
    <row r="5" spans="1:19">
      <c r="A5" s="1" t="s">
        <v>586</v>
      </c>
      <c r="B5" s="2">
        <v>0.52180000000000004</v>
      </c>
      <c r="C5" s="2"/>
      <c r="D5" s="2">
        <v>0.5111</v>
      </c>
      <c r="E5" s="2"/>
    </row>
    <row r="6" spans="1:19">
      <c r="A6" s="1" t="s">
        <v>587</v>
      </c>
      <c r="B6" s="2">
        <v>0.47549999999999998</v>
      </c>
      <c r="C6" s="2"/>
      <c r="D6" s="2">
        <v>0.48670000000000002</v>
      </c>
      <c r="E6" s="2"/>
    </row>
    <row r="7" spans="1:19">
      <c r="A7" s="1" t="s">
        <v>588</v>
      </c>
      <c r="B7" s="2">
        <v>0.27929999999999999</v>
      </c>
      <c r="C7" s="2"/>
      <c r="D7" s="2">
        <v>-0.40479999999999999</v>
      </c>
      <c r="E7" s="2"/>
    </row>
    <row r="8" spans="1:19">
      <c r="A8" s="1" t="s">
        <v>589</v>
      </c>
      <c r="B8" s="2">
        <v>0.35370000000000001</v>
      </c>
      <c r="C8" s="2"/>
      <c r="D8" s="2">
        <v>0.82399999999999995</v>
      </c>
      <c r="E8" s="2"/>
    </row>
    <row r="11" spans="1:19" ht="15" thickBot="1"/>
    <row r="12" spans="1:19">
      <c r="A12" s="16" t="s">
        <v>710</v>
      </c>
      <c r="B12" s="34"/>
      <c r="C12" s="34"/>
      <c r="D12" s="34"/>
      <c r="E12" s="35"/>
      <c r="H12" s="16" t="s">
        <v>711</v>
      </c>
      <c r="I12" s="34"/>
      <c r="J12" s="34"/>
      <c r="K12" s="34"/>
      <c r="L12" s="35"/>
      <c r="O12" s="16" t="s">
        <v>712</v>
      </c>
      <c r="P12" s="34"/>
      <c r="Q12" s="34"/>
      <c r="R12" s="34"/>
      <c r="S12" s="35"/>
    </row>
    <row r="13" spans="1:19">
      <c r="A13" s="29" t="s">
        <v>591</v>
      </c>
      <c r="B13" s="4" t="s">
        <v>592</v>
      </c>
      <c r="C13" s="4" t="s">
        <v>593</v>
      </c>
      <c r="D13" s="4" t="s">
        <v>433</v>
      </c>
      <c r="E13" s="30" t="s">
        <v>434</v>
      </c>
      <c r="H13" s="29" t="s">
        <v>591</v>
      </c>
      <c r="I13" s="4" t="s">
        <v>592</v>
      </c>
      <c r="J13" s="4" t="s">
        <v>593</v>
      </c>
      <c r="K13" s="4" t="s">
        <v>433</v>
      </c>
      <c r="L13" s="30" t="s">
        <v>434</v>
      </c>
      <c r="O13" s="29" t="s">
        <v>591</v>
      </c>
      <c r="P13" s="4" t="s">
        <v>592</v>
      </c>
      <c r="Q13" s="4" t="s">
        <v>593</v>
      </c>
      <c r="R13" s="4" t="s">
        <v>433</v>
      </c>
      <c r="S13" s="30" t="s">
        <v>434</v>
      </c>
    </row>
    <row r="14" spans="1:19">
      <c r="A14" s="29" t="s">
        <v>594</v>
      </c>
      <c r="B14" s="4">
        <v>13.098996</v>
      </c>
      <c r="C14" s="4">
        <v>0.14285714299999999</v>
      </c>
      <c r="D14" s="4">
        <v>0.25121254500000001</v>
      </c>
      <c r="E14" s="30">
        <v>13.46</v>
      </c>
      <c r="H14" s="29" t="s">
        <v>601</v>
      </c>
      <c r="I14" s="4">
        <v>13.120066</v>
      </c>
      <c r="J14" s="4">
        <v>0.66666666699999999</v>
      </c>
      <c r="K14" s="4">
        <v>1.7773333330000001</v>
      </c>
      <c r="L14" s="30">
        <v>11.78333333</v>
      </c>
      <c r="O14" s="29" t="s">
        <v>622</v>
      </c>
      <c r="P14" s="4">
        <v>14.205204999999999</v>
      </c>
      <c r="Q14" s="4">
        <v>1</v>
      </c>
      <c r="R14" s="4">
        <v>0.18866666700000001</v>
      </c>
      <c r="S14" s="30">
        <v>5.9473333330000004</v>
      </c>
    </row>
    <row r="15" spans="1:19">
      <c r="A15" s="29" t="s">
        <v>595</v>
      </c>
      <c r="B15" s="4">
        <v>13.121616</v>
      </c>
      <c r="C15" s="4">
        <v>0.428571429</v>
      </c>
      <c r="D15" s="4">
        <v>0.27367026900000002</v>
      </c>
      <c r="E15" s="30">
        <v>14.11235976</v>
      </c>
      <c r="H15" s="29" t="s">
        <v>602</v>
      </c>
      <c r="I15" s="4">
        <v>13.628871999999999</v>
      </c>
      <c r="J15" s="4">
        <v>0.71428571399999996</v>
      </c>
      <c r="K15" s="4">
        <v>1.534333333</v>
      </c>
      <c r="L15" s="30">
        <v>13.527333329999999</v>
      </c>
      <c r="O15" s="29" t="s">
        <v>623</v>
      </c>
      <c r="P15" s="4">
        <v>13.006785000000001</v>
      </c>
      <c r="Q15" s="4">
        <v>0.909090909</v>
      </c>
      <c r="R15" s="4">
        <v>7.2333333E-2</v>
      </c>
      <c r="S15" s="30">
        <v>6.3109999999999999</v>
      </c>
    </row>
    <row r="16" spans="1:19">
      <c r="A16" s="29" t="s">
        <v>596</v>
      </c>
      <c r="B16" s="4">
        <v>13.313808999999999</v>
      </c>
      <c r="C16" s="4">
        <v>0.571428571</v>
      </c>
      <c r="D16" s="4">
        <v>0.183409344</v>
      </c>
      <c r="E16" s="30">
        <v>14.41608136</v>
      </c>
      <c r="H16" s="29" t="s">
        <v>603</v>
      </c>
      <c r="I16" s="4">
        <v>14.285995</v>
      </c>
      <c r="J16" s="4">
        <v>0.85714285700000004</v>
      </c>
      <c r="K16" s="4">
        <v>1.070333333</v>
      </c>
      <c r="L16" s="30">
        <v>15.356999999999999</v>
      </c>
      <c r="O16" s="29" t="s">
        <v>624</v>
      </c>
      <c r="P16" s="4">
        <v>11.717642</v>
      </c>
      <c r="Q16" s="4">
        <v>0.81818181800000001</v>
      </c>
      <c r="R16" s="4">
        <v>0.12166666700000001</v>
      </c>
      <c r="S16" s="30">
        <v>6.9130000000000003</v>
      </c>
    </row>
    <row r="17" spans="1:19">
      <c r="A17" s="29" t="s">
        <v>597</v>
      </c>
      <c r="B17" s="4">
        <v>13.709377999999999</v>
      </c>
      <c r="C17" s="4">
        <v>0.71428571399999996</v>
      </c>
      <c r="D17" s="4">
        <v>9.4832525000000001E-2</v>
      </c>
      <c r="E17" s="30">
        <v>13.46</v>
      </c>
      <c r="H17" s="29" t="s">
        <v>604</v>
      </c>
      <c r="I17" s="4">
        <v>14.144920000000001</v>
      </c>
      <c r="J17" s="4">
        <v>0.80952380999999995</v>
      </c>
      <c r="K17" s="4">
        <v>0.43866666700000001</v>
      </c>
      <c r="L17" s="30">
        <v>12.932333330000001</v>
      </c>
      <c r="O17" s="29" t="s">
        <v>625</v>
      </c>
      <c r="P17" s="4">
        <v>4.5719542999999998</v>
      </c>
      <c r="Q17" s="4">
        <v>9.0909090999999997E-2</v>
      </c>
      <c r="R17" s="4">
        <v>6.9333332999999997E-2</v>
      </c>
      <c r="S17" s="30">
        <v>8.0660000000000007</v>
      </c>
    </row>
    <row r="18" spans="1:19">
      <c r="A18" s="29" t="s">
        <v>598</v>
      </c>
      <c r="B18" s="4">
        <v>13.983620999999999</v>
      </c>
      <c r="C18" s="4">
        <v>1</v>
      </c>
      <c r="D18" s="4">
        <v>0.112719212</v>
      </c>
      <c r="E18" s="30">
        <v>15.57321786</v>
      </c>
      <c r="H18" s="29" t="s">
        <v>605</v>
      </c>
      <c r="I18" s="4">
        <v>14.767714</v>
      </c>
      <c r="J18" s="4">
        <v>1</v>
      </c>
      <c r="K18" s="4">
        <v>0.35099999999999998</v>
      </c>
      <c r="L18" s="30">
        <v>13.41333333</v>
      </c>
      <c r="O18" s="29" t="s">
        <v>626</v>
      </c>
      <c r="P18" s="4">
        <v>7.8168800000000003</v>
      </c>
      <c r="Q18" s="4">
        <v>0.45454545499999999</v>
      </c>
      <c r="R18" s="4">
        <v>0.12</v>
      </c>
      <c r="S18" s="30">
        <v>8.93</v>
      </c>
    </row>
    <row r="19" spans="1:19">
      <c r="A19" s="29" t="s">
        <v>599</v>
      </c>
      <c r="B19" s="4">
        <v>13.916577999999999</v>
      </c>
      <c r="C19" s="4">
        <v>0.85714285700000004</v>
      </c>
      <c r="D19" s="4">
        <v>9.9778960999999999E-2</v>
      </c>
      <c r="E19" s="30">
        <v>14.057818210000001</v>
      </c>
      <c r="H19" s="29" t="s">
        <v>606</v>
      </c>
      <c r="I19" s="4">
        <v>14.649134999999999</v>
      </c>
      <c r="J19" s="4">
        <v>0.95238095199999995</v>
      </c>
      <c r="K19" s="4">
        <v>0.18099999999999999</v>
      </c>
      <c r="L19" s="30">
        <v>11.99333333</v>
      </c>
      <c r="O19" s="29" t="s">
        <v>627</v>
      </c>
      <c r="P19" s="4">
        <v>7.4989834000000002</v>
      </c>
      <c r="Q19" s="4">
        <v>0.27272727299999999</v>
      </c>
      <c r="R19" s="4">
        <v>8.9333333000000001E-2</v>
      </c>
      <c r="S19" s="30">
        <v>12.298</v>
      </c>
    </row>
    <row r="20" spans="1:19" ht="15" thickBot="1">
      <c r="A20" s="31" t="s">
        <v>600</v>
      </c>
      <c r="B20" s="32">
        <v>13.113556000000001</v>
      </c>
      <c r="C20" s="32">
        <v>0.28571428599999998</v>
      </c>
      <c r="D20" s="32">
        <v>9.9672017000000002E-2</v>
      </c>
      <c r="E20" s="33">
        <v>14.25138726</v>
      </c>
      <c r="H20" s="29" t="s">
        <v>607</v>
      </c>
      <c r="I20" s="4">
        <v>14.341048000000001</v>
      </c>
      <c r="J20" s="4">
        <v>0.90476190499999998</v>
      </c>
      <c r="K20" s="4">
        <v>0.17499999999999999</v>
      </c>
      <c r="L20" s="30">
        <v>12.220333330000001</v>
      </c>
      <c r="O20" s="29" t="s">
        <v>628</v>
      </c>
      <c r="P20" s="4">
        <v>8.4427339999999997</v>
      </c>
      <c r="Q20" s="4">
        <v>0.63636363600000001</v>
      </c>
      <c r="R20" s="4">
        <v>0.106333333</v>
      </c>
      <c r="S20" s="30">
        <v>12.31666667</v>
      </c>
    </row>
    <row r="21" spans="1:19">
      <c r="H21" s="29" t="s">
        <v>608</v>
      </c>
      <c r="I21" s="4">
        <v>13.747191000000001</v>
      </c>
      <c r="J21" s="4">
        <v>0.76190476200000001</v>
      </c>
      <c r="K21" s="4">
        <v>0.14233333300000001</v>
      </c>
      <c r="L21" s="30">
        <v>11.84166667</v>
      </c>
      <c r="O21" s="29" t="s">
        <v>629</v>
      </c>
      <c r="P21" s="4">
        <v>7.7815447000000004</v>
      </c>
      <c r="Q21" s="4">
        <v>0.36363636399999999</v>
      </c>
      <c r="R21" s="4">
        <v>0.09</v>
      </c>
      <c r="S21" s="30">
        <v>13.46</v>
      </c>
    </row>
    <row r="22" spans="1:19">
      <c r="H22" s="29" t="s">
        <v>609</v>
      </c>
      <c r="I22" s="4">
        <v>12.320603</v>
      </c>
      <c r="J22" s="4">
        <v>0.61904761900000005</v>
      </c>
      <c r="K22" s="4">
        <v>9.5000000000000001E-2</v>
      </c>
      <c r="L22" s="30">
        <v>13.46</v>
      </c>
      <c r="O22" s="29" t="s">
        <v>630</v>
      </c>
      <c r="P22" s="4">
        <v>5.6825633</v>
      </c>
      <c r="Q22" s="4">
        <v>0.18181818199999999</v>
      </c>
      <c r="R22" s="4">
        <v>0.19133333299999999</v>
      </c>
      <c r="S22" s="30">
        <v>7.2469999999999999</v>
      </c>
    </row>
    <row r="23" spans="1:19">
      <c r="H23" s="29" t="s">
        <v>610</v>
      </c>
      <c r="I23" s="4">
        <v>8.9745469999999994</v>
      </c>
      <c r="J23" s="4">
        <v>0.571428571</v>
      </c>
      <c r="K23" s="4">
        <v>0.103666667</v>
      </c>
      <c r="L23" s="30">
        <v>11.95166667</v>
      </c>
      <c r="O23" s="29" t="s">
        <v>631</v>
      </c>
      <c r="P23" s="4">
        <v>8.0760079999999999</v>
      </c>
      <c r="Q23" s="4">
        <v>0.54545454500000001</v>
      </c>
      <c r="R23" s="4">
        <v>0.103666667</v>
      </c>
      <c r="S23" s="30">
        <v>5.3133333330000001</v>
      </c>
    </row>
    <row r="24" spans="1:19" ht="15" thickBot="1">
      <c r="H24" s="29" t="s">
        <v>611</v>
      </c>
      <c r="I24" s="4">
        <v>4.7631920000000001</v>
      </c>
      <c r="J24" s="4">
        <v>0.52380952400000003</v>
      </c>
      <c r="K24" s="4">
        <v>0.16750000000000001</v>
      </c>
      <c r="L24" s="30">
        <v>11.077500000000001</v>
      </c>
      <c r="O24" s="31" t="s">
        <v>632</v>
      </c>
      <c r="P24" s="32">
        <v>10.718026</v>
      </c>
      <c r="Q24" s="32">
        <v>0.72727272700000001</v>
      </c>
      <c r="R24" s="32">
        <v>0.22466666699999999</v>
      </c>
      <c r="S24" s="33">
        <v>6.4829999999999997</v>
      </c>
    </row>
    <row r="25" spans="1:19">
      <c r="H25" s="29" t="s">
        <v>612</v>
      </c>
      <c r="I25" s="4">
        <v>4.6126310000000004</v>
      </c>
      <c r="J25" s="4">
        <v>0.47619047599999997</v>
      </c>
      <c r="K25" s="4">
        <v>0.14000000000000001</v>
      </c>
      <c r="L25" s="30">
        <v>12.59633333</v>
      </c>
    </row>
    <row r="26" spans="1:19">
      <c r="H26" s="29" t="s">
        <v>613</v>
      </c>
      <c r="I26" s="4">
        <v>3.7703427999999999</v>
      </c>
      <c r="J26" s="4">
        <v>0.38095238100000001</v>
      </c>
      <c r="K26" s="4">
        <v>0.121</v>
      </c>
      <c r="L26" s="30">
        <v>15.31233333</v>
      </c>
    </row>
    <row r="27" spans="1:19">
      <c r="H27" s="29" t="s">
        <v>614</v>
      </c>
      <c r="I27" s="4">
        <v>3.6595181999999999</v>
      </c>
      <c r="J27" s="4">
        <v>0.28571428599999998</v>
      </c>
      <c r="K27" s="4">
        <v>0.112</v>
      </c>
      <c r="L27" s="30">
        <v>11.815666670000001</v>
      </c>
    </row>
    <row r="28" spans="1:19">
      <c r="H28" s="29" t="s">
        <v>615</v>
      </c>
      <c r="I28" s="4">
        <v>3.6183982000000001</v>
      </c>
      <c r="J28" s="4">
        <v>0.23809523799999999</v>
      </c>
      <c r="K28" s="4">
        <v>8.5333332999999997E-2</v>
      </c>
      <c r="L28" s="30">
        <v>12.37633333</v>
      </c>
    </row>
    <row r="29" spans="1:19">
      <c r="H29" s="29" t="s">
        <v>616</v>
      </c>
      <c r="I29" s="4">
        <v>3.2938499999999999</v>
      </c>
      <c r="J29" s="4">
        <v>4.7619047999999997E-2</v>
      </c>
      <c r="K29" s="4">
        <v>7.9000000000000001E-2</v>
      </c>
      <c r="L29" s="30">
        <v>12.57</v>
      </c>
    </row>
    <row r="30" spans="1:19">
      <c r="H30" s="29" t="s">
        <v>617</v>
      </c>
      <c r="I30" s="4">
        <v>4.2257179999999996</v>
      </c>
      <c r="J30" s="4">
        <v>0.428571429</v>
      </c>
      <c r="K30" s="4">
        <v>8.3000000000000004E-2</v>
      </c>
      <c r="L30" s="30">
        <v>9.9366666670000008</v>
      </c>
    </row>
    <row r="31" spans="1:19">
      <c r="H31" s="29" t="s">
        <v>618</v>
      </c>
      <c r="I31" s="4">
        <v>3.3324441999999999</v>
      </c>
      <c r="J31" s="4">
        <v>9.5238094999999995E-2</v>
      </c>
      <c r="K31" s="4">
        <v>8.1000000000000003E-2</v>
      </c>
      <c r="L31" s="30">
        <v>7.9963333329999999</v>
      </c>
    </row>
    <row r="32" spans="1:19">
      <c r="H32" s="29" t="s">
        <v>619</v>
      </c>
      <c r="I32" s="4">
        <v>3.6047606000000001</v>
      </c>
      <c r="J32" s="4">
        <v>0.19047618999999999</v>
      </c>
      <c r="K32" s="4">
        <v>7.6333333000000003E-2</v>
      </c>
      <c r="L32" s="30">
        <v>6.1326666669999996</v>
      </c>
    </row>
    <row r="33" spans="1:19">
      <c r="H33" s="29" t="s">
        <v>620</v>
      </c>
      <c r="I33" s="4">
        <v>3.4785770999999999</v>
      </c>
      <c r="J33" s="4">
        <v>0.14285714299999999</v>
      </c>
      <c r="K33" s="4">
        <v>7.6999999999999999E-2</v>
      </c>
      <c r="L33" s="30">
        <v>6.0926666669999996</v>
      </c>
    </row>
    <row r="34" spans="1:19" ht="15" thickBot="1">
      <c r="H34" s="31" t="s">
        <v>621</v>
      </c>
      <c r="I34" s="32">
        <v>3.7506255999999998</v>
      </c>
      <c r="J34" s="32">
        <v>0.33333333300000001</v>
      </c>
      <c r="K34" s="32">
        <v>8.1666666999999998E-2</v>
      </c>
      <c r="L34" s="33">
        <v>4.5033333329999996</v>
      </c>
    </row>
    <row r="41" spans="1:19" ht="15" thickBot="1"/>
    <row r="42" spans="1:19">
      <c r="A42" s="16" t="s">
        <v>714</v>
      </c>
      <c r="B42" s="34"/>
      <c r="C42" s="34"/>
      <c r="D42" s="34"/>
      <c r="E42" s="35"/>
      <c r="H42" s="16" t="s">
        <v>715</v>
      </c>
      <c r="I42" s="34"/>
      <c r="J42" s="34"/>
      <c r="K42" s="34"/>
      <c r="L42" s="35"/>
      <c r="O42" s="16" t="s">
        <v>716</v>
      </c>
      <c r="P42" s="34"/>
      <c r="Q42" s="34"/>
      <c r="R42" s="34"/>
      <c r="S42" s="35"/>
    </row>
    <row r="43" spans="1:19">
      <c r="A43" s="29" t="s">
        <v>591</v>
      </c>
      <c r="B43" s="4" t="s">
        <v>592</v>
      </c>
      <c r="C43" s="4" t="s">
        <v>593</v>
      </c>
      <c r="D43" s="4" t="s">
        <v>433</v>
      </c>
      <c r="E43" s="30" t="s">
        <v>434</v>
      </c>
      <c r="H43" s="29" t="s">
        <v>591</v>
      </c>
      <c r="I43" s="4" t="s">
        <v>592</v>
      </c>
      <c r="J43" s="4" t="s">
        <v>593</v>
      </c>
      <c r="K43" s="4" t="s">
        <v>433</v>
      </c>
      <c r="L43" s="30" t="s">
        <v>434</v>
      </c>
      <c r="O43" s="29" t="s">
        <v>591</v>
      </c>
      <c r="P43" s="4" t="s">
        <v>592</v>
      </c>
      <c r="Q43" s="4" t="s">
        <v>593</v>
      </c>
      <c r="R43" s="4" t="s">
        <v>433</v>
      </c>
      <c r="S43" s="30" t="s">
        <v>434</v>
      </c>
    </row>
    <row r="44" spans="1:19">
      <c r="A44" s="29" t="s">
        <v>600</v>
      </c>
      <c r="B44" s="4">
        <v>13.113555</v>
      </c>
      <c r="C44" s="4">
        <v>0.115384615</v>
      </c>
      <c r="D44" s="4">
        <v>9.9672017000000002E-2</v>
      </c>
      <c r="E44" s="30">
        <v>14.25138726</v>
      </c>
      <c r="H44" s="29" t="s">
        <v>609</v>
      </c>
      <c r="I44" s="4">
        <v>12.320603</v>
      </c>
      <c r="J44" s="4">
        <v>0.43333333299999999</v>
      </c>
      <c r="K44" s="4">
        <v>9.4832525000000001E-2</v>
      </c>
      <c r="L44" s="30">
        <v>13.46</v>
      </c>
      <c r="O44" s="29" t="s">
        <v>633</v>
      </c>
      <c r="P44" s="4">
        <v>3.6492657999999998</v>
      </c>
      <c r="Q44" s="4">
        <v>3.4482759000000002E-2</v>
      </c>
      <c r="R44" s="4">
        <v>8.2880371999999994E-2</v>
      </c>
      <c r="S44" s="30">
        <v>6.626636607</v>
      </c>
    </row>
    <row r="45" spans="1:19">
      <c r="A45" s="29" t="s">
        <v>599</v>
      </c>
      <c r="B45" s="4">
        <v>13.916577</v>
      </c>
      <c r="C45" s="4">
        <v>0.69230769199999997</v>
      </c>
      <c r="D45" s="4">
        <v>9.9778960999999999E-2</v>
      </c>
      <c r="E45" s="30">
        <v>14.057818210000001</v>
      </c>
      <c r="H45" s="29" t="s">
        <v>661</v>
      </c>
      <c r="I45" s="4">
        <v>12.422345</v>
      </c>
      <c r="J45" s="4">
        <v>0.46666666699999998</v>
      </c>
      <c r="K45" s="4">
        <v>9.7652568999999995E-2</v>
      </c>
      <c r="L45" s="30">
        <v>14.467456370000001</v>
      </c>
      <c r="O45" s="29" t="s">
        <v>634</v>
      </c>
      <c r="P45" s="4">
        <v>3.7778849999999999</v>
      </c>
      <c r="Q45" s="4">
        <v>6.8965517000000004E-2</v>
      </c>
      <c r="R45" s="4">
        <v>8.9613216999999995E-2</v>
      </c>
      <c r="S45" s="30">
        <v>9.0267535579999993</v>
      </c>
    </row>
    <row r="46" spans="1:19">
      <c r="A46" s="29" t="s">
        <v>690</v>
      </c>
      <c r="B46" s="4">
        <v>12.937075999999999</v>
      </c>
      <c r="C46" s="4">
        <v>3.8461538000000003E-2</v>
      </c>
      <c r="D46" s="4">
        <v>0.110983818</v>
      </c>
      <c r="E46" s="30">
        <v>9.2274418180000009</v>
      </c>
      <c r="H46" s="29" t="s">
        <v>662</v>
      </c>
      <c r="I46" s="4">
        <v>9.5310755</v>
      </c>
      <c r="J46" s="4">
        <v>0.1</v>
      </c>
      <c r="K46" s="4">
        <v>0.10304814499999999</v>
      </c>
      <c r="L46" s="30">
        <v>9.2540518049999996</v>
      </c>
      <c r="O46" s="29" t="s">
        <v>629</v>
      </c>
      <c r="P46" s="4">
        <v>7.7815447000000004</v>
      </c>
      <c r="Q46" s="4">
        <v>0.58620689699999995</v>
      </c>
      <c r="R46" s="4">
        <v>9.4832525000000001E-2</v>
      </c>
      <c r="S46" s="30">
        <v>13.46</v>
      </c>
    </row>
    <row r="47" spans="1:19">
      <c r="A47" s="29" t="s">
        <v>598</v>
      </c>
      <c r="B47" s="4">
        <v>13.983620999999999</v>
      </c>
      <c r="C47" s="4">
        <v>0.80769230800000003</v>
      </c>
      <c r="D47" s="4">
        <v>0.112719212</v>
      </c>
      <c r="E47" s="30">
        <v>15.57321786</v>
      </c>
      <c r="H47" s="29" t="s">
        <v>663</v>
      </c>
      <c r="I47" s="4">
        <v>10.732469999999999</v>
      </c>
      <c r="J47" s="4">
        <v>0.233333333</v>
      </c>
      <c r="K47" s="4">
        <v>0.12593204599999999</v>
      </c>
      <c r="L47" s="30">
        <v>12.977628709999999</v>
      </c>
      <c r="O47" s="29" t="s">
        <v>635</v>
      </c>
      <c r="P47" s="4">
        <v>4.0343850000000003</v>
      </c>
      <c r="Q47" s="4">
        <v>0.13793103400000001</v>
      </c>
      <c r="R47" s="4">
        <v>0.100708187</v>
      </c>
      <c r="S47" s="30">
        <v>7.7408750179999997</v>
      </c>
    </row>
    <row r="48" spans="1:19">
      <c r="A48" s="29" t="s">
        <v>691</v>
      </c>
      <c r="B48" s="4">
        <v>13.568066</v>
      </c>
      <c r="C48" s="4">
        <v>0.46153846199999998</v>
      </c>
      <c r="D48" s="4">
        <v>0.12580112399999999</v>
      </c>
      <c r="E48" s="30">
        <v>7.4112226879999996</v>
      </c>
      <c r="H48" s="29" t="s">
        <v>664</v>
      </c>
      <c r="I48" s="4">
        <v>12.502995500000001</v>
      </c>
      <c r="J48" s="4">
        <v>0.5</v>
      </c>
      <c r="K48" s="4">
        <v>0.14242840700000001</v>
      </c>
      <c r="L48" s="30">
        <v>13.09693276</v>
      </c>
      <c r="O48" s="29" t="s">
        <v>636</v>
      </c>
      <c r="P48" s="4">
        <v>3.7902756000000002</v>
      </c>
      <c r="Q48" s="4">
        <v>0.10344827600000001</v>
      </c>
      <c r="R48" s="4">
        <v>0.13272384800000001</v>
      </c>
      <c r="S48" s="30">
        <v>9.4782845709999997</v>
      </c>
    </row>
    <row r="49" spans="1:19">
      <c r="A49" s="29" t="s">
        <v>692</v>
      </c>
      <c r="B49" s="4">
        <v>13.953730999999999</v>
      </c>
      <c r="C49" s="4">
        <v>0.73076923100000002</v>
      </c>
      <c r="D49" s="4">
        <v>0.169596</v>
      </c>
      <c r="E49" s="30">
        <v>12.97788727</v>
      </c>
      <c r="H49" s="29" t="s">
        <v>665</v>
      </c>
      <c r="I49" s="4">
        <v>10.008349000000001</v>
      </c>
      <c r="J49" s="4">
        <v>0.16666666699999999</v>
      </c>
      <c r="K49" s="4">
        <v>0.146527248</v>
      </c>
      <c r="L49" s="30">
        <v>11.221778759999999</v>
      </c>
      <c r="O49" s="29" t="s">
        <v>637</v>
      </c>
      <c r="P49" s="4">
        <v>4.1101989999999997</v>
      </c>
      <c r="Q49" s="4">
        <v>0.17241379300000001</v>
      </c>
      <c r="R49" s="4">
        <v>0.140711427</v>
      </c>
      <c r="S49" s="30">
        <v>7.7126580179999999</v>
      </c>
    </row>
    <row r="50" spans="1:19">
      <c r="A50" s="29" t="s">
        <v>693</v>
      </c>
      <c r="B50" s="4">
        <v>14.357677000000001</v>
      </c>
      <c r="C50" s="4">
        <v>0.96153846200000004</v>
      </c>
      <c r="D50" s="4">
        <v>0.17237634900000001</v>
      </c>
      <c r="E50" s="30">
        <v>9.923643985</v>
      </c>
      <c r="H50" s="29" t="s">
        <v>666</v>
      </c>
      <c r="I50" s="4">
        <v>8.8394650000000006</v>
      </c>
      <c r="J50" s="4">
        <v>6.6666666999999999E-2</v>
      </c>
      <c r="K50" s="4">
        <v>0.14992512499999999</v>
      </c>
      <c r="L50" s="30">
        <v>14.09196392</v>
      </c>
      <c r="O50" s="29" t="s">
        <v>638</v>
      </c>
      <c r="P50" s="4">
        <v>13.051874</v>
      </c>
      <c r="Q50" s="4">
        <v>0.96551724100000003</v>
      </c>
      <c r="R50" s="4">
        <v>0.15058813600000001</v>
      </c>
      <c r="S50" s="30">
        <v>13.113874879999999</v>
      </c>
    </row>
    <row r="51" spans="1:19">
      <c r="A51" s="29" t="s">
        <v>694</v>
      </c>
      <c r="B51" s="4">
        <v>13.701622</v>
      </c>
      <c r="C51" s="4">
        <v>0.61538461499999997</v>
      </c>
      <c r="D51" s="4">
        <v>0.173336663</v>
      </c>
      <c r="E51" s="30">
        <v>9.4855007580000006</v>
      </c>
      <c r="H51" s="29" t="s">
        <v>667</v>
      </c>
      <c r="I51" s="4">
        <v>9.9874849999999995</v>
      </c>
      <c r="J51" s="4">
        <v>0.133333333</v>
      </c>
      <c r="K51" s="4">
        <v>0.15597259099999999</v>
      </c>
      <c r="L51" s="30">
        <v>3.1542197029999999</v>
      </c>
      <c r="O51" s="29" t="s">
        <v>639</v>
      </c>
      <c r="P51" s="4">
        <v>4.9990500000000004</v>
      </c>
      <c r="Q51" s="4">
        <v>0.413793103</v>
      </c>
      <c r="R51" s="4">
        <v>0.15106227999999999</v>
      </c>
      <c r="S51" s="30">
        <v>8.2026912779999996</v>
      </c>
    </row>
    <row r="52" spans="1:19">
      <c r="A52" s="29" t="s">
        <v>695</v>
      </c>
      <c r="B52" s="4">
        <v>13.599392999999999</v>
      </c>
      <c r="C52" s="4">
        <v>0.5</v>
      </c>
      <c r="D52" s="4">
        <v>0.17549736899999999</v>
      </c>
      <c r="E52" s="30">
        <v>6.4605119059999998</v>
      </c>
      <c r="H52" s="29" t="s">
        <v>668</v>
      </c>
      <c r="I52" s="4">
        <v>8.5502339999999997</v>
      </c>
      <c r="J52" s="4">
        <v>3.3333333E-2</v>
      </c>
      <c r="K52" s="4">
        <v>0.187219312</v>
      </c>
      <c r="L52" s="30">
        <v>8.5265237539999994</v>
      </c>
      <c r="O52" s="29" t="s">
        <v>640</v>
      </c>
      <c r="P52" s="4">
        <v>7.6206129999999996</v>
      </c>
      <c r="Q52" s="4">
        <v>0.517241379</v>
      </c>
      <c r="R52" s="4">
        <v>0.153338171</v>
      </c>
      <c r="S52" s="30">
        <v>10.64073975</v>
      </c>
    </row>
    <row r="53" spans="1:19">
      <c r="A53" s="29" t="s">
        <v>596</v>
      </c>
      <c r="B53" s="4">
        <v>13.31381</v>
      </c>
      <c r="C53" s="4">
        <v>0.38461538499999998</v>
      </c>
      <c r="D53" s="4">
        <v>0.183409344</v>
      </c>
      <c r="E53" s="30">
        <v>14.41608136</v>
      </c>
      <c r="H53" s="29" t="s">
        <v>669</v>
      </c>
      <c r="I53" s="4">
        <v>11.235814</v>
      </c>
      <c r="J53" s="4">
        <v>0.3</v>
      </c>
      <c r="K53" s="4">
        <v>0.21091776500000001</v>
      </c>
      <c r="L53" s="30">
        <v>16.260699240000001</v>
      </c>
      <c r="O53" s="29" t="s">
        <v>641</v>
      </c>
      <c r="P53" s="4">
        <v>12.481529999999999</v>
      </c>
      <c r="Q53" s="4">
        <v>0.86206896600000005</v>
      </c>
      <c r="R53" s="4">
        <v>0.156183035</v>
      </c>
      <c r="S53" s="30">
        <v>12.76111174</v>
      </c>
    </row>
    <row r="54" spans="1:19">
      <c r="A54" s="29" t="s">
        <v>696</v>
      </c>
      <c r="B54" s="4">
        <v>13.211086999999999</v>
      </c>
      <c r="C54" s="4">
        <v>0.26923076899999998</v>
      </c>
      <c r="D54" s="4">
        <v>0.19806474600000001</v>
      </c>
      <c r="E54" s="30">
        <v>16.997556410000001</v>
      </c>
      <c r="H54" s="29" t="s">
        <v>670</v>
      </c>
      <c r="I54" s="4">
        <v>10.256835000000001</v>
      </c>
      <c r="J54" s="4">
        <v>0.2</v>
      </c>
      <c r="K54" s="4">
        <v>0.24496917300000001</v>
      </c>
      <c r="L54" s="30">
        <v>8.3980521410000009</v>
      </c>
      <c r="O54" s="29" t="s">
        <v>642</v>
      </c>
      <c r="P54" s="4">
        <v>4.2366333000000003</v>
      </c>
      <c r="Q54" s="4">
        <v>0.20689655200000001</v>
      </c>
      <c r="R54" s="4">
        <v>0.16569583199999999</v>
      </c>
      <c r="S54" s="30">
        <v>11.18725504</v>
      </c>
    </row>
    <row r="55" spans="1:19">
      <c r="A55" s="29" t="s">
        <v>697</v>
      </c>
      <c r="B55" s="4">
        <v>13.114864000000001</v>
      </c>
      <c r="C55" s="4">
        <v>0.15384615400000001</v>
      </c>
      <c r="D55" s="4">
        <v>0.20550717900000001</v>
      </c>
      <c r="E55" s="30">
        <v>15.63150985</v>
      </c>
      <c r="H55" s="29" t="s">
        <v>671</v>
      </c>
      <c r="I55" s="4">
        <v>14.0601</v>
      </c>
      <c r="J55" s="4">
        <v>0.73333333300000003</v>
      </c>
      <c r="K55" s="4">
        <v>0.24768599299999999</v>
      </c>
      <c r="L55" s="30">
        <v>11.448715249999999</v>
      </c>
      <c r="O55" s="29" t="s">
        <v>643</v>
      </c>
      <c r="P55" s="4">
        <v>4.2514533999999999</v>
      </c>
      <c r="Q55" s="4">
        <v>0.24137931000000001</v>
      </c>
      <c r="R55" s="4">
        <v>0.172754623</v>
      </c>
      <c r="S55" s="30">
        <v>10.341128899999999</v>
      </c>
    </row>
    <row r="56" spans="1:19">
      <c r="A56" s="29" t="s">
        <v>698</v>
      </c>
      <c r="B56" s="4">
        <v>13.202223</v>
      </c>
      <c r="C56" s="4">
        <v>0.23076923099999999</v>
      </c>
      <c r="D56" s="4">
        <v>0.214625818</v>
      </c>
      <c r="E56" s="30">
        <v>14.556378179999999</v>
      </c>
      <c r="H56" s="29" t="s">
        <v>672</v>
      </c>
      <c r="I56" s="4">
        <v>13.93146</v>
      </c>
      <c r="J56" s="4">
        <v>0.7</v>
      </c>
      <c r="K56" s="4">
        <v>0.24768599299999999</v>
      </c>
      <c r="L56" s="30">
        <v>11.448715249999999</v>
      </c>
      <c r="O56" s="29" t="s">
        <v>644</v>
      </c>
      <c r="P56" s="4">
        <v>11.998027</v>
      </c>
      <c r="Q56" s="4">
        <v>0.75862068999999999</v>
      </c>
      <c r="R56" s="4">
        <v>0.178986167</v>
      </c>
      <c r="S56" s="30">
        <v>13.55685074</v>
      </c>
    </row>
    <row r="57" spans="1:19">
      <c r="A57" s="29" t="s">
        <v>699</v>
      </c>
      <c r="B57" s="4">
        <v>14.287248999999999</v>
      </c>
      <c r="C57" s="4">
        <v>0.92307692299999999</v>
      </c>
      <c r="D57" s="4">
        <v>0.23922090900000001</v>
      </c>
      <c r="E57" s="30">
        <v>10.29934727</v>
      </c>
      <c r="H57" s="29" t="s">
        <v>673</v>
      </c>
      <c r="I57" s="4">
        <v>11.607474</v>
      </c>
      <c r="J57" s="4">
        <v>0.366666667</v>
      </c>
      <c r="K57" s="4">
        <v>0.248918313</v>
      </c>
      <c r="L57" s="30">
        <v>16.050076050000001</v>
      </c>
      <c r="O57" s="29" t="s">
        <v>645</v>
      </c>
      <c r="P57" s="4">
        <v>12.793393999999999</v>
      </c>
      <c r="Q57" s="4">
        <v>0.93103448300000002</v>
      </c>
      <c r="R57" s="4">
        <v>0.206062984</v>
      </c>
      <c r="S57" s="30">
        <v>14.75536142</v>
      </c>
    </row>
    <row r="58" spans="1:19">
      <c r="A58" s="29" t="s">
        <v>597</v>
      </c>
      <c r="B58" s="4">
        <v>13.709377</v>
      </c>
      <c r="C58" s="4">
        <v>0.65384615400000001</v>
      </c>
      <c r="D58" s="4">
        <v>0.25121254500000001</v>
      </c>
      <c r="E58" s="30">
        <v>13.46</v>
      </c>
      <c r="H58" s="29" t="s">
        <v>674</v>
      </c>
      <c r="I58" s="4">
        <v>13.647079</v>
      </c>
      <c r="J58" s="4">
        <v>0.66666666699999999</v>
      </c>
      <c r="K58" s="4">
        <v>0.27330422700000001</v>
      </c>
      <c r="L58" s="30">
        <v>17.368343729999999</v>
      </c>
      <c r="O58" s="29" t="s">
        <v>646</v>
      </c>
      <c r="P58" s="4">
        <v>11.805787</v>
      </c>
      <c r="Q58" s="4">
        <v>0.72413793100000001</v>
      </c>
      <c r="R58" s="4">
        <v>0.22283177200000001</v>
      </c>
      <c r="S58" s="30">
        <v>14.32414882</v>
      </c>
    </row>
    <row r="59" spans="1:19">
      <c r="A59" s="29" t="s">
        <v>595</v>
      </c>
      <c r="B59" s="4">
        <v>13.121615</v>
      </c>
      <c r="C59" s="4">
        <v>0.192307692</v>
      </c>
      <c r="D59" s="4">
        <v>0.27367026900000002</v>
      </c>
      <c r="E59" s="30">
        <v>14.11235976</v>
      </c>
      <c r="H59" s="29" t="s">
        <v>675</v>
      </c>
      <c r="I59" s="4">
        <v>12.930192999999999</v>
      </c>
      <c r="J59" s="4">
        <v>0.53333333299999997</v>
      </c>
      <c r="K59" s="4">
        <v>0.28131128300000002</v>
      </c>
      <c r="L59" s="30">
        <v>6.3203021030000004</v>
      </c>
      <c r="O59" s="29" t="s">
        <v>647</v>
      </c>
      <c r="P59" s="4">
        <v>10.19492</v>
      </c>
      <c r="Q59" s="4">
        <v>0.65517241400000004</v>
      </c>
      <c r="R59" s="4">
        <v>0.26577643899999998</v>
      </c>
      <c r="S59" s="30">
        <v>13.92173025</v>
      </c>
    </row>
    <row r="60" spans="1:19">
      <c r="A60" s="29" t="s">
        <v>700</v>
      </c>
      <c r="B60" s="4">
        <v>13.243986</v>
      </c>
      <c r="C60" s="4">
        <v>0.30769230800000003</v>
      </c>
      <c r="D60" s="4">
        <v>0.28893445099999998</v>
      </c>
      <c r="E60" s="30">
        <v>14.94608579</v>
      </c>
      <c r="H60" s="29" t="s">
        <v>676</v>
      </c>
      <c r="I60" s="4">
        <v>13.360533</v>
      </c>
      <c r="J60" s="4">
        <v>0.63333333300000005</v>
      </c>
      <c r="K60" s="4">
        <v>0.28218764200000002</v>
      </c>
      <c r="L60" s="30">
        <v>11.792288559999999</v>
      </c>
      <c r="O60" s="29" t="s">
        <v>648</v>
      </c>
      <c r="P60" s="4">
        <v>4.9747396000000004</v>
      </c>
      <c r="Q60" s="4">
        <v>0.37931034499999999</v>
      </c>
      <c r="R60" s="4">
        <v>0.26953876500000001</v>
      </c>
      <c r="S60" s="30">
        <v>13.062319860000001</v>
      </c>
    </row>
    <row r="61" spans="1:19">
      <c r="A61" s="29" t="s">
        <v>701</v>
      </c>
      <c r="B61" s="4">
        <v>13.402545</v>
      </c>
      <c r="C61" s="4">
        <v>0.42307692299999999</v>
      </c>
      <c r="D61" s="4">
        <v>0.30333916</v>
      </c>
      <c r="E61" s="30">
        <v>12.954634799999999</v>
      </c>
      <c r="H61" s="29" t="s">
        <v>677</v>
      </c>
      <c r="I61" s="4">
        <v>11.284659</v>
      </c>
      <c r="J61" s="4">
        <v>0.33333333300000001</v>
      </c>
      <c r="K61" s="4">
        <v>0.342656813</v>
      </c>
      <c r="L61" s="30">
        <v>6.1684020950000003</v>
      </c>
      <c r="O61" s="29" t="s">
        <v>649</v>
      </c>
      <c r="P61" s="4">
        <v>7.7486459999999999</v>
      </c>
      <c r="Q61" s="4">
        <v>0.55172413799999998</v>
      </c>
      <c r="R61" s="4">
        <v>0.27328424800000001</v>
      </c>
      <c r="S61" s="30">
        <v>14.70479473</v>
      </c>
    </row>
    <row r="62" spans="1:19">
      <c r="A62" s="29" t="s">
        <v>702</v>
      </c>
      <c r="B62" s="4">
        <v>14.412062000000001</v>
      </c>
      <c r="C62" s="4">
        <v>1</v>
      </c>
      <c r="D62" s="4">
        <v>0.31104836400000002</v>
      </c>
      <c r="E62" s="30">
        <v>14.005741820000001</v>
      </c>
      <c r="H62" s="29" t="s">
        <v>678</v>
      </c>
      <c r="I62" s="4">
        <v>11.168480000000001</v>
      </c>
      <c r="J62" s="4">
        <v>0.26666666700000002</v>
      </c>
      <c r="K62" s="4">
        <v>0.389207146</v>
      </c>
      <c r="L62" s="30">
        <v>9.8267561170000004</v>
      </c>
      <c r="O62" s="29" t="s">
        <v>650</v>
      </c>
      <c r="P62" s="4">
        <v>13.244834000000001</v>
      </c>
      <c r="Q62" s="4">
        <v>1</v>
      </c>
      <c r="R62" s="4">
        <v>0.28304439999999997</v>
      </c>
      <c r="S62" s="30">
        <v>15.755888000000001</v>
      </c>
    </row>
    <row r="63" spans="1:19">
      <c r="A63" s="29" t="s">
        <v>703</v>
      </c>
      <c r="B63" s="4">
        <v>13.961861000000001</v>
      </c>
      <c r="C63" s="4">
        <v>0.76923076899999998</v>
      </c>
      <c r="D63" s="4">
        <v>0.36048327299999999</v>
      </c>
      <c r="E63" s="30">
        <v>12.88978545</v>
      </c>
      <c r="H63" s="29" t="s">
        <v>679</v>
      </c>
      <c r="I63" s="4">
        <v>14.294848999999999</v>
      </c>
      <c r="J63" s="4">
        <v>0.83333333300000001</v>
      </c>
      <c r="K63" s="4">
        <v>0.45395403299999998</v>
      </c>
      <c r="L63" s="30">
        <v>13.30488443</v>
      </c>
      <c r="O63" s="29" t="s">
        <v>651</v>
      </c>
      <c r="P63" s="4">
        <v>7.2669715999999998</v>
      </c>
      <c r="Q63" s="4">
        <v>0.44827586200000002</v>
      </c>
      <c r="R63" s="4">
        <v>0.28980142800000003</v>
      </c>
      <c r="S63" s="30">
        <v>14.291114459999999</v>
      </c>
    </row>
    <row r="64" spans="1:19">
      <c r="A64" s="29" t="s">
        <v>704</v>
      </c>
      <c r="B64" s="4">
        <v>13.679852</v>
      </c>
      <c r="C64" s="4">
        <v>0.57692307700000001</v>
      </c>
      <c r="D64" s="4">
        <v>0.38911636399999999</v>
      </c>
      <c r="E64" s="30">
        <v>14.321440000000001</v>
      </c>
      <c r="H64" s="29" t="s">
        <v>680</v>
      </c>
      <c r="I64" s="4">
        <v>11.977980000000001</v>
      </c>
      <c r="J64" s="4">
        <v>0.4</v>
      </c>
      <c r="K64" s="4">
        <v>0.48639587000000001</v>
      </c>
      <c r="L64" s="30">
        <v>15.710038040000001</v>
      </c>
      <c r="O64" s="29" t="s">
        <v>652</v>
      </c>
      <c r="P64" s="4">
        <v>10.798726</v>
      </c>
      <c r="Q64" s="4">
        <v>0.68965517200000004</v>
      </c>
      <c r="R64" s="4">
        <v>0.292804552</v>
      </c>
      <c r="S64" s="30">
        <v>13.94800759</v>
      </c>
    </row>
    <row r="65" spans="1:19">
      <c r="A65" s="29" t="s">
        <v>705</v>
      </c>
      <c r="B65" s="4">
        <v>13.300901</v>
      </c>
      <c r="C65" s="4">
        <v>0.34615384599999999</v>
      </c>
      <c r="D65" s="4">
        <v>0.44907454499999999</v>
      </c>
      <c r="E65" s="30">
        <v>13.24586364</v>
      </c>
      <c r="H65" s="29" t="s">
        <v>681</v>
      </c>
      <c r="I65" s="4">
        <v>13.141634</v>
      </c>
      <c r="J65" s="4">
        <v>0.6</v>
      </c>
      <c r="K65" s="4">
        <v>0.50346832500000005</v>
      </c>
      <c r="L65" s="30">
        <v>9.8393222209999998</v>
      </c>
      <c r="O65" s="29" t="s">
        <v>653</v>
      </c>
      <c r="P65" s="4">
        <v>7.6034017</v>
      </c>
      <c r="Q65" s="4">
        <v>0.482758621</v>
      </c>
      <c r="R65" s="4">
        <v>0.29430611299999998</v>
      </c>
      <c r="S65" s="30">
        <v>14.03735051</v>
      </c>
    </row>
    <row r="66" spans="1:19">
      <c r="A66" s="29" t="s">
        <v>706</v>
      </c>
      <c r="B66" s="4">
        <v>12.964765999999999</v>
      </c>
      <c r="C66" s="4">
        <v>7.6923077000000006E-2</v>
      </c>
      <c r="D66" s="4">
        <v>0.46742909100000002</v>
      </c>
      <c r="E66" s="30">
        <v>15.30279636</v>
      </c>
      <c r="H66" s="29" t="s">
        <v>682</v>
      </c>
      <c r="I66" s="4">
        <v>14.218037000000001</v>
      </c>
      <c r="J66" s="4">
        <v>0.8</v>
      </c>
      <c r="K66" s="4">
        <v>0.65614890299999995</v>
      </c>
      <c r="L66" s="30">
        <v>10.185220470000001</v>
      </c>
      <c r="O66" s="29" t="s">
        <v>654</v>
      </c>
      <c r="P66" s="4">
        <v>9.8417539999999999</v>
      </c>
      <c r="Q66" s="4">
        <v>0.62068965499999995</v>
      </c>
      <c r="R66" s="4">
        <v>0.29881079900000002</v>
      </c>
      <c r="S66" s="30">
        <v>13.990051319999999</v>
      </c>
    </row>
    <row r="67" spans="1:19">
      <c r="A67" s="29" t="s">
        <v>707</v>
      </c>
      <c r="B67" s="4">
        <v>13.651914</v>
      </c>
      <c r="C67" s="4">
        <v>0.53846153799999996</v>
      </c>
      <c r="D67" s="4">
        <v>0.48945454500000002</v>
      </c>
      <c r="E67" s="30">
        <v>14.962625450000001</v>
      </c>
      <c r="H67" s="29" t="s">
        <v>683</v>
      </c>
      <c r="I67" s="4">
        <v>13.007778</v>
      </c>
      <c r="J67" s="4">
        <v>0.56666666700000001</v>
      </c>
      <c r="K67" s="4">
        <v>0.795360289</v>
      </c>
      <c r="L67" s="30">
        <v>16.462485090000001</v>
      </c>
      <c r="O67" s="29" t="s">
        <v>655</v>
      </c>
      <c r="P67" s="4">
        <v>4.5247989999999998</v>
      </c>
      <c r="Q67" s="4">
        <v>0.31034482800000002</v>
      </c>
      <c r="R67" s="4">
        <v>0.30185619699999999</v>
      </c>
      <c r="S67" s="30">
        <v>10.644842669999999</v>
      </c>
    </row>
    <row r="68" spans="1:19">
      <c r="A68" s="29" t="s">
        <v>708</v>
      </c>
      <c r="B68" s="4">
        <v>14.152006999999999</v>
      </c>
      <c r="C68" s="4">
        <v>0.88461538500000003</v>
      </c>
      <c r="D68" s="4">
        <v>0.56042545499999996</v>
      </c>
      <c r="E68" s="30">
        <v>15.775119999999999</v>
      </c>
      <c r="H68" s="29" t="s">
        <v>684</v>
      </c>
      <c r="I68" s="4">
        <v>14.334517999999999</v>
      </c>
      <c r="J68" s="4">
        <v>0.86666666699999995</v>
      </c>
      <c r="K68" s="4">
        <v>1.1862338240000001</v>
      </c>
      <c r="L68" s="30">
        <v>14.55839246</v>
      </c>
      <c r="O68" s="29" t="s">
        <v>656</v>
      </c>
      <c r="P68" s="4">
        <v>4.4038880000000002</v>
      </c>
      <c r="Q68" s="4">
        <v>0.27586206899999999</v>
      </c>
      <c r="R68" s="4">
        <v>0.312072868</v>
      </c>
      <c r="S68" s="30">
        <v>10.49623654</v>
      </c>
    </row>
    <row r="69" spans="1:19" ht="15" thickBot="1">
      <c r="A69" s="31" t="s">
        <v>709</v>
      </c>
      <c r="B69" s="32">
        <v>14.072894</v>
      </c>
      <c r="C69" s="32">
        <v>0.84615384599999999</v>
      </c>
      <c r="D69" s="32">
        <v>1.0768</v>
      </c>
      <c r="E69" s="33">
        <v>20.640298179999998</v>
      </c>
      <c r="H69" s="29" t="s">
        <v>685</v>
      </c>
      <c r="I69" s="4">
        <v>14.448200999999999</v>
      </c>
      <c r="J69" s="4">
        <v>0.93333333299999999</v>
      </c>
      <c r="K69" s="4">
        <v>1.458440062</v>
      </c>
      <c r="L69" s="30">
        <v>16.084595610000001</v>
      </c>
      <c r="O69" s="29" t="s">
        <v>657</v>
      </c>
      <c r="P69" s="4">
        <v>12.786651000000001</v>
      </c>
      <c r="Q69" s="4">
        <v>0.89655172400000005</v>
      </c>
      <c r="R69" s="4">
        <v>0.33184515799999997</v>
      </c>
      <c r="S69" s="30">
        <v>15.34521084</v>
      </c>
    </row>
    <row r="70" spans="1:19">
      <c r="H70" s="29" t="s">
        <v>686</v>
      </c>
      <c r="I70" s="4">
        <v>14.479104</v>
      </c>
      <c r="J70" s="4">
        <v>0.96666666700000003</v>
      </c>
      <c r="K70" s="4">
        <v>2.585823177</v>
      </c>
      <c r="L70" s="30">
        <v>19.666572120000001</v>
      </c>
      <c r="O70" s="29" t="s">
        <v>658</v>
      </c>
      <c r="P70" s="4">
        <v>12.174842</v>
      </c>
      <c r="Q70" s="4">
        <v>0.79310344799999999</v>
      </c>
      <c r="R70" s="4">
        <v>0.34911311900000003</v>
      </c>
      <c r="S70" s="30">
        <v>14.95930946</v>
      </c>
    </row>
    <row r="71" spans="1:19">
      <c r="H71" s="29" t="s">
        <v>687</v>
      </c>
      <c r="I71" s="4">
        <v>14.602086999999999</v>
      </c>
      <c r="J71" s="4">
        <v>1</v>
      </c>
      <c r="K71" s="4">
        <v>2.861976796</v>
      </c>
      <c r="L71" s="30">
        <v>14.37895582</v>
      </c>
      <c r="O71" s="29" t="s">
        <v>659</v>
      </c>
      <c r="P71" s="4">
        <v>4.6270986000000001</v>
      </c>
      <c r="Q71" s="4">
        <v>0.34482758600000002</v>
      </c>
      <c r="R71" s="4">
        <v>0.36501380100000003</v>
      </c>
      <c r="S71" s="30">
        <v>9.1569238199999994</v>
      </c>
    </row>
    <row r="72" spans="1:19" ht="15" thickBot="1">
      <c r="H72" s="29" t="s">
        <v>688</v>
      </c>
      <c r="I72" s="4">
        <v>14.157370999999999</v>
      </c>
      <c r="J72" s="4">
        <v>0.76666666699999997</v>
      </c>
      <c r="K72" s="4">
        <v>6.1439397299999996</v>
      </c>
      <c r="L72" s="30">
        <v>18.336379350000001</v>
      </c>
      <c r="O72" s="31" t="s">
        <v>660</v>
      </c>
      <c r="P72" s="32">
        <v>12.215624</v>
      </c>
      <c r="Q72" s="32">
        <v>0.82758620699999996</v>
      </c>
      <c r="R72" s="32">
        <v>0.376892012</v>
      </c>
      <c r="S72" s="33">
        <v>15.885773090000001</v>
      </c>
    </row>
    <row r="73" spans="1:19" ht="15" thickBot="1">
      <c r="H73" s="31" t="s">
        <v>689</v>
      </c>
      <c r="I73" s="32">
        <v>14.389035</v>
      </c>
      <c r="J73" s="32">
        <v>0.9</v>
      </c>
      <c r="K73" s="32">
        <v>6.4123642810000003</v>
      </c>
      <c r="L73" s="33">
        <v>25.870161750000001</v>
      </c>
    </row>
  </sheetData>
  <mergeCells count="2">
    <mergeCell ref="B2:C2"/>
    <mergeCell ref="D2:E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16B4-ACE9-4C5E-BF52-9153D7329463}">
  <dimension ref="A3:J11"/>
  <sheetViews>
    <sheetView workbookViewId="0">
      <selection activeCell="N51" sqref="N51"/>
    </sheetView>
  </sheetViews>
  <sheetFormatPr defaultRowHeight="14.25"/>
  <sheetData>
    <row r="3" spans="1:10">
      <c r="A3" s="3"/>
      <c r="B3" s="3" t="s">
        <v>154</v>
      </c>
      <c r="C3" s="3" t="s">
        <v>166</v>
      </c>
      <c r="D3" s="3" t="s">
        <v>172</v>
      </c>
      <c r="F3" s="3"/>
      <c r="G3" s="3" t="s">
        <v>166</v>
      </c>
      <c r="H3" s="3" t="s">
        <v>164</v>
      </c>
      <c r="I3" s="3" t="s">
        <v>162</v>
      </c>
      <c r="J3" s="3" t="s">
        <v>163</v>
      </c>
    </row>
    <row r="4" spans="1:10">
      <c r="A4" s="1" t="s">
        <v>720</v>
      </c>
      <c r="B4" s="2">
        <v>31.383880000000001</v>
      </c>
      <c r="C4" s="2">
        <v>1.4773896019999999</v>
      </c>
      <c r="D4" s="2">
        <v>1.0247467379999999</v>
      </c>
      <c r="F4" s="1" t="s">
        <v>721</v>
      </c>
      <c r="G4" s="2">
        <v>49.27158</v>
      </c>
      <c r="H4" s="2">
        <v>31.28566</v>
      </c>
      <c r="I4" s="2">
        <v>43.894480000000001</v>
      </c>
      <c r="J4" s="2">
        <v>41.444220000000001</v>
      </c>
    </row>
    <row r="5" spans="1:10">
      <c r="A5" s="1" t="s">
        <v>721</v>
      </c>
      <c r="B5" s="2">
        <v>0.61311700000000002</v>
      </c>
      <c r="C5" s="2">
        <v>24.357665879999999</v>
      </c>
      <c r="D5" s="2">
        <v>0.96567522400000005</v>
      </c>
      <c r="F5" s="1" t="s">
        <v>723</v>
      </c>
      <c r="G5" s="2">
        <v>13.74034</v>
      </c>
      <c r="H5" s="2">
        <v>28.738060000000001</v>
      </c>
      <c r="I5" s="2">
        <v>76.504459999999995</v>
      </c>
      <c r="J5" s="2">
        <v>64.059349999999995</v>
      </c>
    </row>
    <row r="6" spans="1:10">
      <c r="A6" s="1" t="s">
        <v>722</v>
      </c>
      <c r="B6" s="2">
        <v>0.62532100000000002</v>
      </c>
      <c r="C6" s="2">
        <v>1.0650601280000001</v>
      </c>
      <c r="D6" s="2">
        <v>11.60630484</v>
      </c>
      <c r="F6" s="1" t="s">
        <v>724</v>
      </c>
      <c r="G6" s="2">
        <v>35.96125</v>
      </c>
      <c r="H6" s="2">
        <v>19.941420000000001</v>
      </c>
      <c r="I6" s="2">
        <v>33.159579999999998</v>
      </c>
      <c r="J6" s="2">
        <v>33.889299999999999</v>
      </c>
    </row>
    <row r="7" spans="1:10">
      <c r="F7" s="1" t="s">
        <v>725</v>
      </c>
      <c r="G7" s="2">
        <v>50.757219999999997</v>
      </c>
      <c r="H7" s="2">
        <v>50.925260000000002</v>
      </c>
      <c r="I7" s="2">
        <v>73.706329999999994</v>
      </c>
      <c r="J7" s="2">
        <v>53.06288</v>
      </c>
    </row>
    <row r="9" spans="1:10">
      <c r="A9" s="3"/>
      <c r="B9" s="3" t="s">
        <v>172</v>
      </c>
      <c r="C9" s="3" t="s">
        <v>173</v>
      </c>
    </row>
    <row r="10" spans="1:10">
      <c r="A10" s="1" t="s">
        <v>722</v>
      </c>
      <c r="B10" s="2">
        <v>11.60630484</v>
      </c>
      <c r="C10" s="2">
        <v>5.7326069009999996</v>
      </c>
    </row>
    <row r="11" spans="1:10">
      <c r="A11" s="1" t="s">
        <v>726</v>
      </c>
      <c r="B11" s="2">
        <v>19.902169390000001</v>
      </c>
      <c r="C11" s="2">
        <v>8.0905336900000009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68D7-46A3-4C4F-BB92-925C1B770842}">
  <dimension ref="A2:J7"/>
  <sheetViews>
    <sheetView zoomScale="166" zoomScaleNormal="166" workbookViewId="0">
      <selection activeCell="G27" sqref="G27"/>
    </sheetView>
  </sheetViews>
  <sheetFormatPr defaultRowHeight="14.25"/>
  <cols>
    <col min="1" max="1" width="36.875" customWidth="1"/>
  </cols>
  <sheetData>
    <row r="2" spans="1:10">
      <c r="A2" s="3"/>
      <c r="B2" s="235" t="s">
        <v>541</v>
      </c>
      <c r="C2" s="235"/>
      <c r="D2" s="235"/>
      <c r="E2" s="235" t="s">
        <v>542</v>
      </c>
      <c r="F2" s="235"/>
      <c r="G2" s="235"/>
      <c r="H2" s="235" t="s">
        <v>543</v>
      </c>
      <c r="I2" s="235"/>
      <c r="J2" s="235"/>
    </row>
    <row r="3" spans="1:10" ht="15.75">
      <c r="A3" s="1" t="s">
        <v>1600</v>
      </c>
      <c r="B3" s="2">
        <v>0.346748</v>
      </c>
      <c r="C3" s="2">
        <v>0.36920900000000001</v>
      </c>
      <c r="D3" s="2">
        <v>0.34394000000000002</v>
      </c>
      <c r="E3" s="2">
        <v>19.438929999999999</v>
      </c>
      <c r="F3" s="2">
        <v>20.474959999999999</v>
      </c>
      <c r="G3" s="2">
        <v>22.302759999999999</v>
      </c>
      <c r="H3" s="2">
        <v>21.89846</v>
      </c>
      <c r="I3" s="2">
        <v>21.435189999999999</v>
      </c>
      <c r="J3" s="2">
        <v>21.83107</v>
      </c>
    </row>
    <row r="4" spans="1:10" ht="15.75">
      <c r="A4" s="1" t="s">
        <v>1601</v>
      </c>
      <c r="B4" s="2">
        <v>0.46186199999999999</v>
      </c>
      <c r="C4" s="2">
        <v>0.44220900000000002</v>
      </c>
      <c r="D4" s="2">
        <v>0.41132400000000002</v>
      </c>
      <c r="E4" s="2">
        <v>22.235379999999999</v>
      </c>
      <c r="F4" s="2">
        <v>21.89846</v>
      </c>
      <c r="G4" s="2">
        <v>21.435189999999999</v>
      </c>
      <c r="H4" s="2">
        <v>23.27702</v>
      </c>
      <c r="I4" s="2">
        <v>24.51802</v>
      </c>
      <c r="J4" s="2">
        <v>24.293399999999998</v>
      </c>
    </row>
    <row r="5" spans="1:10" ht="15.75">
      <c r="A5" s="1" t="s">
        <v>1602</v>
      </c>
      <c r="B5" s="2">
        <v>0.37763218999999998</v>
      </c>
      <c r="C5" s="2">
        <v>0.30182500000000001</v>
      </c>
      <c r="D5" s="2">
        <v>0.30743999999999999</v>
      </c>
      <c r="E5" s="2">
        <v>23.5634066</v>
      </c>
      <c r="F5" s="2">
        <v>23.563410000000001</v>
      </c>
      <c r="G5" s="2">
        <v>23.706600000000002</v>
      </c>
      <c r="H5" s="2">
        <v>24.742629900000001</v>
      </c>
      <c r="I5" s="2">
        <v>23.063639999999999</v>
      </c>
      <c r="J5" s="2">
        <v>24.818439999999999</v>
      </c>
    </row>
    <row r="6" spans="1:10" ht="15.75">
      <c r="A6" s="1" t="s">
        <v>1603</v>
      </c>
      <c r="B6" s="2">
        <v>0.14738200000000001</v>
      </c>
      <c r="C6" s="2">
        <v>0.14679600000000001</v>
      </c>
      <c r="D6" s="2"/>
      <c r="E6" s="2">
        <v>1.164247</v>
      </c>
      <c r="F6" s="2">
        <v>1.281566</v>
      </c>
      <c r="G6" s="2"/>
      <c r="H6" s="2">
        <v>3.7687339999999998</v>
      </c>
      <c r="I6" s="2">
        <v>3.974043</v>
      </c>
      <c r="J6" s="2"/>
    </row>
    <row r="7" spans="1:10" ht="15.75">
      <c r="A7" s="1" t="s">
        <v>1604</v>
      </c>
      <c r="B7" s="2">
        <v>8.5789710000000005E-2</v>
      </c>
      <c r="C7" s="2">
        <v>8.7256E-2</v>
      </c>
      <c r="D7" s="2"/>
      <c r="E7" s="2">
        <v>3.2173339200000002</v>
      </c>
      <c r="F7" s="2">
        <v>3.2378650000000002</v>
      </c>
      <c r="G7" s="2"/>
      <c r="H7" s="2">
        <v>7.3645695800000004</v>
      </c>
      <c r="I7" s="2">
        <v>7.3645699999999996</v>
      </c>
      <c r="J7" s="2"/>
    </row>
  </sheetData>
  <mergeCells count="3">
    <mergeCell ref="B2:D2"/>
    <mergeCell ref="E2:G2"/>
    <mergeCell ref="H2:J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DAB4-4356-4D05-B290-F3C88A2E3BC6}">
  <dimension ref="A1:H15"/>
  <sheetViews>
    <sheetView workbookViewId="0">
      <selection activeCell="R42" sqref="R42"/>
    </sheetView>
  </sheetViews>
  <sheetFormatPr defaultColWidth="8.625" defaultRowHeight="14.25"/>
  <cols>
    <col min="1" max="1" width="8.625" style="4" customWidth="1"/>
    <col min="2" max="16384" width="8.625" style="4"/>
  </cols>
  <sheetData>
    <row r="1" spans="1:8" ht="15" thickBot="1"/>
    <row r="2" spans="1:8">
      <c r="A2" s="16"/>
      <c r="B2" s="41" t="s">
        <v>93</v>
      </c>
      <c r="C2" s="254" t="s">
        <v>717</v>
      </c>
      <c r="D2" s="254"/>
      <c r="E2" s="254"/>
      <c r="F2" s="254" t="s">
        <v>30</v>
      </c>
      <c r="G2" s="254"/>
      <c r="H2" s="255"/>
    </row>
    <row r="3" spans="1:8">
      <c r="A3" s="29" t="s">
        <v>557</v>
      </c>
      <c r="B3" s="1" t="s">
        <v>544</v>
      </c>
      <c r="C3" s="2">
        <v>5.7659000000000002E-2</v>
      </c>
      <c r="D3" s="2">
        <v>5.3622999999999997E-2</v>
      </c>
      <c r="E3" s="2">
        <v>5.5160000000000001E-2</v>
      </c>
      <c r="F3" s="2">
        <v>4.9971000000000002E-2</v>
      </c>
      <c r="G3" s="2">
        <v>4.8049000000000001E-2</v>
      </c>
      <c r="H3" s="20">
        <v>5.074E-2</v>
      </c>
    </row>
    <row r="4" spans="1:8">
      <c r="A4" s="29" t="s">
        <v>558</v>
      </c>
      <c r="B4" s="1" t="s">
        <v>545</v>
      </c>
      <c r="C4" s="2">
        <v>5.4584000000000001E-2</v>
      </c>
      <c r="D4" s="2">
        <v>5.5352999999999999E-2</v>
      </c>
      <c r="E4" s="2">
        <v>5.4584000000000001E-2</v>
      </c>
      <c r="F4" s="2">
        <v>4.7280000000000003E-2</v>
      </c>
      <c r="G4" s="2">
        <v>4.8626000000000003E-2</v>
      </c>
      <c r="H4" s="20">
        <v>5.0355999999999998E-2</v>
      </c>
    </row>
    <row r="5" spans="1:8">
      <c r="A5" s="29" t="s">
        <v>559</v>
      </c>
      <c r="B5" s="1" t="s">
        <v>546</v>
      </c>
      <c r="C5" s="2">
        <v>5.6506000000000001E-2</v>
      </c>
      <c r="D5" s="2">
        <v>5.3622999999999997E-2</v>
      </c>
      <c r="E5" s="2">
        <v>5.5160000000000001E-2</v>
      </c>
      <c r="F5" s="2">
        <v>5.6314000000000003E-2</v>
      </c>
      <c r="G5" s="2">
        <v>5.8236000000000003E-2</v>
      </c>
      <c r="H5" s="20">
        <v>5.8236000000000003E-2</v>
      </c>
    </row>
    <row r="6" spans="1:8">
      <c r="A6" s="29" t="s">
        <v>560</v>
      </c>
      <c r="B6" s="1" t="s">
        <v>547</v>
      </c>
      <c r="C6" s="2">
        <v>5.4199999999999998E-2</v>
      </c>
      <c r="D6" s="2">
        <v>5.3430999999999999E-2</v>
      </c>
      <c r="E6" s="2">
        <v>5.5160000000000001E-2</v>
      </c>
      <c r="F6" s="2">
        <v>8.9178999999999994E-2</v>
      </c>
      <c r="G6" s="2">
        <v>9.0909000000000004E-2</v>
      </c>
      <c r="H6" s="20">
        <v>8.9564000000000005E-2</v>
      </c>
    </row>
    <row r="7" spans="1:8">
      <c r="A7" s="29" t="s">
        <v>561</v>
      </c>
      <c r="B7" s="1" t="s">
        <v>548</v>
      </c>
      <c r="C7" s="2">
        <v>5.5737000000000002E-2</v>
      </c>
      <c r="D7" s="2">
        <v>4.6318999999999999E-2</v>
      </c>
      <c r="E7" s="2">
        <v>5.1893000000000002E-2</v>
      </c>
      <c r="F7" s="2">
        <v>0.48106900000000002</v>
      </c>
      <c r="G7" s="2">
        <v>0.473381</v>
      </c>
      <c r="H7" s="20">
        <v>0.47145900000000002</v>
      </c>
    </row>
    <row r="8" spans="1:8">
      <c r="A8" s="29" t="s">
        <v>562</v>
      </c>
      <c r="B8" s="1" t="s">
        <v>549</v>
      </c>
      <c r="C8" s="2">
        <v>5.0548000000000003E-2</v>
      </c>
      <c r="D8" s="2">
        <v>4.6318999999999999E-2</v>
      </c>
      <c r="E8" s="2">
        <v>4.7856999999999997E-2</v>
      </c>
      <c r="F8" s="2">
        <v>2.289641</v>
      </c>
      <c r="G8" s="2">
        <v>2.2761870000000002</v>
      </c>
      <c r="H8" s="20">
        <v>1.7149719999999999</v>
      </c>
    </row>
    <row r="9" spans="1:8">
      <c r="A9" s="29" t="s">
        <v>563</v>
      </c>
      <c r="B9" s="1" t="s">
        <v>550</v>
      </c>
      <c r="C9" s="2">
        <v>4.9009999999999998E-2</v>
      </c>
      <c r="D9" s="2">
        <v>5.3430999999999999E-2</v>
      </c>
      <c r="E9" s="2">
        <v>5.1893000000000002E-2</v>
      </c>
      <c r="F9" s="2">
        <v>3.237171</v>
      </c>
      <c r="G9" s="2">
        <v>3.16798</v>
      </c>
      <c r="H9" s="20">
        <v>3.1891219999999998</v>
      </c>
    </row>
    <row r="10" spans="1:8">
      <c r="A10" s="29" t="s">
        <v>564</v>
      </c>
      <c r="B10" s="1" t="s">
        <v>551</v>
      </c>
      <c r="C10" s="2">
        <v>5.4382E-2</v>
      </c>
      <c r="D10" s="2">
        <v>5.6917000000000002E-2</v>
      </c>
      <c r="E10" s="2">
        <v>5.2184000000000001E-2</v>
      </c>
      <c r="F10" s="2">
        <v>13.312200000000001</v>
      </c>
      <c r="G10" s="2">
        <v>13.76698</v>
      </c>
      <c r="H10" s="20">
        <v>13.72471</v>
      </c>
    </row>
    <row r="11" spans="1:8">
      <c r="A11" s="29" t="s">
        <v>565</v>
      </c>
      <c r="B11" s="1" t="s">
        <v>552</v>
      </c>
      <c r="C11" s="2">
        <v>4.9647999999999998E-2</v>
      </c>
      <c r="D11" s="2">
        <v>5.2184000000000001E-2</v>
      </c>
      <c r="E11" s="2">
        <v>5.0831000000000001E-2</v>
      </c>
      <c r="F11" s="2">
        <v>17.254719999999999</v>
      </c>
      <c r="G11" s="2">
        <v>19.082280000000001</v>
      </c>
      <c r="H11" s="20">
        <v>18.3401</v>
      </c>
    </row>
    <row r="12" spans="1:8">
      <c r="A12" s="29" t="s">
        <v>568</v>
      </c>
      <c r="B12" s="1" t="s">
        <v>553</v>
      </c>
      <c r="C12" s="2">
        <v>4.9817E-2</v>
      </c>
      <c r="D12" s="2">
        <v>5.0324000000000001E-2</v>
      </c>
      <c r="E12" s="2">
        <v>5.6917000000000002E-2</v>
      </c>
      <c r="F12" s="2">
        <v>14.367150000000001</v>
      </c>
      <c r="G12" s="2">
        <v>14.10679</v>
      </c>
      <c r="H12" s="20">
        <v>13.682449999999999</v>
      </c>
    </row>
    <row r="13" spans="1:8">
      <c r="A13" s="29" t="s">
        <v>567</v>
      </c>
      <c r="B13" s="1" t="s">
        <v>554</v>
      </c>
      <c r="C13" s="2">
        <v>4.2082000000000001E-2</v>
      </c>
      <c r="D13" s="2">
        <v>4.7957E-2</v>
      </c>
      <c r="E13" s="2">
        <v>4.5942999999999998E-2</v>
      </c>
      <c r="F13" s="2">
        <v>3.770006</v>
      </c>
      <c r="G13" s="2">
        <v>3.9227759999999998</v>
      </c>
      <c r="H13" s="20">
        <v>3.758254</v>
      </c>
    </row>
    <row r="14" spans="1:8">
      <c r="A14" s="29" t="s">
        <v>569</v>
      </c>
      <c r="B14" s="1" t="s">
        <v>555</v>
      </c>
      <c r="C14" s="2">
        <v>4.3089000000000002E-2</v>
      </c>
      <c r="D14" s="2">
        <v>4.6949999999999999E-2</v>
      </c>
      <c r="E14" s="2">
        <v>5.4841000000000001E-2</v>
      </c>
      <c r="F14" s="2">
        <v>21.672640000000001</v>
      </c>
      <c r="G14" s="2">
        <v>20.45215</v>
      </c>
      <c r="H14" s="20">
        <v>21.474540000000001</v>
      </c>
    </row>
    <row r="15" spans="1:8" ht="15" thickBot="1">
      <c r="A15" s="31" t="s">
        <v>566</v>
      </c>
      <c r="B15" s="42" t="s">
        <v>556</v>
      </c>
      <c r="C15" s="22">
        <v>2.3897999999999999E-2</v>
      </c>
      <c r="D15" s="22">
        <v>2.0232E-2</v>
      </c>
      <c r="E15" s="22">
        <v>2.4917000000000002E-2</v>
      </c>
      <c r="F15" s="22">
        <v>28.542940000000002</v>
      </c>
      <c r="G15" s="22">
        <v>29.69781</v>
      </c>
      <c r="H15" s="23">
        <v>29.789459999999998</v>
      </c>
    </row>
  </sheetData>
  <mergeCells count="2">
    <mergeCell ref="C2:E2"/>
    <mergeCell ref="F2:H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A92B-D65C-45F4-B518-5241D1D90C8B}">
  <dimension ref="A1:AW76"/>
  <sheetViews>
    <sheetView topLeftCell="A51" workbookViewId="0">
      <selection activeCell="I50" sqref="I50"/>
    </sheetView>
  </sheetViews>
  <sheetFormatPr defaultRowHeight="14.25"/>
  <cols>
    <col min="1" max="1" width="24.75" style="4" customWidth="1"/>
    <col min="2" max="2" width="15.125" style="4" customWidth="1"/>
    <col min="3" max="3" width="16.875" style="4" customWidth="1"/>
    <col min="4" max="4" width="12.5" style="4" customWidth="1"/>
    <col min="5" max="5" width="9" style="4"/>
    <col min="6" max="6" width="21.875" style="4" customWidth="1"/>
    <col min="7" max="7" width="11.75" style="4" customWidth="1"/>
    <col min="8" max="8" width="16" style="4" customWidth="1"/>
    <col min="9" max="9" width="16.875" style="4" customWidth="1"/>
    <col min="10" max="10" width="17.875" style="4" customWidth="1"/>
    <col min="11" max="11" width="15" style="4" customWidth="1"/>
    <col min="12" max="12" width="15.875" style="4" customWidth="1"/>
    <col min="13" max="13" width="17.125" style="4" customWidth="1"/>
    <col min="14" max="14" width="18.875" style="4" customWidth="1"/>
    <col min="15" max="15" width="13.125" style="4" customWidth="1"/>
    <col min="16" max="29" width="9" style="4"/>
    <col min="30" max="30" width="11.875" style="4" customWidth="1"/>
    <col min="31" max="16384" width="9" style="4"/>
  </cols>
  <sheetData>
    <row r="1" spans="1:43">
      <c r="A1" s="4" t="s">
        <v>1037</v>
      </c>
      <c r="B1" s="218">
        <v>0</v>
      </c>
      <c r="C1" s="218"/>
      <c r="D1" s="218"/>
      <c r="E1" s="218"/>
      <c r="F1" s="218"/>
      <c r="G1" s="218"/>
      <c r="H1" s="218">
        <v>0.24</v>
      </c>
      <c r="I1" s="218"/>
      <c r="J1" s="218"/>
      <c r="K1" s="218"/>
      <c r="L1" s="218"/>
      <c r="M1" s="218"/>
      <c r="N1" s="218">
        <v>3.32</v>
      </c>
      <c r="O1" s="218"/>
      <c r="P1" s="218"/>
      <c r="Q1" s="218"/>
      <c r="R1" s="218"/>
      <c r="S1" s="218"/>
      <c r="T1" s="218">
        <v>5.87</v>
      </c>
      <c r="U1" s="218"/>
      <c r="V1" s="218"/>
      <c r="W1" s="218"/>
      <c r="X1" s="218"/>
      <c r="Y1" s="218"/>
      <c r="Z1" s="218">
        <v>10.46</v>
      </c>
      <c r="AA1" s="218"/>
      <c r="AB1" s="218"/>
      <c r="AC1" s="218"/>
      <c r="AD1" s="218"/>
      <c r="AE1" s="218"/>
      <c r="AF1" s="218">
        <v>19.5</v>
      </c>
      <c r="AG1" s="218"/>
      <c r="AH1" s="218"/>
      <c r="AI1" s="218"/>
      <c r="AJ1" s="218"/>
      <c r="AK1" s="218"/>
      <c r="AL1" s="218">
        <v>40.74</v>
      </c>
      <c r="AM1" s="218"/>
      <c r="AN1" s="218"/>
      <c r="AO1" s="218"/>
      <c r="AP1" s="218"/>
      <c r="AQ1" s="218"/>
    </row>
    <row r="2" spans="1:43">
      <c r="A2" s="6" t="s">
        <v>1605</v>
      </c>
      <c r="B2" s="7">
        <v>4.6149999999999997E-2</v>
      </c>
      <c r="C2" s="7">
        <v>5.1385E-2</v>
      </c>
      <c r="D2" s="7">
        <v>4.0644E-2</v>
      </c>
      <c r="E2" s="7">
        <v>4.7628999999999998E-2</v>
      </c>
      <c r="F2" s="7">
        <v>3.7143000000000002E-2</v>
      </c>
      <c r="G2" s="7">
        <v>3.9253000000000003E-2</v>
      </c>
      <c r="H2" s="7">
        <v>7.6557310000000003</v>
      </c>
      <c r="I2" s="7">
        <v>8.8686330000000009</v>
      </c>
      <c r="J2" s="7">
        <v>9.2505400000000009</v>
      </c>
      <c r="K2" s="7">
        <v>10.78557</v>
      </c>
      <c r="L2" s="7">
        <v>10.038779999999999</v>
      </c>
      <c r="M2" s="7">
        <v>10.550800000000001</v>
      </c>
      <c r="N2" s="7">
        <v>19.31146</v>
      </c>
      <c r="O2" s="7">
        <v>20.338699999999999</v>
      </c>
      <c r="P2" s="7">
        <v>18.143139999999999</v>
      </c>
      <c r="Q2" s="7">
        <v>20.012370000000001</v>
      </c>
      <c r="R2" s="7">
        <v>18.518370000000001</v>
      </c>
      <c r="S2" s="7">
        <v>18.588159999999998</v>
      </c>
      <c r="T2" s="7">
        <v>21.8902</v>
      </c>
      <c r="U2" s="7">
        <v>22.496870000000001</v>
      </c>
      <c r="V2" s="7">
        <v>20.00844</v>
      </c>
      <c r="W2" s="7">
        <v>22.270099999999999</v>
      </c>
      <c r="X2" s="7">
        <v>21.577549999999999</v>
      </c>
      <c r="Y2" s="7">
        <v>22.057929999999999</v>
      </c>
      <c r="Z2" s="120" t="s">
        <v>1606</v>
      </c>
      <c r="AA2" s="7">
        <v>27.188559999999999</v>
      </c>
      <c r="AB2" s="120" t="s">
        <v>1607</v>
      </c>
      <c r="AC2" s="7">
        <v>25.70928</v>
      </c>
      <c r="AD2" s="120" t="s">
        <v>1608</v>
      </c>
      <c r="AE2" s="7">
        <v>24.249369999999999</v>
      </c>
      <c r="AF2" s="120" t="s">
        <v>1609</v>
      </c>
      <c r="AG2" s="7">
        <v>17.510280000000002</v>
      </c>
      <c r="AH2" s="120" t="s">
        <v>1610</v>
      </c>
      <c r="AI2" s="7">
        <v>16.057729999999999</v>
      </c>
      <c r="AJ2" s="120" t="s">
        <v>1611</v>
      </c>
      <c r="AK2" s="7">
        <v>16.65071</v>
      </c>
      <c r="AL2" s="120" t="s">
        <v>1612</v>
      </c>
      <c r="AM2" s="7">
        <v>21.819929999999999</v>
      </c>
      <c r="AN2" s="120" t="s">
        <v>1613</v>
      </c>
      <c r="AO2" s="7">
        <v>20.381440000000001</v>
      </c>
      <c r="AP2" s="120" t="s">
        <v>1614</v>
      </c>
      <c r="AQ2" s="7">
        <v>21.791350000000001</v>
      </c>
    </row>
    <row r="3" spans="1:43">
      <c r="A3" s="6" t="s">
        <v>1615</v>
      </c>
      <c r="B3" s="7">
        <v>4.3526000000000002E-2</v>
      </c>
      <c r="C3" s="7">
        <v>4.8034E-2</v>
      </c>
      <c r="D3" s="7">
        <v>3.6717E-2</v>
      </c>
      <c r="E3" s="7">
        <v>4.1443000000000001E-2</v>
      </c>
      <c r="F3" s="7">
        <v>3.7346999999999998E-2</v>
      </c>
      <c r="G3" s="7">
        <v>3.9253000000000003E-2</v>
      </c>
      <c r="H3" s="7">
        <v>9.7332000000000002E-2</v>
      </c>
      <c r="I3" s="7">
        <v>9.9865999999999996E-2</v>
      </c>
      <c r="J3" s="7">
        <v>0.105832</v>
      </c>
      <c r="K3" s="7">
        <v>0.127216</v>
      </c>
      <c r="L3" s="7">
        <v>0.13367299999999999</v>
      </c>
      <c r="M3" s="7">
        <v>0.168766</v>
      </c>
      <c r="N3" s="7">
        <v>3.449694</v>
      </c>
      <c r="O3" s="7">
        <v>3.2832889999999999</v>
      </c>
      <c r="P3" s="7">
        <v>3.831337</v>
      </c>
      <c r="Q3" s="7">
        <v>4.08866</v>
      </c>
      <c r="R3" s="7">
        <v>4.1102040000000004</v>
      </c>
      <c r="S3" s="7">
        <v>4.2955500000000004</v>
      </c>
      <c r="T3" s="7">
        <v>7.3560800000000004</v>
      </c>
      <c r="U3" s="7">
        <v>7.4209120000000004</v>
      </c>
      <c r="V3" s="7">
        <v>8.1568819999999995</v>
      </c>
      <c r="W3" s="7">
        <v>8.385567</v>
      </c>
      <c r="X3" s="7">
        <v>7.9020409999999996</v>
      </c>
      <c r="Y3" s="7">
        <v>8.5377829999999992</v>
      </c>
      <c r="Z3" s="7">
        <v>12.935700000000001</v>
      </c>
      <c r="AA3" s="7">
        <v>12.93253</v>
      </c>
      <c r="AB3" s="7">
        <v>12.761240000000001</v>
      </c>
      <c r="AC3" s="7">
        <v>13.77938</v>
      </c>
      <c r="AD3" s="7">
        <v>12.828569999999999</v>
      </c>
      <c r="AE3" s="7">
        <v>13.481109999999999</v>
      </c>
      <c r="AF3" s="7">
        <v>18.055990000000001</v>
      </c>
      <c r="AG3" s="7">
        <v>18.16488</v>
      </c>
      <c r="AH3" s="7">
        <v>17.597290000000001</v>
      </c>
      <c r="AI3" s="7">
        <v>19.64742</v>
      </c>
      <c r="AJ3" s="7">
        <v>17.473469999999999</v>
      </c>
      <c r="AK3" s="7">
        <v>18.30688</v>
      </c>
      <c r="AL3" s="7">
        <v>23.626860000000001</v>
      </c>
      <c r="AM3" s="7">
        <v>24.581320000000002</v>
      </c>
      <c r="AN3" s="7">
        <v>19.947579999999999</v>
      </c>
      <c r="AO3" s="7">
        <v>23.315460000000002</v>
      </c>
      <c r="AP3" s="7">
        <v>22.042860000000001</v>
      </c>
      <c r="AQ3" s="7">
        <v>24.473970000000001</v>
      </c>
    </row>
    <row r="4" spans="1:43">
      <c r="A4" s="6" t="s">
        <v>1616</v>
      </c>
      <c r="B4" s="7">
        <v>2.7778000000000001E-2</v>
      </c>
      <c r="C4" s="7">
        <v>3.4181999999999997E-2</v>
      </c>
      <c r="D4" s="7">
        <v>3.0041000000000002E-2</v>
      </c>
      <c r="E4" s="7">
        <v>4.1855999999999997E-2</v>
      </c>
      <c r="F4" s="7">
        <v>4.2041000000000002E-2</v>
      </c>
      <c r="G4" s="7">
        <v>4.9327999999999997E-2</v>
      </c>
      <c r="H4" s="7">
        <v>1.9470689999999999</v>
      </c>
      <c r="I4" s="7">
        <v>1.8266309999999999</v>
      </c>
      <c r="J4" s="7">
        <v>2.8515609999999998</v>
      </c>
      <c r="K4" s="7">
        <v>3.4164949999999998</v>
      </c>
      <c r="L4" s="7">
        <v>2.8142860000000001</v>
      </c>
      <c r="M4" s="7">
        <v>3.926113</v>
      </c>
      <c r="N4" s="7">
        <v>14.48644</v>
      </c>
      <c r="O4" s="7">
        <v>15.827970000000001</v>
      </c>
      <c r="P4" s="7">
        <v>16.252310000000001</v>
      </c>
      <c r="Q4" s="7">
        <v>16.913399999999999</v>
      </c>
      <c r="R4" s="7">
        <v>16.436730000000001</v>
      </c>
      <c r="S4" s="7">
        <v>17.219560000000001</v>
      </c>
      <c r="T4" s="7">
        <v>16.124669999999998</v>
      </c>
      <c r="U4" s="7">
        <v>16.826630000000002</v>
      </c>
      <c r="V4" s="7">
        <v>17.652270000000001</v>
      </c>
      <c r="W4" s="7">
        <v>18.767009999999999</v>
      </c>
      <c r="X4" s="7">
        <v>16.89592</v>
      </c>
      <c r="Y4" s="7">
        <v>18.644839999999999</v>
      </c>
      <c r="Z4" s="7">
        <v>16.172789999999999</v>
      </c>
      <c r="AA4" s="7">
        <v>17.244409999999998</v>
      </c>
      <c r="AB4" s="7">
        <v>16.053999999999998</v>
      </c>
      <c r="AC4" s="7">
        <v>17.546389999999999</v>
      </c>
      <c r="AD4" s="7">
        <v>16.138780000000001</v>
      </c>
      <c r="AE4" s="7">
        <v>17.114609999999999</v>
      </c>
      <c r="AF4" s="120" t="s">
        <v>1617</v>
      </c>
      <c r="AG4" s="120" t="s">
        <v>1618</v>
      </c>
      <c r="AH4" s="120" t="s">
        <v>1619</v>
      </c>
      <c r="AI4" s="120" t="s">
        <v>1620</v>
      </c>
      <c r="AJ4" s="120" t="s">
        <v>1621</v>
      </c>
      <c r="AK4" s="120" t="s">
        <v>1622</v>
      </c>
      <c r="AL4" s="120" t="s">
        <v>1623</v>
      </c>
      <c r="AM4" s="120" t="s">
        <v>1624</v>
      </c>
      <c r="AN4" s="120" t="s">
        <v>1625</v>
      </c>
      <c r="AO4" s="120" t="s">
        <v>1626</v>
      </c>
      <c r="AP4" s="120" t="s">
        <v>1627</v>
      </c>
      <c r="AQ4" s="120" t="s">
        <v>1628</v>
      </c>
    </row>
    <row r="5" spans="1:43">
      <c r="A5" s="6" t="s">
        <v>1629</v>
      </c>
      <c r="B5" s="7">
        <v>4.5931760000000002E-2</v>
      </c>
      <c r="C5" s="7">
        <v>4.9820999999999997E-2</v>
      </c>
      <c r="D5" s="7">
        <v>3.6520709999999998E-2</v>
      </c>
      <c r="E5" s="7">
        <v>2.1236999999999999E-2</v>
      </c>
      <c r="F5" s="7">
        <v>4.2244900000000002E-2</v>
      </c>
      <c r="G5" s="7">
        <v>4.7858999999999999E-2</v>
      </c>
      <c r="H5" s="7">
        <v>5.2055990000000003E-2</v>
      </c>
      <c r="I5" s="7">
        <v>6.2108999999999998E-2</v>
      </c>
      <c r="J5" s="7">
        <v>4.928333E-2</v>
      </c>
      <c r="K5" s="7">
        <v>5.0722000000000003E-2</v>
      </c>
      <c r="L5" s="7">
        <v>5.7755099999999997E-2</v>
      </c>
      <c r="M5" s="7">
        <v>5.0377999999999999E-2</v>
      </c>
      <c r="N5" s="7">
        <v>8.0052490000000004E-2</v>
      </c>
      <c r="O5" s="7">
        <v>6.7918000000000006E-2</v>
      </c>
      <c r="P5" s="7">
        <v>7.4612209999999998E-2</v>
      </c>
      <c r="Q5" s="7">
        <v>7.8144000000000005E-2</v>
      </c>
      <c r="R5" s="7">
        <v>9.6122449999999998E-2</v>
      </c>
      <c r="S5" s="7">
        <v>9.8656999999999995E-2</v>
      </c>
      <c r="T5" s="7">
        <v>0.11329834</v>
      </c>
      <c r="U5" s="7">
        <v>9.4727000000000006E-2</v>
      </c>
      <c r="V5" s="7">
        <v>0.10799135999999999</v>
      </c>
      <c r="W5" s="7">
        <v>0.116907</v>
      </c>
      <c r="X5" s="7">
        <v>0.13673468999999999</v>
      </c>
      <c r="Y5" s="7">
        <v>0.14987400000000001</v>
      </c>
      <c r="Z5" s="7">
        <v>0.21478564999999999</v>
      </c>
      <c r="AA5" s="7">
        <v>0.262735</v>
      </c>
      <c r="AB5" s="7">
        <v>0.23031612000000001</v>
      </c>
      <c r="AC5" s="7">
        <v>0.23092799999999999</v>
      </c>
      <c r="AD5" s="7">
        <v>0.25918366999999998</v>
      </c>
      <c r="AE5" s="7">
        <v>0.26952100000000001</v>
      </c>
      <c r="AF5" s="7">
        <v>0.67847769000000002</v>
      </c>
      <c r="AG5" s="7">
        <v>0.66264500000000004</v>
      </c>
      <c r="AH5" s="7">
        <v>0.71529549999999997</v>
      </c>
      <c r="AI5" s="7">
        <v>0.73195900000000003</v>
      </c>
      <c r="AJ5" s="7">
        <v>0.71224489999999996</v>
      </c>
      <c r="AK5" s="7">
        <v>0.71662499999999996</v>
      </c>
      <c r="AL5" s="7">
        <v>2.2992126000000002</v>
      </c>
      <c r="AM5" s="7">
        <v>2.4946380000000001</v>
      </c>
      <c r="AN5" s="7">
        <v>1.98173964</v>
      </c>
      <c r="AO5" s="7">
        <v>2.1319590000000002</v>
      </c>
      <c r="AP5" s="7">
        <v>1.9265306099999999</v>
      </c>
      <c r="AQ5" s="7">
        <v>1.9319900000000001</v>
      </c>
    </row>
    <row r="6" spans="1:43">
      <c r="A6" s="6" t="s">
        <v>1630</v>
      </c>
      <c r="B6" s="7">
        <v>3.3245843999999997E-2</v>
      </c>
      <c r="C6" s="7">
        <v>3.7533999999999998E-2</v>
      </c>
      <c r="D6" s="7">
        <v>3.6128019999999997E-2</v>
      </c>
      <c r="E6" s="7">
        <v>4.0825E-2</v>
      </c>
      <c r="F6" s="7">
        <v>5.0204079999999998E-2</v>
      </c>
      <c r="G6" s="7">
        <v>2.0150999999999999E-2</v>
      </c>
      <c r="H6" s="7">
        <v>0.140857393</v>
      </c>
      <c r="I6" s="7">
        <v>0.15326200000000001</v>
      </c>
      <c r="J6" s="7">
        <v>0.34223443999999997</v>
      </c>
      <c r="K6" s="7">
        <v>0.32371100000000003</v>
      </c>
      <c r="L6" s="7">
        <v>0.35306122000000001</v>
      </c>
      <c r="M6" s="7">
        <v>0.31570100000000001</v>
      </c>
      <c r="N6" s="7">
        <v>6.3062117239999997</v>
      </c>
      <c r="O6" s="7">
        <v>5.8726539999999998</v>
      </c>
      <c r="P6" s="7">
        <v>8.4101708199999994</v>
      </c>
      <c r="Q6" s="7">
        <v>8.5938140000000001</v>
      </c>
      <c r="R6" s="7">
        <v>8.4285714299999999</v>
      </c>
      <c r="S6" s="7">
        <v>8.7497900000000008</v>
      </c>
      <c r="T6" s="7">
        <v>8.6815398080000001</v>
      </c>
      <c r="U6" s="7">
        <v>8.3659520000000001</v>
      </c>
      <c r="V6" s="7">
        <v>12.3017868</v>
      </c>
      <c r="W6" s="7">
        <v>12.764950000000001</v>
      </c>
      <c r="X6" s="7">
        <v>12.6734694</v>
      </c>
      <c r="Y6" s="7">
        <v>13.31738</v>
      </c>
      <c r="Z6" s="7">
        <v>12.975065620000001</v>
      </c>
      <c r="AA6" s="7">
        <v>12.61975</v>
      </c>
      <c r="AB6" s="7">
        <v>16.053995700000002</v>
      </c>
      <c r="AC6" s="7">
        <v>17.226800000000001</v>
      </c>
      <c r="AD6" s="7">
        <v>14.677550999999999</v>
      </c>
      <c r="AE6" s="7">
        <v>16.247689999999999</v>
      </c>
      <c r="AF6" s="7">
        <v>17.673228349999999</v>
      </c>
      <c r="AG6" s="7">
        <v>17.617519999999999</v>
      </c>
      <c r="AH6" s="7">
        <v>18.033182799999999</v>
      </c>
      <c r="AI6" s="7">
        <v>19.29072</v>
      </c>
      <c r="AJ6" s="7">
        <v>17.6897959</v>
      </c>
      <c r="AK6" s="7">
        <v>18.474810000000002</v>
      </c>
      <c r="AL6" s="120" t="s">
        <v>1631</v>
      </c>
      <c r="AM6" s="120" t="s">
        <v>1632</v>
      </c>
      <c r="AN6" s="120" t="s">
        <v>1633</v>
      </c>
      <c r="AO6" s="120" t="s">
        <v>1634</v>
      </c>
      <c r="AP6" s="120" t="s">
        <v>1635</v>
      </c>
      <c r="AQ6" s="120" t="s">
        <v>1636</v>
      </c>
    </row>
    <row r="7" spans="1:43">
      <c r="A7" s="6" t="s">
        <v>1637</v>
      </c>
      <c r="B7" s="7">
        <v>4.7244094E-2</v>
      </c>
      <c r="C7" s="7">
        <v>4.8481000000000003E-2</v>
      </c>
      <c r="D7" s="7">
        <v>3.1808363999999999E-2</v>
      </c>
      <c r="E7" s="7">
        <v>4.2473999999999998E-2</v>
      </c>
      <c r="F7" s="7">
        <v>4.3673468999999999E-2</v>
      </c>
      <c r="G7" s="7">
        <v>4.6390000000000001E-2</v>
      </c>
      <c r="H7" s="7">
        <v>5.2274715999999999E-2</v>
      </c>
      <c r="I7" s="7">
        <v>5.3171999999999997E-2</v>
      </c>
      <c r="J7" s="7">
        <v>4.5356370999999999E-2</v>
      </c>
      <c r="K7" s="7">
        <v>5.2576999999999999E-2</v>
      </c>
      <c r="L7" s="7">
        <v>5.5102040999999997E-2</v>
      </c>
      <c r="M7" s="7">
        <v>6.5700999999999996E-2</v>
      </c>
      <c r="N7" s="7">
        <v>9.2300962E-2</v>
      </c>
      <c r="O7" s="7">
        <v>0.101877</v>
      </c>
      <c r="P7" s="7">
        <v>0.102100923</v>
      </c>
      <c r="Q7" s="7">
        <v>0.11133999999999999</v>
      </c>
      <c r="R7" s="7">
        <v>0.13877550999999999</v>
      </c>
      <c r="S7" s="7">
        <v>0.14987400000000001</v>
      </c>
      <c r="T7" s="7">
        <v>0.124234471</v>
      </c>
      <c r="U7" s="7">
        <v>0.186774</v>
      </c>
      <c r="V7" s="7">
        <v>0.177302179</v>
      </c>
      <c r="W7" s="7">
        <v>0.197938</v>
      </c>
      <c r="X7" s="7">
        <v>0.240816327</v>
      </c>
      <c r="Y7" s="7">
        <v>0.26532299999999998</v>
      </c>
      <c r="Z7" s="7">
        <v>0.59536308000000004</v>
      </c>
      <c r="AA7" s="7">
        <v>0.55093800000000004</v>
      </c>
      <c r="AB7" s="7">
        <v>0.65442764600000003</v>
      </c>
      <c r="AC7" s="7">
        <v>0.69896899999999995</v>
      </c>
      <c r="AD7" s="7">
        <v>0.69591836699999998</v>
      </c>
      <c r="AE7" s="7">
        <v>0.86355999999999999</v>
      </c>
      <c r="AF7" s="7">
        <v>2.6885389329999998</v>
      </c>
      <c r="AG7" s="7">
        <v>3.231903</v>
      </c>
      <c r="AH7" s="7">
        <v>2.6630669550000001</v>
      </c>
      <c r="AI7" s="7">
        <v>3.0639180000000001</v>
      </c>
      <c r="AJ7" s="7">
        <v>3.0510204079999999</v>
      </c>
      <c r="AK7" s="7">
        <v>3.130563</v>
      </c>
      <c r="AL7" s="7">
        <v>8.9527559060000002</v>
      </c>
      <c r="AM7" s="7">
        <v>9.7243069999999996</v>
      </c>
      <c r="AN7" s="7">
        <v>8.3335951309999992</v>
      </c>
      <c r="AO7" s="7">
        <v>8.8082469999999997</v>
      </c>
      <c r="AP7" s="7">
        <v>8.7183673469999992</v>
      </c>
      <c r="AQ7" s="7">
        <v>8.8316540000000003</v>
      </c>
    </row>
    <row r="8" spans="1:43">
      <c r="A8" s="6" t="s">
        <v>1638</v>
      </c>
      <c r="B8" s="7">
        <v>3.3902012000000002E-2</v>
      </c>
      <c r="C8" s="7">
        <v>3.6415999999999997E-2</v>
      </c>
      <c r="D8" s="7">
        <v>3.2004711999999998E-2</v>
      </c>
      <c r="E8" s="7">
        <v>3.7113E-2</v>
      </c>
      <c r="F8" s="7">
        <v>4.6122449000000003E-2</v>
      </c>
      <c r="G8" s="7">
        <v>4.4290999999999997E-2</v>
      </c>
      <c r="H8" s="7">
        <v>0.30883639499999999</v>
      </c>
      <c r="I8" s="7">
        <v>0.18007100000000001</v>
      </c>
      <c r="J8" s="7">
        <v>0.64853720800000003</v>
      </c>
      <c r="K8" s="7">
        <v>0.612371</v>
      </c>
      <c r="L8" s="7">
        <v>0.65714285699999997</v>
      </c>
      <c r="M8" s="7">
        <v>0.69353500000000001</v>
      </c>
      <c r="N8" s="7">
        <v>8.5240594929999993</v>
      </c>
      <c r="O8" s="7">
        <v>7.6309199999999997</v>
      </c>
      <c r="P8" s="7">
        <v>11.96603181</v>
      </c>
      <c r="Q8" s="7">
        <v>12.6866</v>
      </c>
      <c r="R8" s="7">
        <v>12.32857143</v>
      </c>
      <c r="S8" s="7">
        <v>13.235519999999999</v>
      </c>
      <c r="T8" s="7">
        <v>11.907699040000001</v>
      </c>
      <c r="U8" s="7">
        <v>11.44013</v>
      </c>
      <c r="V8" s="7">
        <v>16.252307089999999</v>
      </c>
      <c r="W8" s="7">
        <v>17.600000000000001</v>
      </c>
      <c r="X8" s="7">
        <v>16.740816330000001</v>
      </c>
      <c r="Y8" s="7">
        <v>17.8094</v>
      </c>
      <c r="Z8" s="7">
        <v>16.42213473</v>
      </c>
      <c r="AA8" s="7">
        <v>17.671130000000002</v>
      </c>
      <c r="AB8" s="7">
        <v>20.069310819999998</v>
      </c>
      <c r="AC8" s="7">
        <v>21.86598</v>
      </c>
      <c r="AD8" s="7">
        <v>19.6877551</v>
      </c>
      <c r="AE8" s="7">
        <v>20.49832</v>
      </c>
      <c r="AF8" s="7">
        <v>21.890201220000002</v>
      </c>
      <c r="AG8" s="7">
        <v>22.15728</v>
      </c>
      <c r="AH8" s="7">
        <v>21.928725700000001</v>
      </c>
      <c r="AI8" s="7">
        <v>23.103090000000002</v>
      </c>
      <c r="AJ8" s="7">
        <v>21.71020408</v>
      </c>
      <c r="AK8" s="7">
        <v>23.737200000000001</v>
      </c>
      <c r="AL8" s="120" t="s">
        <v>1639</v>
      </c>
      <c r="AM8" s="120" t="s">
        <v>1640</v>
      </c>
      <c r="AN8" s="120" t="s">
        <v>1641</v>
      </c>
      <c r="AO8" s="120" t="s">
        <v>1642</v>
      </c>
      <c r="AP8" s="120" t="s">
        <v>1643</v>
      </c>
      <c r="AQ8" s="120" t="s">
        <v>1644</v>
      </c>
    </row>
    <row r="9" spans="1:43">
      <c r="A9" s="6" t="s">
        <v>1645</v>
      </c>
      <c r="B9" s="7">
        <v>5.5773999999999997E-2</v>
      </c>
      <c r="C9" s="7">
        <v>5.5853E-2</v>
      </c>
      <c r="D9" s="7">
        <v>3.7699000000000003E-2</v>
      </c>
      <c r="E9" s="7">
        <v>4.2680000000000003E-2</v>
      </c>
      <c r="F9" s="7">
        <v>0.05</v>
      </c>
      <c r="G9" s="7">
        <v>5.4365999999999998E-2</v>
      </c>
      <c r="H9" s="7">
        <v>6.9334999999999994E-2</v>
      </c>
      <c r="I9" s="7">
        <v>8.2215999999999997E-2</v>
      </c>
      <c r="J9" s="7">
        <v>6.9900000000000004E-2</v>
      </c>
      <c r="K9" s="7">
        <v>6.9485000000000005E-2</v>
      </c>
      <c r="L9" s="7">
        <v>9.4694E-2</v>
      </c>
      <c r="M9" s="7">
        <v>0.102225</v>
      </c>
      <c r="N9" s="7">
        <v>0.67410300000000001</v>
      </c>
      <c r="O9" s="7">
        <v>0.874888</v>
      </c>
      <c r="P9" s="7">
        <v>0.813469</v>
      </c>
      <c r="Q9" s="7">
        <v>0.84742300000000004</v>
      </c>
      <c r="R9" s="7">
        <v>0.91224499999999997</v>
      </c>
      <c r="S9" s="7">
        <v>0.97061299999999995</v>
      </c>
      <c r="T9" s="7">
        <v>1.0874889999999999</v>
      </c>
      <c r="U9" s="7">
        <v>1.768543</v>
      </c>
      <c r="V9" s="7">
        <v>1.634204</v>
      </c>
      <c r="W9" s="7">
        <v>1.7195879999999999</v>
      </c>
      <c r="X9" s="7">
        <v>1.842857</v>
      </c>
      <c r="Y9" s="7">
        <v>1.902603</v>
      </c>
      <c r="Z9" s="7">
        <v>3.2944010000000001</v>
      </c>
      <c r="AA9" s="7">
        <v>3.7278820000000001</v>
      </c>
      <c r="AB9" s="7">
        <v>3.393481</v>
      </c>
      <c r="AC9" s="7">
        <v>3.523711</v>
      </c>
      <c r="AD9" s="7">
        <v>3.5428570000000001</v>
      </c>
      <c r="AE9" s="7">
        <v>3.7246009999999998</v>
      </c>
      <c r="AF9" s="7">
        <v>6.1334210000000002</v>
      </c>
      <c r="AG9" s="7">
        <v>6.32395</v>
      </c>
      <c r="AH9" s="7">
        <v>5.8497940000000002</v>
      </c>
      <c r="AI9" s="7">
        <v>6.1278350000000001</v>
      </c>
      <c r="AJ9" s="7">
        <v>5.8632650000000002</v>
      </c>
      <c r="AK9" s="7">
        <v>6.2392950000000003</v>
      </c>
      <c r="AL9" s="7">
        <v>8.5240589999999994</v>
      </c>
      <c r="AM9" s="7">
        <v>8.6809650000000005</v>
      </c>
      <c r="AN9" s="7">
        <v>8.6732770000000006</v>
      </c>
      <c r="AO9" s="7">
        <v>8.6742270000000001</v>
      </c>
      <c r="AP9" s="7">
        <v>8.2244899999999994</v>
      </c>
      <c r="AQ9" s="7">
        <v>8.0780860000000008</v>
      </c>
    </row>
    <row r="10" spans="1:43">
      <c r="A10" s="6" t="s">
        <v>1646</v>
      </c>
      <c r="B10" s="7">
        <v>3.7838999999999998E-2</v>
      </c>
      <c r="C10" s="7">
        <v>4.9598000000000003E-2</v>
      </c>
      <c r="D10" s="7">
        <v>3.4556999999999997E-2</v>
      </c>
      <c r="E10" s="7">
        <v>4.9690999999999999E-2</v>
      </c>
      <c r="F10" s="7">
        <v>4.9591999999999997E-2</v>
      </c>
      <c r="G10" s="7">
        <v>4.0722000000000001E-2</v>
      </c>
      <c r="H10" s="7">
        <v>17.141729999999999</v>
      </c>
      <c r="I10" s="7">
        <v>17.617519999999999</v>
      </c>
      <c r="J10" s="7">
        <v>19.70607</v>
      </c>
      <c r="K10" s="7">
        <v>20.257729999999999</v>
      </c>
      <c r="L10" s="7">
        <v>20.422450000000001</v>
      </c>
      <c r="M10" s="7">
        <v>21.19941</v>
      </c>
      <c r="N10" s="7">
        <v>25.039809999999999</v>
      </c>
      <c r="O10" s="7">
        <v>26.4513</v>
      </c>
      <c r="P10" s="7">
        <v>21.66366</v>
      </c>
      <c r="Q10" s="7">
        <v>24.259789999999999</v>
      </c>
      <c r="R10" s="7">
        <v>23.146940000000001</v>
      </c>
      <c r="S10" s="7">
        <v>24.623010000000001</v>
      </c>
      <c r="T10" s="7">
        <v>27.6951</v>
      </c>
      <c r="U10" s="7">
        <v>30.9084</v>
      </c>
      <c r="V10" s="7">
        <v>24.856269999999999</v>
      </c>
      <c r="W10" s="7">
        <v>27.663920000000001</v>
      </c>
      <c r="X10" s="7">
        <v>26.88571</v>
      </c>
      <c r="Y10" s="7">
        <v>28.861039999999999</v>
      </c>
      <c r="Z10" s="120" t="s">
        <v>1647</v>
      </c>
      <c r="AA10" s="120" t="s">
        <v>1648</v>
      </c>
      <c r="AB10" s="120" t="s">
        <v>1649</v>
      </c>
      <c r="AC10" s="120" t="s">
        <v>1650</v>
      </c>
      <c r="AD10" s="120" t="s">
        <v>1651</v>
      </c>
      <c r="AE10" s="120" t="s">
        <v>1652</v>
      </c>
      <c r="AF10" s="120" t="s">
        <v>1653</v>
      </c>
      <c r="AG10" s="120" t="s">
        <v>1654</v>
      </c>
      <c r="AH10" s="120" t="s">
        <v>1655</v>
      </c>
      <c r="AI10" s="120" t="s">
        <v>1656</v>
      </c>
      <c r="AJ10" s="120" t="s">
        <v>1657</v>
      </c>
      <c r="AK10" s="120" t="s">
        <v>1658</v>
      </c>
      <c r="AL10" s="120" t="s">
        <v>1659</v>
      </c>
      <c r="AM10" s="120" t="s">
        <v>1660</v>
      </c>
      <c r="AN10" s="120" t="s">
        <v>1661</v>
      </c>
      <c r="AO10" s="120" t="s">
        <v>1662</v>
      </c>
      <c r="AP10" s="120" t="s">
        <v>1663</v>
      </c>
      <c r="AQ10" s="120" t="s">
        <v>1664</v>
      </c>
    </row>
    <row r="11" spans="1:43">
      <c r="A11" s="6" t="s">
        <v>1665</v>
      </c>
      <c r="B11" s="218">
        <v>0</v>
      </c>
      <c r="C11" s="218"/>
      <c r="D11" s="218"/>
      <c r="E11" s="218"/>
      <c r="F11" s="218"/>
      <c r="G11" s="218"/>
      <c r="H11" s="218">
        <v>0.24</v>
      </c>
      <c r="I11" s="218"/>
      <c r="J11" s="218"/>
      <c r="K11" s="218"/>
      <c r="L11" s="218"/>
      <c r="M11" s="218"/>
      <c r="N11" s="218">
        <v>3.32</v>
      </c>
      <c r="O11" s="218"/>
      <c r="P11" s="218"/>
      <c r="Q11" s="218"/>
      <c r="R11" s="218"/>
      <c r="S11" s="218"/>
      <c r="T11" s="218">
        <v>5.87</v>
      </c>
      <c r="U11" s="218"/>
      <c r="V11" s="218"/>
      <c r="W11" s="218"/>
      <c r="X11" s="218"/>
      <c r="Y11" s="218"/>
      <c r="Z11" s="218">
        <v>10.46</v>
      </c>
      <c r="AA11" s="218"/>
      <c r="AB11" s="218"/>
      <c r="AC11" s="218"/>
      <c r="AD11" s="218"/>
      <c r="AE11" s="218"/>
      <c r="AF11" s="218">
        <v>19.5</v>
      </c>
      <c r="AG11" s="218"/>
      <c r="AH11" s="218"/>
      <c r="AI11" s="218"/>
      <c r="AJ11" s="218"/>
      <c r="AK11" s="218"/>
      <c r="AL11" s="218">
        <v>40.74</v>
      </c>
      <c r="AM11" s="218"/>
      <c r="AN11" s="218"/>
      <c r="AO11" s="218"/>
      <c r="AP11" s="218"/>
      <c r="AQ11" s="218"/>
    </row>
    <row r="12" spans="1:43">
      <c r="A12" s="6" t="s">
        <v>1605</v>
      </c>
      <c r="B12" s="4">
        <v>-1.3358282946380691</v>
      </c>
      <c r="C12" s="4">
        <v>-1.2891636391362571</v>
      </c>
      <c r="D12" s="4">
        <v>-1.3910035573077448</v>
      </c>
      <c r="E12" s="4">
        <v>-1.3221285366710886</v>
      </c>
      <c r="F12" s="4">
        <v>-1.4301230216832592</v>
      </c>
      <c r="G12" s="4">
        <v>-1.4061271457045497</v>
      </c>
      <c r="H12" s="4">
        <v>0.88398666519876934</v>
      </c>
      <c r="I12" s="4">
        <v>0.94785668338200824</v>
      </c>
      <c r="J12" s="4">
        <v>0.96616708540660823</v>
      </c>
      <c r="K12" s="4">
        <v>1.0328431018088298</v>
      </c>
      <c r="L12" s="4">
        <v>1.0016809367669726</v>
      </c>
      <c r="M12" s="4">
        <v>1.0232853906681452</v>
      </c>
      <c r="N12" s="4">
        <v>1.2858151088894025</v>
      </c>
      <c r="O12" s="4">
        <v>1.3083231904318848</v>
      </c>
      <c r="P12" s="4">
        <v>1.2587124517792674</v>
      </c>
      <c r="Q12" s="4">
        <v>1.3012985237672801</v>
      </c>
      <c r="R12" s="4">
        <v>1.2676027571213195</v>
      </c>
      <c r="S12" s="4">
        <v>1.2692364020690454</v>
      </c>
      <c r="T12" s="4">
        <v>1.340249729521316</v>
      </c>
      <c r="U12" s="4">
        <v>1.3521220987208338</v>
      </c>
      <c r="V12" s="4">
        <v>1.301213229275771</v>
      </c>
      <c r="W12" s="4">
        <v>1.3477221671620438</v>
      </c>
      <c r="X12" s="4">
        <v>1.334002131640452</v>
      </c>
      <c r="Y12" s="4">
        <v>1.3435647541713287</v>
      </c>
      <c r="Z12" s="4" t="e">
        <v>#VALUE!</v>
      </c>
      <c r="AA12" s="4">
        <v>1.4343862064615385</v>
      </c>
      <c r="AB12" s="4" t="e">
        <v>#VALUE!</v>
      </c>
      <c r="AC12" s="4">
        <v>1.4100899142000185</v>
      </c>
      <c r="AD12" s="4" t="e">
        <v>#VALUE!</v>
      </c>
      <c r="AE12" s="4">
        <v>1.384700460089717</v>
      </c>
      <c r="AF12" s="4" t="e">
        <v>#VALUE!</v>
      </c>
      <c r="AG12" s="4">
        <v>1.2432930907712063</v>
      </c>
      <c r="AH12" s="4" t="e">
        <v>#VALUE!</v>
      </c>
      <c r="AI12" s="4">
        <v>1.2056841512693843</v>
      </c>
      <c r="AJ12" s="4" t="e">
        <v>#VALUE!</v>
      </c>
      <c r="AK12" s="4">
        <v>1.2214327569118839</v>
      </c>
      <c r="AL12" s="4" t="e">
        <v>#VALUE!</v>
      </c>
      <c r="AM12" s="4">
        <v>1.3388533530047293</v>
      </c>
      <c r="AN12" s="4" t="e">
        <v>#VALUE!</v>
      </c>
      <c r="AO12" s="4">
        <v>1.3092348647519063</v>
      </c>
      <c r="AP12" s="4" t="e">
        <v>#VALUE!</v>
      </c>
      <c r="AQ12" s="4">
        <v>1.338284136138375</v>
      </c>
    </row>
    <row r="13" spans="1:43">
      <c r="A13" s="6" t="s">
        <v>1615</v>
      </c>
      <c r="B13" s="4">
        <v>-1.3612512422785701</v>
      </c>
      <c r="C13" s="4">
        <v>-1.3184512462655886</v>
      </c>
      <c r="D13" s="4">
        <v>-1.4351328104956038</v>
      </c>
      <c r="E13" s="4">
        <v>-1.3825488141632185</v>
      </c>
      <c r="F13" s="4">
        <v>-1.4277442783405008</v>
      </c>
      <c r="G13" s="4">
        <v>-1.4061271457045497</v>
      </c>
      <c r="H13" s="4">
        <v>-1.0117443525514709</v>
      </c>
      <c r="I13" s="4">
        <v>-1.0005823448640059</v>
      </c>
      <c r="J13" s="4">
        <v>-0.97538299655267757</v>
      </c>
      <c r="K13" s="4">
        <v>-0.89545826388633765</v>
      </c>
      <c r="L13" s="4">
        <v>-0.87395630504293242</v>
      </c>
      <c r="M13" s="4">
        <v>-0.77271504289805826</v>
      </c>
      <c r="N13" s="4">
        <v>0.53778057333258544</v>
      </c>
      <c r="O13" s="4">
        <v>0.51630911166058302</v>
      </c>
      <c r="P13" s="4">
        <v>0.58335035370678046</v>
      </c>
      <c r="Q13" s="4">
        <v>0.61158099750392003</v>
      </c>
      <c r="R13" s="4">
        <v>0.61386337756357445</v>
      </c>
      <c r="S13" s="4">
        <v>0.6330187785683119</v>
      </c>
      <c r="T13" s="4">
        <v>0.86664644369948574</v>
      </c>
      <c r="U13" s="4">
        <v>0.87045728159013169</v>
      </c>
      <c r="V13" s="4">
        <v>0.91152417971312816</v>
      </c>
      <c r="W13" s="4">
        <v>0.92353243326839907</v>
      </c>
      <c r="X13" s="4">
        <v>0.89773927870249703</v>
      </c>
      <c r="Y13" s="4">
        <v>0.93134511239107043</v>
      </c>
      <c r="Z13" s="4">
        <v>1.1117899350171327</v>
      </c>
      <c r="AA13" s="4">
        <v>1.1116834945289722</v>
      </c>
      <c r="AB13" s="4">
        <v>1.1058928765005567</v>
      </c>
      <c r="AC13" s="4">
        <v>1.1392296770319559</v>
      </c>
      <c r="AD13" s="4">
        <v>1.1081782482906304</v>
      </c>
      <c r="AE13" s="4">
        <v>1.1297256523646046</v>
      </c>
      <c r="AF13" s="4">
        <v>1.2566213055432311</v>
      </c>
      <c r="AG13" s="4">
        <v>1.2592325331918539</v>
      </c>
      <c r="AH13" s="4">
        <v>1.2454457911853933</v>
      </c>
      <c r="AI13" s="4">
        <v>1.293305529096791</v>
      </c>
      <c r="AJ13" s="4">
        <v>1.2423791586868222</v>
      </c>
      <c r="AK13" s="4">
        <v>1.2626143347854943</v>
      </c>
      <c r="AL13" s="4">
        <v>1.3734060079088934</v>
      </c>
      <c r="AM13" s="4">
        <v>1.3906052004920044</v>
      </c>
      <c r="AN13" s="4">
        <v>1.2998902154916503</v>
      </c>
      <c r="AO13" s="4">
        <v>1.3676439882439073</v>
      </c>
      <c r="AP13" s="4">
        <v>1.3432679423411085</v>
      </c>
      <c r="AQ13" s="4">
        <v>1.3887044233463033</v>
      </c>
    </row>
    <row r="14" spans="1:43">
      <c r="A14" s="6" t="s">
        <v>1616</v>
      </c>
      <c r="B14" s="4">
        <v>-1.5562990264253294</v>
      </c>
      <c r="C14" s="4">
        <v>-1.4662025301596764</v>
      </c>
      <c r="D14" s="4">
        <v>-1.5222856147020416</v>
      </c>
      <c r="E14" s="4">
        <v>-1.3782422776918455</v>
      </c>
      <c r="F14" s="4">
        <v>-1.3763269622604288</v>
      </c>
      <c r="G14" s="4">
        <v>-1.3069064926175671</v>
      </c>
      <c r="H14" s="4">
        <v>0.28938134226901657</v>
      </c>
      <c r="I14" s="4">
        <v>0.26165082384440724</v>
      </c>
      <c r="J14" s="4">
        <v>0.45508266635775024</v>
      </c>
      <c r="K14" s="4">
        <v>0.5335807894743364</v>
      </c>
      <c r="L14" s="4">
        <v>0.44936823023814421</v>
      </c>
      <c r="M14" s="4">
        <v>0.59396279515451589</v>
      </c>
      <c r="N14" s="4">
        <v>1.1609616719919926</v>
      </c>
      <c r="O14" s="4">
        <v>1.199425218442183</v>
      </c>
      <c r="P14" s="4">
        <v>1.2109150975582252</v>
      </c>
      <c r="Q14" s="4">
        <v>1.2282309200053321</v>
      </c>
      <c r="R14" s="4">
        <v>1.2158154212203698</v>
      </c>
      <c r="S14" s="4">
        <v>1.2360220500204577</v>
      </c>
      <c r="T14" s="4">
        <v>1.2074908353292868</v>
      </c>
      <c r="U14" s="4">
        <v>1.2259971451526068</v>
      </c>
      <c r="V14" s="4">
        <v>1.2468005615699282</v>
      </c>
      <c r="W14" s="4">
        <v>1.2733950854109832</v>
      </c>
      <c r="X14" s="4">
        <v>1.2277818445302804</v>
      </c>
      <c r="Y14" s="4">
        <v>1.2705586608313966</v>
      </c>
      <c r="Z14" s="4">
        <v>1.2087849473698336</v>
      </c>
      <c r="AA14" s="4">
        <v>1.2366483400123303</v>
      </c>
      <c r="AB14" s="4">
        <v>1.205583258640754</v>
      </c>
      <c r="AC14" s="4">
        <v>1.2441877781039072</v>
      </c>
      <c r="AD14" s="4">
        <v>1.2078707014335215</v>
      </c>
      <c r="AE14" s="4">
        <v>1.233367007080221</v>
      </c>
      <c r="AF14" s="4" t="e">
        <v>#VALUE!</v>
      </c>
      <c r="AG14" s="4" t="e">
        <v>#VALUE!</v>
      </c>
      <c r="AH14" s="4" t="e">
        <v>#VALUE!</v>
      </c>
      <c r="AI14" s="4" t="e">
        <v>#VALUE!</v>
      </c>
      <c r="AJ14" s="4" t="e">
        <v>#VALUE!</v>
      </c>
      <c r="AK14" s="4" t="e">
        <v>#VALUE!</v>
      </c>
      <c r="AL14" s="4" t="e">
        <v>#VALUE!</v>
      </c>
      <c r="AM14" s="4" t="e">
        <v>#VALUE!</v>
      </c>
      <c r="AN14" s="4" t="e">
        <v>#VALUE!</v>
      </c>
      <c r="AO14" s="4" t="e">
        <v>#VALUE!</v>
      </c>
      <c r="AP14" s="4" t="e">
        <v>#VALUE!</v>
      </c>
      <c r="AQ14" s="4" t="e">
        <v>#VALUE!</v>
      </c>
    </row>
    <row r="15" spans="1:43">
      <c r="A15" s="6" t="s">
        <v>1629</v>
      </c>
      <c r="B15" s="4">
        <v>-1.3378869130919016</v>
      </c>
      <c r="C15" s="4">
        <v>-1.3025875596151821</v>
      </c>
      <c r="D15" s="4">
        <v>-1.4374607879262156</v>
      </c>
      <c r="E15" s="4">
        <v>-1.6729068329514876</v>
      </c>
      <c r="F15" s="4">
        <v>-1.3742257135911866</v>
      </c>
      <c r="G15" s="4">
        <v>-1.3200363800857051</v>
      </c>
      <c r="H15" s="4">
        <v>-1.2835292897025323</v>
      </c>
      <c r="I15" s="4">
        <v>-1.2068454631546766</v>
      </c>
      <c r="J15" s="4">
        <v>-1.3072999552315197</v>
      </c>
      <c r="K15" s="4">
        <v>-1.2948036302872252</v>
      </c>
      <c r="L15" s="4">
        <v>-1.2384096598503185</v>
      </c>
      <c r="M15" s="4">
        <v>-1.2977590779297083</v>
      </c>
      <c r="N15" s="4">
        <v>-1.0966251549821378</v>
      </c>
      <c r="O15" s="4">
        <v>-1.1680151113646995</v>
      </c>
      <c r="P15" s="4">
        <v>-1.1271900960968451</v>
      </c>
      <c r="Q15" s="4">
        <v>-1.1071043620712304</v>
      </c>
      <c r="R15" s="4">
        <v>-1.0171751682892727</v>
      </c>
      <c r="S15" s="4">
        <v>-1.0058720948667299</v>
      </c>
      <c r="T15" s="4">
        <v>-0.94577645319151282</v>
      </c>
      <c r="U15" s="4">
        <v>-1.0235262165645094</v>
      </c>
      <c r="V15" s="4">
        <v>-0.9666109894614191</v>
      </c>
      <c r="W15" s="4">
        <v>-0.93215948395914228</v>
      </c>
      <c r="X15" s="4">
        <v>-0.8641212896435011</v>
      </c>
      <c r="Y15" s="4">
        <v>-0.82427370161406743</v>
      </c>
      <c r="Z15" s="4">
        <v>-0.66799473756278605</v>
      </c>
      <c r="AA15" s="4">
        <v>-0.58048206922240231</v>
      </c>
      <c r="AB15" s="4">
        <v>-0.63767566437165257</v>
      </c>
      <c r="AC15" s="4">
        <v>-0.63652340572184862</v>
      </c>
      <c r="AD15" s="4">
        <v>-0.58639236488594759</v>
      </c>
      <c r="AE15" s="4">
        <v>-0.56940739066719948</v>
      </c>
      <c r="AF15" s="4">
        <v>-0.16846442843046414</v>
      </c>
      <c r="AG15" s="4">
        <v>-0.17871907465978956</v>
      </c>
      <c r="AH15" s="4">
        <v>-0.14551450713971054</v>
      </c>
      <c r="AI15" s="4">
        <v>-0.13551324486024749</v>
      </c>
      <c r="AJ15" s="4">
        <v>-0.147370651824937</v>
      </c>
      <c r="AK15" s="4">
        <v>-0.14470804521726829</v>
      </c>
      <c r="AL15" s="4">
        <v>0.36157913078992343</v>
      </c>
      <c r="AM15" s="4">
        <v>0.39700753352305612</v>
      </c>
      <c r="AN15" s="4">
        <v>0.2970465964970288</v>
      </c>
      <c r="AO15" s="4">
        <v>0.32877884845726807</v>
      </c>
      <c r="AP15" s="4">
        <v>0.28477591376349182</v>
      </c>
      <c r="AQ15" s="4">
        <v>0.28600487417261194</v>
      </c>
    </row>
    <row r="16" spans="1:43">
      <c r="A16" s="6" t="s">
        <v>1630</v>
      </c>
      <c r="B16" s="4">
        <v>-1.4782626372985428</v>
      </c>
      <c r="C16" s="4">
        <v>-1.4255751503388825</v>
      </c>
      <c r="D16" s="4">
        <v>-1.4421558393353069</v>
      </c>
      <c r="E16" s="4">
        <v>-1.3890738065912942</v>
      </c>
      <c r="F16" s="4">
        <v>-1.2992609870485325</v>
      </c>
      <c r="G16" s="4">
        <v>-1.6957033969816449</v>
      </c>
      <c r="H16" s="4">
        <v>-0.8512203538266333</v>
      </c>
      <c r="I16" s="4">
        <v>-0.81456551139517197</v>
      </c>
      <c r="J16" s="4">
        <v>-0.46567628833862346</v>
      </c>
      <c r="K16" s="4">
        <v>-0.48984254261740678</v>
      </c>
      <c r="L16" s="4">
        <v>-0.45214998242253829</v>
      </c>
      <c r="M16" s="4">
        <v>-0.50072404245433288</v>
      </c>
      <c r="N16" s="4">
        <v>0.79976854760777871</v>
      </c>
      <c r="O16" s="4">
        <v>0.76883441420626886</v>
      </c>
      <c r="P16" s="4">
        <v>0.92480481689541405</v>
      </c>
      <c r="Q16" s="4">
        <v>0.93418594980776404</v>
      </c>
      <c r="R16" s="4">
        <v>0.92575397170149654</v>
      </c>
      <c r="S16" s="4">
        <v>0.94199762982966884</v>
      </c>
      <c r="T16" s="4">
        <v>0.93859676098399969</v>
      </c>
      <c r="U16" s="4">
        <v>0.92251536846897986</v>
      </c>
      <c r="V16" s="4">
        <v>1.0899681960753178</v>
      </c>
      <c r="W16" s="4">
        <v>1.1060191180226331</v>
      </c>
      <c r="X16" s="4">
        <v>1.1028955205676747</v>
      </c>
      <c r="Y16" s="4">
        <v>1.1244187921418587</v>
      </c>
      <c r="Z16" s="4">
        <v>1.11310956292372</v>
      </c>
      <c r="AA16" s="4">
        <v>1.1010507515249219</v>
      </c>
      <c r="AB16" s="4">
        <v>1.2055831423166901</v>
      </c>
      <c r="AC16" s="4">
        <v>1.2362046116667553</v>
      </c>
      <c r="AD16" s="4">
        <v>1.166653598092801</v>
      </c>
      <c r="AE16" s="4">
        <v>1.2107916242954615</v>
      </c>
      <c r="AF16" s="4">
        <v>1.2473158888687865</v>
      </c>
      <c r="AG16" s="4">
        <v>1.2459447731952578</v>
      </c>
      <c r="AH16" s="4">
        <v>1.2560723850965814</v>
      </c>
      <c r="AI16" s="4">
        <v>1.2853484373997941</v>
      </c>
      <c r="AJ16" s="4">
        <v>1.2477228221683379</v>
      </c>
      <c r="AK16" s="4">
        <v>1.2665799806865727</v>
      </c>
      <c r="AL16" s="4" t="e">
        <v>#VALUE!</v>
      </c>
      <c r="AM16" s="4" t="e">
        <v>#VALUE!</v>
      </c>
      <c r="AN16" s="4" t="e">
        <v>#VALUE!</v>
      </c>
      <c r="AO16" s="4" t="e">
        <v>#VALUE!</v>
      </c>
      <c r="AP16" s="4" t="e">
        <v>#VALUE!</v>
      </c>
      <c r="AQ16" s="4" t="e">
        <v>#VALUE!</v>
      </c>
    </row>
    <row r="17" spans="1:43">
      <c r="A17" s="6" t="s">
        <v>1637</v>
      </c>
      <c r="B17" s="4">
        <v>-1.3256524750600229</v>
      </c>
      <c r="C17" s="4">
        <v>-1.3144284307146485</v>
      </c>
      <c r="D17" s="4">
        <v>-1.4974586673919703</v>
      </c>
      <c r="E17" s="4">
        <v>-1.3718768372875063</v>
      </c>
      <c r="F17" s="4">
        <v>-1.3597823105352085</v>
      </c>
      <c r="G17" s="4">
        <v>-1.3335756274812405</v>
      </c>
      <c r="H17" s="4">
        <v>-1.281708317954918</v>
      </c>
      <c r="I17" s="4">
        <v>-1.2743170039207632</v>
      </c>
      <c r="J17" s="4">
        <v>-1.3433617009785503</v>
      </c>
      <c r="K17" s="4">
        <v>-1.2792041980055353</v>
      </c>
      <c r="L17" s="4">
        <v>-1.258832314421878</v>
      </c>
      <c r="M17" s="4">
        <v>-1.1824280202244384</v>
      </c>
      <c r="N17" s="4">
        <v>-1.0347937725481466</v>
      </c>
      <c r="O17" s="4">
        <v>-0.99192385230901836</v>
      </c>
      <c r="P17" s="4">
        <v>-0.99097033184066163</v>
      </c>
      <c r="Q17" s="4">
        <v>-0.95334878302908044</v>
      </c>
      <c r="R17" s="4">
        <v>-0.85768716796094568</v>
      </c>
      <c r="S17" s="4">
        <v>-0.82427370161406743</v>
      </c>
      <c r="T17" s="4">
        <v>-0.90575788493260589</v>
      </c>
      <c r="U17" s="4">
        <v>-0.72868358015316492</v>
      </c>
      <c r="V17" s="4">
        <v>-0.75128592699433894</v>
      </c>
      <c r="W17" s="4">
        <v>-0.70347082223587043</v>
      </c>
      <c r="X17" s="4">
        <v>-0.61831407187588205</v>
      </c>
      <c r="Y17" s="4">
        <v>-0.57622510078991396</v>
      </c>
      <c r="Z17" s="4">
        <v>-0.22521810057512062</v>
      </c>
      <c r="AA17" s="4">
        <v>-0.25889727187942924</v>
      </c>
      <c r="AB17" s="4">
        <v>-0.18413836237518322</v>
      </c>
      <c r="AC17" s="4">
        <v>-0.15554208523784716</v>
      </c>
      <c r="AD17" s="4">
        <v>-0.15744170125252641</v>
      </c>
      <c r="AE17" s="4">
        <v>-6.370748234243781E-2</v>
      </c>
      <c r="AF17" s="4">
        <v>0.42951632992031197</v>
      </c>
      <c r="AG17" s="4">
        <v>0.509458317697562</v>
      </c>
      <c r="AH17" s="4">
        <v>0.4253820856358958</v>
      </c>
      <c r="AI17" s="4">
        <v>0.48627713804148742</v>
      </c>
      <c r="AJ17" s="4">
        <v>0.48444511260869494</v>
      </c>
      <c r="AK17" s="4">
        <v>0.49562244802755717</v>
      </c>
      <c r="AL17" s="4">
        <v>0.9519567437554598</v>
      </c>
      <c r="AM17" s="4">
        <v>0.98785866122655397</v>
      </c>
      <c r="AN17" s="4">
        <v>0.9208323974119077</v>
      </c>
      <c r="AO17" s="4">
        <v>0.94488948457779365</v>
      </c>
      <c r="AP17" s="4">
        <v>0.94043516399503613</v>
      </c>
      <c r="AQ17" s="4">
        <v>0.94604204625081634</v>
      </c>
    </row>
    <row r="18" spans="1:43">
      <c r="A18" s="6" t="s">
        <v>1638</v>
      </c>
      <c r="B18" s="4">
        <v>-1.4697745267359108</v>
      </c>
      <c r="C18" s="4">
        <v>-1.4387077596210416</v>
      </c>
      <c r="D18" s="4">
        <v>-1.4947860765254803</v>
      </c>
      <c r="E18" s="4">
        <v>-1.4304739383813296</v>
      </c>
      <c r="F18" s="4">
        <v>-1.336087640688947</v>
      </c>
      <c r="G18" s="4">
        <v>-1.3536845141252858</v>
      </c>
      <c r="H18" s="4">
        <v>-0.5102715256410616</v>
      </c>
      <c r="I18" s="4">
        <v>-0.74455622362733442</v>
      </c>
      <c r="J18" s="4">
        <v>-0.18806510243953314</v>
      </c>
      <c r="K18" s="4">
        <v>-0.21298538433267558</v>
      </c>
      <c r="L18" s="4">
        <v>-0.18234020842709461</v>
      </c>
      <c r="M18" s="4">
        <v>-0.15893161689306096</v>
      </c>
      <c r="N18" s="4">
        <v>0.93064647217677798</v>
      </c>
      <c r="O18" s="4">
        <v>0.88257690058096527</v>
      </c>
      <c r="P18" s="4">
        <v>1.0779501530179036</v>
      </c>
      <c r="Q18" s="4">
        <v>1.1033452470683178</v>
      </c>
      <c r="R18" s="4">
        <v>1.0909127557512766</v>
      </c>
      <c r="S18" s="4">
        <v>1.1217410086289983</v>
      </c>
      <c r="T18" s="4">
        <v>1.0758278495790701</v>
      </c>
      <c r="U18" s="4">
        <v>1.058430959593532</v>
      </c>
      <c r="V18" s="4">
        <v>1.2109150197971528</v>
      </c>
      <c r="W18" s="4">
        <v>1.2455126678141499</v>
      </c>
      <c r="X18" s="4">
        <v>1.2237766316124612</v>
      </c>
      <c r="Y18" s="4">
        <v>1.2506492882965665</v>
      </c>
      <c r="Z18" s="4">
        <v>1.215429610834537</v>
      </c>
      <c r="AA18" s="4">
        <v>1.2472643218368915</v>
      </c>
      <c r="AB18" s="4">
        <v>1.3025324590739289</v>
      </c>
      <c r="AC18" s="4">
        <v>1.3397689465358751</v>
      </c>
      <c r="AD18" s="4">
        <v>1.2941961984507333</v>
      </c>
      <c r="AE18" s="4">
        <v>1.3117182686348938</v>
      </c>
      <c r="AF18" s="4">
        <v>1.3402497537257205</v>
      </c>
      <c r="AG18" s="4">
        <v>1.3455164458806657</v>
      </c>
      <c r="AH18" s="4">
        <v>1.3410133951276866</v>
      </c>
      <c r="AI18" s="4">
        <v>1.3636700699441768</v>
      </c>
      <c r="AJ18" s="4">
        <v>1.336663905923388</v>
      </c>
      <c r="AK18" s="4">
        <v>1.3754294889965586</v>
      </c>
      <c r="AL18" s="4" t="e">
        <v>#VALUE!</v>
      </c>
      <c r="AM18" s="4" t="e">
        <v>#VALUE!</v>
      </c>
      <c r="AN18" s="4" t="e">
        <v>#VALUE!</v>
      </c>
      <c r="AO18" s="4" t="e">
        <v>#VALUE!</v>
      </c>
      <c r="AP18" s="4" t="e">
        <v>#VALUE!</v>
      </c>
      <c r="AQ18" s="4" t="e">
        <v>#VALUE!</v>
      </c>
    </row>
    <row r="19" spans="1:43">
      <c r="A19" s="6" t="s">
        <v>1645</v>
      </c>
      <c r="B19" s="4">
        <v>-1.2535682076577548</v>
      </c>
      <c r="C19" s="4">
        <v>-1.2529534949126591</v>
      </c>
      <c r="D19" s="4">
        <v>-1.4236701696945222</v>
      </c>
      <c r="E19" s="4">
        <v>-1.3697755892475676</v>
      </c>
      <c r="F19" s="4">
        <v>-1.3010299956639813</v>
      </c>
      <c r="G19" s="4">
        <v>-1.2646726192115101</v>
      </c>
      <c r="H19" s="4">
        <v>-1.1590474801111774</v>
      </c>
      <c r="I19" s="4">
        <v>-1.0850436564803323</v>
      </c>
      <c r="J19" s="4">
        <v>-1.1555228242543185</v>
      </c>
      <c r="K19" s="4">
        <v>-1.1581089381483665</v>
      </c>
      <c r="L19" s="4">
        <v>-1.0236775378863037</v>
      </c>
      <c r="M19" s="4">
        <v>-0.99044288077362641</v>
      </c>
      <c r="N19" s="4">
        <v>-0.17127374009077911</v>
      </c>
      <c r="O19" s="4">
        <v>-5.8047540229414392E-2</v>
      </c>
      <c r="P19" s="4">
        <v>-8.9658992678523605E-2</v>
      </c>
      <c r="Q19" s="4">
        <v>-7.1899752941201725E-2</v>
      </c>
      <c r="R19" s="4">
        <v>-3.9888508317778806E-2</v>
      </c>
      <c r="S19" s="4">
        <v>-1.2953896216225148E-2</v>
      </c>
      <c r="T19" s="4">
        <v>3.6424872740732979E-2</v>
      </c>
      <c r="U19" s="4">
        <v>0.24761562362812067</v>
      </c>
      <c r="V19" s="4">
        <v>0.2133062691757672</v>
      </c>
      <c r="W19" s="4">
        <v>0.2354244057680869</v>
      </c>
      <c r="X19" s="4">
        <v>0.26549163661875191</v>
      </c>
      <c r="Y19" s="4">
        <v>0.27934817720123928</v>
      </c>
      <c r="Z19" s="4">
        <v>0.5177764611020329</v>
      </c>
      <c r="AA19" s="4">
        <v>0.57146215701887459</v>
      </c>
      <c r="AB19" s="4">
        <v>0.53064542193230169</v>
      </c>
      <c r="AC19" s="4">
        <v>0.54700028218834273</v>
      </c>
      <c r="AD19" s="4">
        <v>0.54935362330008486</v>
      </c>
      <c r="AE19" s="4">
        <v>0.57107975553276946</v>
      </c>
      <c r="AF19" s="4">
        <v>0.78770277582424642</v>
      </c>
      <c r="AG19" s="4">
        <v>0.80098842754575994</v>
      </c>
      <c r="AH19" s="4">
        <v>0.76714057270807812</v>
      </c>
      <c r="AI19" s="4">
        <v>0.78730706283305663</v>
      </c>
      <c r="AJ19" s="4">
        <v>0.76813952328881707</v>
      </c>
      <c r="AK19" s="4">
        <v>0.7951355199857677</v>
      </c>
      <c r="AL19" s="4">
        <v>0.9306464470587944</v>
      </c>
      <c r="AM19" s="4">
        <v>0.93856800523183082</v>
      </c>
      <c r="AN19" s="4">
        <v>0.93818321675241556</v>
      </c>
      <c r="AO19" s="4">
        <v>0.93823078322171516</v>
      </c>
      <c r="AP19" s="4">
        <v>0.91510897688913362</v>
      </c>
      <c r="AQ19" s="4">
        <v>0.9073084723950775</v>
      </c>
    </row>
    <row r="20" spans="1:43">
      <c r="A20" s="6" t="s">
        <v>1646</v>
      </c>
      <c r="B20" s="4">
        <v>-1.4220603495488011</v>
      </c>
      <c r="C20" s="4">
        <v>-1.3045358357371444</v>
      </c>
      <c r="D20" s="4">
        <v>-1.4614639670032643</v>
      </c>
      <c r="E20" s="4">
        <v>-1.3037222632642897</v>
      </c>
      <c r="F20" s="4">
        <v>-1.304588376656483</v>
      </c>
      <c r="G20" s="4">
        <v>-1.3901709004248897</v>
      </c>
      <c r="H20" s="4">
        <v>1.2340546502324006</v>
      </c>
      <c r="I20" s="4">
        <v>1.2459447731952578</v>
      </c>
      <c r="J20" s="4">
        <v>1.2946000211594704</v>
      </c>
      <c r="K20" s="4">
        <v>1.3065907784523478</v>
      </c>
      <c r="L20" s="4">
        <v>1.3101078414558327</v>
      </c>
      <c r="M20" s="4">
        <v>1.3263237742631899</v>
      </c>
      <c r="N20" s="4">
        <v>1.3986310291604118</v>
      </c>
      <c r="O20" s="4">
        <v>1.4224470211331135</v>
      </c>
      <c r="P20" s="4">
        <v>1.3357318310300426</v>
      </c>
      <c r="Q20" s="4">
        <v>1.3848870371638626</v>
      </c>
      <c r="R20" s="4">
        <v>1.3644935858959577</v>
      </c>
      <c r="S20" s="4">
        <v>1.3913411414664343</v>
      </c>
      <c r="T20" s="4">
        <v>1.4424029376130432</v>
      </c>
      <c r="U20" s="4">
        <v>1.4900765240165228</v>
      </c>
      <c r="V20" s="4">
        <v>1.3954359577748086</v>
      </c>
      <c r="W20" s="4">
        <v>1.4419137200157066</v>
      </c>
      <c r="X20" s="4">
        <v>1.4295215098483123</v>
      </c>
      <c r="Y20" s="4">
        <v>1.4603119767270958</v>
      </c>
      <c r="Z20" s="4" t="e">
        <v>#VALUE!</v>
      </c>
      <c r="AA20" s="4" t="e">
        <v>#VALUE!</v>
      </c>
      <c r="AB20" s="4" t="e">
        <v>#VALUE!</v>
      </c>
      <c r="AC20" s="4" t="e">
        <v>#VALUE!</v>
      </c>
      <c r="AD20" s="4" t="e">
        <v>#VALUE!</v>
      </c>
      <c r="AE20" s="4" t="e">
        <v>#VALUE!</v>
      </c>
      <c r="AF20" s="4" t="e">
        <v>#VALUE!</v>
      </c>
      <c r="AG20" s="4" t="e">
        <v>#VALUE!</v>
      </c>
      <c r="AH20" s="4" t="e">
        <v>#VALUE!</v>
      </c>
      <c r="AI20" s="4" t="e">
        <v>#VALUE!</v>
      </c>
      <c r="AJ20" s="4" t="e">
        <v>#VALUE!</v>
      </c>
      <c r="AK20" s="4" t="e">
        <v>#VALUE!</v>
      </c>
      <c r="AL20" s="4" t="e">
        <v>#VALUE!</v>
      </c>
      <c r="AM20" s="4" t="e">
        <v>#VALUE!</v>
      </c>
      <c r="AN20" s="4" t="e">
        <v>#VALUE!</v>
      </c>
      <c r="AO20" s="4" t="e">
        <v>#VALUE!</v>
      </c>
      <c r="AP20" s="4" t="e">
        <v>#VALUE!</v>
      </c>
      <c r="AQ20" s="4" t="e">
        <v>#VALUE!</v>
      </c>
    </row>
    <row r="22" spans="1:43">
      <c r="A22" s="4" t="s">
        <v>1666</v>
      </c>
      <c r="B22" s="218">
        <v>0</v>
      </c>
      <c r="C22" s="218"/>
      <c r="D22" s="218"/>
      <c r="E22" s="218"/>
      <c r="F22" s="218"/>
      <c r="G22" s="218"/>
      <c r="H22" s="218">
        <v>0.24</v>
      </c>
      <c r="I22" s="218"/>
      <c r="J22" s="218"/>
      <c r="K22" s="218"/>
      <c r="L22" s="218"/>
      <c r="M22" s="218"/>
      <c r="N22" s="218">
        <v>3.32</v>
      </c>
      <c r="O22" s="218"/>
      <c r="P22" s="218"/>
      <c r="Q22" s="218"/>
      <c r="R22" s="218"/>
      <c r="S22" s="218"/>
      <c r="T22" s="218">
        <v>5.87</v>
      </c>
      <c r="U22" s="218"/>
      <c r="V22" s="218"/>
      <c r="W22" s="218"/>
      <c r="X22" s="218"/>
      <c r="Y22" s="218"/>
      <c r="Z22" s="218">
        <v>10.46</v>
      </c>
      <c r="AA22" s="218"/>
      <c r="AB22" s="218"/>
      <c r="AC22" s="218"/>
      <c r="AD22" s="218"/>
      <c r="AE22" s="218"/>
      <c r="AF22" s="218">
        <v>19.5</v>
      </c>
      <c r="AG22" s="218"/>
      <c r="AH22" s="218"/>
      <c r="AI22" s="218"/>
      <c r="AJ22" s="218"/>
      <c r="AK22" s="218"/>
      <c r="AL22" s="218">
        <v>40.74</v>
      </c>
      <c r="AM22" s="218"/>
      <c r="AN22" s="218"/>
      <c r="AO22" s="218"/>
      <c r="AP22" s="218"/>
      <c r="AQ22" s="218"/>
    </row>
    <row r="23" spans="1:43">
      <c r="A23" s="6" t="s">
        <v>1605</v>
      </c>
      <c r="B23" s="4">
        <v>0.59759998321533203</v>
      </c>
      <c r="C23" s="4">
        <v>0.62300002574920699</v>
      </c>
      <c r="D23" s="4">
        <v>0.642799973487854</v>
      </c>
      <c r="E23" s="4">
        <v>0.68019998073577903</v>
      </c>
      <c r="F23" s="131">
        <v>0.67580002546310403</v>
      </c>
      <c r="G23" s="131">
        <v>0.68999999761581399</v>
      </c>
      <c r="H23" s="4">
        <v>0.57410001754760698</v>
      </c>
      <c r="I23" s="4">
        <v>0.59539997577667203</v>
      </c>
      <c r="J23" s="4">
        <v>0.62159997224807695</v>
      </c>
      <c r="K23" s="4">
        <v>0.67049998044967696</v>
      </c>
      <c r="L23" s="131">
        <v>0.65469998121261597</v>
      </c>
      <c r="M23" s="131">
        <v>0.65549999475479104</v>
      </c>
      <c r="N23" s="4">
        <v>0.35400000214576699</v>
      </c>
      <c r="O23" s="4">
        <v>0.35800001025199901</v>
      </c>
      <c r="P23" s="4">
        <v>0.36370000243187001</v>
      </c>
      <c r="Q23" s="4">
        <v>0.393999993801117</v>
      </c>
      <c r="R23" s="131">
        <v>0.37110000848770103</v>
      </c>
      <c r="S23" s="131">
        <v>0.36680001020431502</v>
      </c>
      <c r="T23" s="4">
        <v>0.26060000061988797</v>
      </c>
      <c r="U23" s="4">
        <v>0.27360001206397999</v>
      </c>
      <c r="V23" s="4">
        <v>0.27329999208450301</v>
      </c>
      <c r="W23" s="4">
        <v>0.31940001249313399</v>
      </c>
      <c r="X23" s="131">
        <v>0.27030000090599099</v>
      </c>
      <c r="Y23" s="131">
        <v>0.27549999952316301</v>
      </c>
      <c r="Z23" s="4">
        <v>0.133300006389618</v>
      </c>
      <c r="AA23" s="4">
        <v>0.155100002884865</v>
      </c>
      <c r="AB23" s="4">
        <v>0.15389999747276301</v>
      </c>
      <c r="AC23" s="4">
        <v>0.19009999930858601</v>
      </c>
      <c r="AD23" s="131">
        <v>0.14329999685287501</v>
      </c>
      <c r="AE23" s="131">
        <v>0.17229999601841001</v>
      </c>
      <c r="AF23" s="78">
        <v>5.4600000381469699E-2</v>
      </c>
      <c r="AG23" s="4">
        <v>0.17610000073909801</v>
      </c>
      <c r="AH23" s="78">
        <v>5.7100001722574199E-2</v>
      </c>
      <c r="AI23" s="4">
        <v>0.200399994850159</v>
      </c>
      <c r="AJ23" s="77">
        <v>5.9500001370906802E-2</v>
      </c>
      <c r="AK23" s="131">
        <v>0.19760000705719</v>
      </c>
      <c r="AL23" s="78">
        <v>4.0800001472234698E-2</v>
      </c>
      <c r="AM23" s="78">
        <v>0.14990000426769301</v>
      </c>
      <c r="AN23" s="78">
        <v>4.0899999439716297E-2</v>
      </c>
      <c r="AO23" s="78">
        <v>0.12210000306367901</v>
      </c>
      <c r="AP23" s="77">
        <v>3.8800001144409201E-2</v>
      </c>
      <c r="AQ23" s="77">
        <v>0.13400000333786</v>
      </c>
    </row>
    <row r="24" spans="1:43">
      <c r="A24" s="6" t="s">
        <v>1615</v>
      </c>
      <c r="B24" s="4">
        <v>0.616199970245361</v>
      </c>
      <c r="C24" s="4">
        <v>0.60970002412795998</v>
      </c>
      <c r="D24" s="4">
        <v>0.66250002384185802</v>
      </c>
      <c r="E24" s="4">
        <v>0.66790002584457397</v>
      </c>
      <c r="F24" s="131">
        <v>0.67900002002716098</v>
      </c>
      <c r="G24" s="131">
        <v>0.68120002746581998</v>
      </c>
      <c r="H24" s="4">
        <v>0.64469999074935902</v>
      </c>
      <c r="I24" s="4">
        <v>0.64679998159408603</v>
      </c>
      <c r="J24" s="4">
        <v>0.67489999532699596</v>
      </c>
      <c r="K24" s="4">
        <v>0.68379998207092296</v>
      </c>
      <c r="L24" s="131">
        <v>0.68709999322891202</v>
      </c>
      <c r="M24" s="131">
        <v>0.68930000066757202</v>
      </c>
      <c r="N24" s="4">
        <v>0.64230000972747803</v>
      </c>
      <c r="O24" s="4">
        <v>0.63129997253418002</v>
      </c>
      <c r="P24" s="4">
        <v>0.68339997529983498</v>
      </c>
      <c r="Q24" s="4">
        <v>0.69179999828338601</v>
      </c>
      <c r="R24" s="131">
        <v>0.66600000858306896</v>
      </c>
      <c r="S24" s="131">
        <v>0.67360001802444502</v>
      </c>
      <c r="T24" s="4">
        <v>0.62910002470016502</v>
      </c>
      <c r="U24" s="4">
        <v>0.62889999151229903</v>
      </c>
      <c r="V24" s="4">
        <v>0.67250001430511497</v>
      </c>
      <c r="W24" s="4">
        <v>0.68540000915527299</v>
      </c>
      <c r="X24" s="131">
        <v>0.63999998569488503</v>
      </c>
      <c r="Y24" s="131">
        <v>0.66280001401901201</v>
      </c>
      <c r="Z24" s="4">
        <v>0.60009998083114602</v>
      </c>
      <c r="AA24" s="4">
        <v>0.60339999198913596</v>
      </c>
      <c r="AB24" s="4">
        <v>0.64789998531341597</v>
      </c>
      <c r="AC24" s="4">
        <v>0.65930002927780196</v>
      </c>
      <c r="AD24" s="131">
        <v>0.63770002126693703</v>
      </c>
      <c r="AE24" s="131">
        <v>0.65670001506805398</v>
      </c>
      <c r="AF24" s="4">
        <v>0.53909999132156405</v>
      </c>
      <c r="AG24" s="4">
        <v>0.53140002489089999</v>
      </c>
      <c r="AH24" s="4">
        <v>0.57220000028610196</v>
      </c>
      <c r="AI24" s="4">
        <v>0.57990002632141102</v>
      </c>
      <c r="AJ24" s="131">
        <v>0.55119997262954701</v>
      </c>
      <c r="AK24" s="131">
        <v>0.55760002136230502</v>
      </c>
      <c r="AL24" s="4">
        <v>0.130500003695488</v>
      </c>
      <c r="AM24" s="4">
        <v>0.133900001645088</v>
      </c>
      <c r="AN24" s="4">
        <v>0.15160000324249301</v>
      </c>
      <c r="AO24" s="4">
        <v>0.16500000655651101</v>
      </c>
      <c r="AP24" s="131">
        <v>0.141200006008148</v>
      </c>
      <c r="AQ24" s="131">
        <v>0.151199996471405</v>
      </c>
    </row>
    <row r="25" spans="1:43">
      <c r="A25" s="6" t="s">
        <v>1616</v>
      </c>
      <c r="B25" s="4">
        <v>0.58190000057220503</v>
      </c>
      <c r="C25" s="4">
        <v>0.58429998159408603</v>
      </c>
      <c r="D25" s="4">
        <v>0.68639999628067005</v>
      </c>
      <c r="E25" s="4">
        <v>0.66769999265670799</v>
      </c>
      <c r="F25" s="4">
        <v>0.69069999456405595</v>
      </c>
      <c r="G25" s="4">
        <v>0.67559999227523804</v>
      </c>
      <c r="H25" s="4">
        <v>0.59769999980926503</v>
      </c>
      <c r="I25" s="4">
        <v>0.60320001840591397</v>
      </c>
      <c r="J25" s="4">
        <v>0.67949998378753695</v>
      </c>
      <c r="K25" s="4">
        <v>0.68779999017715499</v>
      </c>
      <c r="L25" s="4">
        <v>0.69730001688003496</v>
      </c>
      <c r="M25" s="4">
        <v>0.70459997653961204</v>
      </c>
      <c r="N25" s="4">
        <v>0.56489998102188099</v>
      </c>
      <c r="O25" s="4">
        <v>0.55820000171661399</v>
      </c>
      <c r="P25" s="4">
        <v>0.68120002746581998</v>
      </c>
      <c r="Q25" s="4">
        <v>0.6807000041008</v>
      </c>
      <c r="R25" s="4">
        <v>0.66339999437332198</v>
      </c>
      <c r="S25" s="4">
        <v>0.66949999332428001</v>
      </c>
      <c r="T25" s="4">
        <v>0.51620000600814797</v>
      </c>
      <c r="U25" s="4">
        <v>0.531199991703033</v>
      </c>
      <c r="V25" s="4">
        <v>0.611699998378754</v>
      </c>
      <c r="W25" s="4">
        <v>0.62430000305175803</v>
      </c>
      <c r="X25" s="4">
        <v>0.59399998188018799</v>
      </c>
      <c r="Y25" s="4">
        <v>0.62360000610351596</v>
      </c>
      <c r="Z25" s="4">
        <v>0.33410000801086398</v>
      </c>
      <c r="AA25" s="4">
        <v>0.36669999361038202</v>
      </c>
      <c r="AB25" s="4">
        <v>0.420800000429153</v>
      </c>
      <c r="AC25" s="4">
        <v>0.45809999108314498</v>
      </c>
      <c r="AD25" s="4">
        <v>0.36959999799728399</v>
      </c>
      <c r="AE25" s="4">
        <v>0.42539998888969399</v>
      </c>
      <c r="AF25" s="78">
        <v>9.8300002515315996E-2</v>
      </c>
      <c r="AG25" s="78">
        <v>0.108599998056889</v>
      </c>
      <c r="AH25" s="78">
        <v>0.138400003314018</v>
      </c>
      <c r="AI25" s="78">
        <v>0.13799999654293099</v>
      </c>
      <c r="AJ25" s="78">
        <v>0.125</v>
      </c>
      <c r="AK25" s="78">
        <v>0.122699998319149</v>
      </c>
      <c r="AL25" s="78">
        <v>5.8400001376867301E-2</v>
      </c>
      <c r="AM25" s="78">
        <v>5.8200001716613797E-2</v>
      </c>
      <c r="AN25" s="78">
        <v>6.5300002694129902E-2</v>
      </c>
      <c r="AO25" s="78">
        <v>6.5999999642372104E-2</v>
      </c>
      <c r="AP25" s="78">
        <v>6.7400000989437103E-2</v>
      </c>
      <c r="AQ25" s="78">
        <v>6.7500002682209001E-2</v>
      </c>
    </row>
    <row r="26" spans="1:43">
      <c r="A26" s="6" t="s">
        <v>1629</v>
      </c>
      <c r="B26" s="4">
        <v>0.61320000886917103</v>
      </c>
      <c r="C26" s="4">
        <v>0.61379998922348</v>
      </c>
      <c r="D26" s="4">
        <v>0.65719997882842995</v>
      </c>
      <c r="E26" s="4">
        <v>0.67739999294280995</v>
      </c>
      <c r="F26" s="131">
        <v>0.68510001897811901</v>
      </c>
      <c r="G26" s="131">
        <v>0.69019997119903598</v>
      </c>
      <c r="H26" s="4">
        <v>0.64230000972747803</v>
      </c>
      <c r="I26" s="4">
        <v>0.62589997053146396</v>
      </c>
      <c r="J26" s="4">
        <v>0.68430000543594405</v>
      </c>
      <c r="K26" s="4">
        <v>0.69499999284744296</v>
      </c>
      <c r="L26" s="131">
        <v>0.70429998636245705</v>
      </c>
      <c r="M26" s="131">
        <v>0.71929997205734297</v>
      </c>
      <c r="N26" s="4">
        <v>0.62769997119903598</v>
      </c>
      <c r="O26" s="4">
        <v>0.62290000915527299</v>
      </c>
      <c r="P26" s="4">
        <v>0.691900014877319</v>
      </c>
      <c r="Q26" s="4">
        <v>0.69830000400543202</v>
      </c>
      <c r="R26" s="131">
        <v>0.68629997968673695</v>
      </c>
      <c r="S26" s="131">
        <v>0.67079997062683105</v>
      </c>
      <c r="T26" s="4">
        <v>0.62959998846054099</v>
      </c>
      <c r="U26" s="4">
        <v>0.61529999971389804</v>
      </c>
      <c r="V26" s="4">
        <v>0.68900001049041704</v>
      </c>
      <c r="W26" s="4">
        <v>0.68989998102188099</v>
      </c>
      <c r="X26" s="131">
        <v>0.66449999809265103</v>
      </c>
      <c r="Y26" s="131">
        <v>0.62860000133514404</v>
      </c>
      <c r="Z26" s="4">
        <v>0.60909998416900601</v>
      </c>
      <c r="AA26" s="4">
        <v>0.61589998006820701</v>
      </c>
      <c r="AB26" s="4">
        <v>0.669700026512146</v>
      </c>
      <c r="AC26" s="4">
        <v>0.62779998779296897</v>
      </c>
      <c r="AD26" s="131">
        <v>0.66390001773834195</v>
      </c>
      <c r="AE26" s="131">
        <v>0.60009998083114602</v>
      </c>
      <c r="AF26" s="4">
        <v>0.57520002126693703</v>
      </c>
      <c r="AG26" s="4">
        <v>0.58020001649856601</v>
      </c>
      <c r="AH26" s="4">
        <v>0.63120001554489102</v>
      </c>
      <c r="AI26" s="4">
        <v>0.58789998292922996</v>
      </c>
      <c r="AJ26" s="131">
        <v>0.62650001049041704</v>
      </c>
      <c r="AK26" s="131">
        <v>0.57190001010894798</v>
      </c>
      <c r="AL26" s="4">
        <v>0.33610001206397999</v>
      </c>
      <c r="AM26" s="4">
        <v>0.34419998526573198</v>
      </c>
      <c r="AN26" s="4">
        <v>0.39410001039504999</v>
      </c>
      <c r="AO26" s="4">
        <v>0.33739998936653098</v>
      </c>
      <c r="AP26" s="131">
        <v>0.37479999661445601</v>
      </c>
      <c r="AQ26" s="131">
        <v>0.34900000691413902</v>
      </c>
    </row>
    <row r="27" spans="1:43">
      <c r="A27" s="6" t="s">
        <v>1630</v>
      </c>
      <c r="B27" s="4">
        <v>0.57800000905990601</v>
      </c>
      <c r="C27" s="4">
        <v>0.589299976825714</v>
      </c>
      <c r="D27" s="4">
        <v>0.67699998617172197</v>
      </c>
      <c r="E27" s="4">
        <v>0.67570000886917103</v>
      </c>
      <c r="F27" s="4">
        <v>0.68699997663497903</v>
      </c>
      <c r="G27" s="4">
        <v>0.70719999074935902</v>
      </c>
      <c r="H27" s="4">
        <v>0.60839998722076405</v>
      </c>
      <c r="I27" s="4">
        <v>0.60460001230239901</v>
      </c>
      <c r="J27" s="4">
        <v>0.68330001831054699</v>
      </c>
      <c r="K27" s="4">
        <v>0.67449998855590798</v>
      </c>
      <c r="L27" s="4">
        <v>0.70880001783371005</v>
      </c>
      <c r="M27" s="4">
        <v>0.70410001277923595</v>
      </c>
      <c r="N27" s="4">
        <v>0.57319998741149902</v>
      </c>
      <c r="O27" s="4">
        <v>0.56540000438690197</v>
      </c>
      <c r="P27" s="4">
        <v>0.67570000886917103</v>
      </c>
      <c r="Q27" s="4">
        <v>0.66180002689361594</v>
      </c>
      <c r="R27" s="4">
        <v>0.68110001087188698</v>
      </c>
      <c r="S27" s="4">
        <v>0.68440002202987704</v>
      </c>
      <c r="T27" s="4">
        <v>0.55210000276565596</v>
      </c>
      <c r="U27" s="4">
        <v>0.55210000276565596</v>
      </c>
      <c r="V27" s="4">
        <v>0.64759999513626099</v>
      </c>
      <c r="W27" s="4">
        <v>0.64090001583099399</v>
      </c>
      <c r="X27" s="4">
        <v>0.65109997987747203</v>
      </c>
      <c r="Y27" s="4">
        <v>0.66449999809265103</v>
      </c>
      <c r="Z27" s="4">
        <v>0.51139998435974099</v>
      </c>
      <c r="AA27" s="4">
        <v>0.50809997320175204</v>
      </c>
      <c r="AB27" s="4">
        <v>0.57950001955032304</v>
      </c>
      <c r="AC27" s="4">
        <v>0.59439998865127597</v>
      </c>
      <c r="AD27" s="4">
        <v>0.59009999036788896</v>
      </c>
      <c r="AE27" s="4">
        <v>0.58050000667571999</v>
      </c>
      <c r="AF27" s="4">
        <v>0.412900000810623</v>
      </c>
      <c r="AG27" s="4">
        <v>0.40700000524520902</v>
      </c>
      <c r="AH27" s="4">
        <v>0.45509999990463301</v>
      </c>
      <c r="AI27" s="4">
        <v>0.45559999346733099</v>
      </c>
      <c r="AJ27" s="4">
        <v>0.42519998550415</v>
      </c>
      <c r="AK27" s="4">
        <v>0.41999998688697798</v>
      </c>
      <c r="AL27" s="4">
        <v>0.114200003445148</v>
      </c>
      <c r="AM27" s="4">
        <v>0.116800002753735</v>
      </c>
      <c r="AN27" s="78">
        <v>0.13089999556541401</v>
      </c>
      <c r="AO27" s="78">
        <v>0.120999999344349</v>
      </c>
      <c r="AP27" s="78">
        <v>0.12590000033378601</v>
      </c>
      <c r="AQ27" s="78">
        <v>0.12579999864101399</v>
      </c>
    </row>
    <row r="28" spans="1:43">
      <c r="A28" s="6" t="s">
        <v>1637</v>
      </c>
      <c r="B28" s="4">
        <v>0.60390001535415605</v>
      </c>
      <c r="C28" s="4">
        <v>0.60850000381469704</v>
      </c>
      <c r="D28" s="4">
        <v>0.66030001640319802</v>
      </c>
      <c r="E28" s="4">
        <v>0.66610002517700195</v>
      </c>
      <c r="F28" s="131">
        <v>0.69019997119903598</v>
      </c>
      <c r="G28" s="131">
        <v>0.69690001010894798</v>
      </c>
      <c r="H28" s="4">
        <v>0.62870001792907704</v>
      </c>
      <c r="I28" s="4">
        <v>0.63950002193450906</v>
      </c>
      <c r="J28" s="4">
        <v>0.68029999732971203</v>
      </c>
      <c r="K28" s="4">
        <v>0.67510002851486195</v>
      </c>
      <c r="L28" s="131">
        <v>0.70490002632141102</v>
      </c>
      <c r="M28" s="131">
        <v>0.70990002155303999</v>
      </c>
      <c r="N28" s="4">
        <v>0.620599985122681</v>
      </c>
      <c r="O28" s="4">
        <v>0.63810002803802501</v>
      </c>
      <c r="P28" s="4">
        <v>0.68779999017715499</v>
      </c>
      <c r="Q28" s="4">
        <v>0.67989999055862405</v>
      </c>
      <c r="R28" s="131">
        <v>0.68660002946853604</v>
      </c>
      <c r="S28" s="131">
        <v>0.68599998950958296</v>
      </c>
      <c r="T28" s="4">
        <v>0.62220001220703103</v>
      </c>
      <c r="U28" s="4">
        <v>0.63139998912811302</v>
      </c>
      <c r="V28" s="4">
        <v>0.67909997701644897</v>
      </c>
      <c r="W28" s="4">
        <v>0.67629998922348</v>
      </c>
      <c r="X28" s="131">
        <v>0.68930000066757202</v>
      </c>
      <c r="Y28" s="131">
        <v>0.68879997730255105</v>
      </c>
      <c r="Z28" s="4">
        <v>0.61799997091293302</v>
      </c>
      <c r="AA28" s="4">
        <v>0.61690002679824796</v>
      </c>
      <c r="AB28" s="4">
        <v>0.66460001468658403</v>
      </c>
      <c r="AC28" s="4">
        <v>0.67320001125335704</v>
      </c>
      <c r="AD28" s="131">
        <v>0.66799998283386197</v>
      </c>
      <c r="AE28" s="131">
        <v>0.68930000066757202</v>
      </c>
      <c r="AF28" s="4">
        <v>0.57550001144409202</v>
      </c>
      <c r="AG28" s="4">
        <v>0.58819997310638406</v>
      </c>
      <c r="AH28" s="4">
        <v>0.61559998989105202</v>
      </c>
      <c r="AI28" s="4">
        <v>0.63749998807907104</v>
      </c>
      <c r="AJ28" s="131">
        <v>0.64329999685287498</v>
      </c>
      <c r="AK28" s="131">
        <v>0.63980001211166404</v>
      </c>
      <c r="AL28" s="4">
        <v>0.30300000309944197</v>
      </c>
      <c r="AM28" s="4">
        <v>0.32519999146461498</v>
      </c>
      <c r="AN28" s="4">
        <v>0.37760001420974698</v>
      </c>
      <c r="AO28" s="4">
        <v>0.39300000667571999</v>
      </c>
      <c r="AP28" s="131">
        <v>0.3783999979496</v>
      </c>
      <c r="AQ28" s="131">
        <v>0.375099986791611</v>
      </c>
    </row>
    <row r="29" spans="1:43">
      <c r="A29" s="6" t="s">
        <v>1638</v>
      </c>
      <c r="B29" s="4">
        <v>0.584800004959106</v>
      </c>
      <c r="C29" s="4">
        <v>0.59750002622604403</v>
      </c>
      <c r="D29" s="4">
        <v>0.67239999771118197</v>
      </c>
      <c r="E29" s="4">
        <v>0.67960000038146995</v>
      </c>
      <c r="F29" s="4">
        <v>0.68599998950958296</v>
      </c>
      <c r="G29" s="4">
        <v>0.700900018215179</v>
      </c>
      <c r="H29" s="4">
        <v>0.60399997234344505</v>
      </c>
      <c r="I29" s="4">
        <v>0.60460001230239901</v>
      </c>
      <c r="J29" s="4">
        <v>0.67729997634887695</v>
      </c>
      <c r="K29" s="4">
        <v>0.68849998712539695</v>
      </c>
      <c r="L29" s="4">
        <v>0.70169997215270996</v>
      </c>
      <c r="M29" s="4">
        <v>0.71079999208450295</v>
      </c>
      <c r="N29" s="4">
        <v>0.55849999189376798</v>
      </c>
      <c r="O29" s="4">
        <v>0.56279999017715499</v>
      </c>
      <c r="P29" s="4">
        <v>0.65539997816085804</v>
      </c>
      <c r="Q29" s="4">
        <v>0.65249997377395597</v>
      </c>
      <c r="R29" s="4">
        <v>0.66310000419616699</v>
      </c>
      <c r="S29" s="4">
        <v>0.671899974346161</v>
      </c>
      <c r="T29" s="4">
        <v>0.53829997777938798</v>
      </c>
      <c r="U29" s="4">
        <v>0.54879999160766602</v>
      </c>
      <c r="V29" s="4">
        <v>0.61940002441406194</v>
      </c>
      <c r="W29" s="4">
        <v>0.62819999456405595</v>
      </c>
      <c r="X29" s="4">
        <v>0.62849998474121105</v>
      </c>
      <c r="Y29" s="4">
        <v>0.65289998054504395</v>
      </c>
      <c r="Z29" s="4">
        <v>0.49259999394416798</v>
      </c>
      <c r="AA29" s="4">
        <v>0.49489998817443798</v>
      </c>
      <c r="AB29" s="4">
        <v>0.55479997396469105</v>
      </c>
      <c r="AC29" s="4">
        <v>0.55479997396469105</v>
      </c>
      <c r="AD29" s="4">
        <v>0.54229998588562001</v>
      </c>
      <c r="AE29" s="4">
        <v>0.56169998645782504</v>
      </c>
      <c r="AF29" s="4">
        <v>0.36489999294281</v>
      </c>
      <c r="AG29" s="4">
        <v>0.37090000510215798</v>
      </c>
      <c r="AH29" s="4">
        <v>0.39890000224113498</v>
      </c>
      <c r="AI29" s="4">
        <v>0.37590000033378601</v>
      </c>
      <c r="AJ29" s="4">
        <v>0.37110000848770103</v>
      </c>
      <c r="AK29" s="4">
        <v>0.38859999179840099</v>
      </c>
      <c r="AL29" s="4">
        <v>7.6800003647804302E-2</v>
      </c>
      <c r="AM29" s="4">
        <v>7.3200002312660203E-2</v>
      </c>
      <c r="AN29" s="78">
        <v>8.2699999213218703E-2</v>
      </c>
      <c r="AO29" s="78">
        <v>7.9599998891353593E-2</v>
      </c>
      <c r="AP29" s="78">
        <v>8.5400000214576693E-2</v>
      </c>
      <c r="AQ29" s="78">
        <v>8.2699999213218703E-2</v>
      </c>
    </row>
    <row r="30" spans="1:43">
      <c r="A30" s="6" t="s">
        <v>1645</v>
      </c>
      <c r="B30" s="4">
        <v>0.58899998664856001</v>
      </c>
      <c r="C30" s="4">
        <v>0.61040002107620195</v>
      </c>
      <c r="D30" s="4">
        <v>0.68790000677108798</v>
      </c>
      <c r="E30" s="4">
        <v>0.65039998292922996</v>
      </c>
      <c r="F30" s="131">
        <v>0.68669998645782504</v>
      </c>
      <c r="G30" s="131">
        <v>0.68099999427795399</v>
      </c>
      <c r="H30" s="4">
        <v>0.63419997692108199</v>
      </c>
      <c r="I30" s="4">
        <v>0.63230001926422097</v>
      </c>
      <c r="J30" s="4">
        <v>0.70859998464584395</v>
      </c>
      <c r="K30" s="4">
        <v>0.66560000181198098</v>
      </c>
      <c r="L30" s="131">
        <v>0.69800001382827803</v>
      </c>
      <c r="M30" s="131">
        <v>0.69749999046325695</v>
      </c>
      <c r="N30" s="4">
        <v>0.61650002002716098</v>
      </c>
      <c r="O30" s="4">
        <v>0.62830001115798995</v>
      </c>
      <c r="P30" s="4">
        <v>0.71499997377395597</v>
      </c>
      <c r="Q30" s="4">
        <v>0.67309999465942405</v>
      </c>
      <c r="R30" s="131">
        <v>0.69459998607635498</v>
      </c>
      <c r="S30" s="131">
        <v>0.68650001287460305</v>
      </c>
      <c r="T30" s="4">
        <v>0.61870002746581998</v>
      </c>
      <c r="U30" s="4">
        <v>0.62620002031326305</v>
      </c>
      <c r="V30" s="4">
        <v>0.69690001010894798</v>
      </c>
      <c r="W30" s="4">
        <v>0.665199995040894</v>
      </c>
      <c r="X30" s="131">
        <v>0.69459998607635498</v>
      </c>
      <c r="Y30" s="131">
        <v>0.69870001077652</v>
      </c>
      <c r="Z30" s="4">
        <v>0.61290001869201705</v>
      </c>
      <c r="AA30" s="4">
        <v>0.62190002202987704</v>
      </c>
      <c r="AB30" s="4">
        <v>0.70850002765655495</v>
      </c>
      <c r="AC30" s="4">
        <v>0.66130000352859497</v>
      </c>
      <c r="AD30" s="131">
        <v>0.67760002613067605</v>
      </c>
      <c r="AE30" s="131">
        <v>0.68440002202987704</v>
      </c>
      <c r="AF30" s="4">
        <v>0.59429997205734297</v>
      </c>
      <c r="AG30" s="4">
        <v>0.60390001535415605</v>
      </c>
      <c r="AH30" s="4">
        <v>0.67809998989105202</v>
      </c>
      <c r="AI30" s="4">
        <v>0.64020001888275102</v>
      </c>
      <c r="AJ30" s="131">
        <v>0.64660000801086404</v>
      </c>
      <c r="AK30" s="131">
        <v>0.65719997882842995</v>
      </c>
      <c r="AL30" s="4">
        <v>0.520099997520447</v>
      </c>
      <c r="AM30" s="4">
        <v>0.53179997205734297</v>
      </c>
      <c r="AN30" s="4">
        <v>0.63050001859664895</v>
      </c>
      <c r="AO30" s="4">
        <v>0.59429997205734297</v>
      </c>
      <c r="AP30" s="131">
        <v>0.57020002603530895</v>
      </c>
      <c r="AQ30" s="131">
        <v>0.57050001621246305</v>
      </c>
    </row>
    <row r="31" spans="1:43">
      <c r="A31" s="6" t="s">
        <v>1646</v>
      </c>
      <c r="B31" s="4">
        <v>0.57230001688003496</v>
      </c>
      <c r="C31" s="4">
        <v>0.58380001783371005</v>
      </c>
      <c r="D31" s="4">
        <v>0.67269998788833596</v>
      </c>
      <c r="E31" s="4">
        <v>0.68769997358322099</v>
      </c>
      <c r="F31" s="4">
        <v>0.68610000610351596</v>
      </c>
      <c r="G31" s="4">
        <v>0.53509998321533203</v>
      </c>
      <c r="H31" s="4">
        <v>0.52069997787475597</v>
      </c>
      <c r="I31" s="4">
        <v>0.54670000076293901</v>
      </c>
      <c r="J31" s="4">
        <v>0.57770001888275102</v>
      </c>
      <c r="K31" s="4">
        <v>0.58609998226165805</v>
      </c>
      <c r="L31" s="4">
        <v>0.60470002889633201</v>
      </c>
      <c r="M31" s="4">
        <v>0.59130001068115201</v>
      </c>
      <c r="N31" s="4">
        <v>0.21250000596046401</v>
      </c>
      <c r="O31" s="4">
        <v>0.280099987983704</v>
      </c>
      <c r="P31" s="4">
        <v>0.24310000240802801</v>
      </c>
      <c r="Q31" s="4">
        <v>0.245600000023842</v>
      </c>
      <c r="R31" s="4">
        <v>0.21789999306201899</v>
      </c>
      <c r="S31" s="4">
        <v>0.21389999985694899</v>
      </c>
      <c r="T31" s="4">
        <v>0.143999993801117</v>
      </c>
      <c r="U31" s="4">
        <v>0.155200004577637</v>
      </c>
      <c r="V31" s="4">
        <v>0.13349999487400099</v>
      </c>
      <c r="W31" s="4">
        <v>0.131699994206429</v>
      </c>
      <c r="X31" s="4">
        <v>0.12720000743866</v>
      </c>
      <c r="Y31" s="4">
        <v>0.11710000038147</v>
      </c>
      <c r="Z31" s="78">
        <v>7.2599999606609303E-2</v>
      </c>
      <c r="AA31" s="78">
        <v>8.2699999213218703E-2</v>
      </c>
      <c r="AB31" s="78">
        <v>7.6700001955032293E-2</v>
      </c>
      <c r="AC31" s="78">
        <v>6.8800002336502103E-2</v>
      </c>
      <c r="AD31" s="78">
        <v>8.2000002264976501E-2</v>
      </c>
      <c r="AE31" s="78">
        <v>7.4799999594688402E-2</v>
      </c>
      <c r="AF31" s="78">
        <v>5.8699999004602398E-2</v>
      </c>
      <c r="AG31" s="78">
        <v>5.8600001037120798E-2</v>
      </c>
      <c r="AH31" s="78">
        <v>5.7900000363588298E-2</v>
      </c>
      <c r="AI31" s="78">
        <v>5.5300001055002199E-2</v>
      </c>
      <c r="AJ31" s="78">
        <v>6.1400000005960499E-2</v>
      </c>
      <c r="AK31" s="78">
        <v>5.8200001716613797E-2</v>
      </c>
      <c r="AL31" s="78">
        <v>4.6199999749660499E-2</v>
      </c>
      <c r="AM31" s="78">
        <v>3.9000000804662698E-2</v>
      </c>
      <c r="AN31" s="78">
        <v>4.72999997437E-2</v>
      </c>
      <c r="AO31" s="78">
        <v>4.0500000119209303E-2</v>
      </c>
      <c r="AP31" s="78">
        <v>4.6199999749660499E-2</v>
      </c>
      <c r="AQ31" s="78">
        <v>4.32999990880489E-2</v>
      </c>
    </row>
    <row r="32" spans="1:43">
      <c r="A32" s="4" t="s">
        <v>1667</v>
      </c>
      <c r="B32" s="218">
        <v>0</v>
      </c>
      <c r="C32" s="218"/>
      <c r="D32" s="218"/>
      <c r="E32" s="218"/>
      <c r="F32" s="218"/>
      <c r="G32" s="218"/>
      <c r="H32" s="218">
        <v>0.24</v>
      </c>
      <c r="I32" s="218"/>
      <c r="J32" s="218"/>
      <c r="K32" s="218"/>
      <c r="L32" s="218"/>
      <c r="M32" s="218"/>
      <c r="N32" s="218">
        <v>3.32</v>
      </c>
      <c r="O32" s="218"/>
      <c r="P32" s="218"/>
      <c r="Q32" s="218"/>
      <c r="R32" s="218"/>
      <c r="S32" s="218"/>
      <c r="T32" s="218">
        <v>5.87</v>
      </c>
      <c r="U32" s="218"/>
      <c r="V32" s="218"/>
      <c r="W32" s="218"/>
      <c r="X32" s="218"/>
      <c r="Y32" s="218"/>
      <c r="Z32" s="218">
        <v>10.46</v>
      </c>
      <c r="AA32" s="218"/>
      <c r="AB32" s="218"/>
      <c r="AC32" s="218"/>
      <c r="AD32" s="218"/>
      <c r="AE32" s="218"/>
      <c r="AF32" s="218">
        <v>19.5</v>
      </c>
      <c r="AG32" s="218"/>
      <c r="AH32" s="218"/>
      <c r="AI32" s="218"/>
      <c r="AJ32" s="218"/>
      <c r="AK32" s="218"/>
      <c r="AL32" s="218">
        <v>40.74</v>
      </c>
      <c r="AM32" s="218"/>
      <c r="AN32" s="218"/>
      <c r="AO32" s="218"/>
      <c r="AP32" s="218"/>
      <c r="AQ32" s="218"/>
    </row>
    <row r="33" spans="1:49">
      <c r="A33" s="6" t="s">
        <v>1605</v>
      </c>
      <c r="B33" s="4">
        <v>1.0604205271396545</v>
      </c>
      <c r="C33" s="4">
        <v>1.1054920252147071</v>
      </c>
      <c r="D33" s="4">
        <v>1.0299631050018287</v>
      </c>
      <c r="E33" s="4">
        <v>1.0898894105104453</v>
      </c>
      <c r="F33" s="4">
        <v>1.1270847900520453</v>
      </c>
      <c r="G33" s="4">
        <v>1.1507671990923742</v>
      </c>
      <c r="H33" s="4">
        <v>1.0187206498286583</v>
      </c>
      <c r="I33" s="4">
        <v>1.0565166899352709</v>
      </c>
      <c r="J33" s="4">
        <v>0.99599418775921467</v>
      </c>
      <c r="K33" s="4">
        <v>1.0743470290150279</v>
      </c>
      <c r="L33" s="4">
        <v>1.0918945887379015</v>
      </c>
      <c r="M33" s="4">
        <v>1.0932288341673881</v>
      </c>
      <c r="N33" s="4">
        <v>0.62816077547912175</v>
      </c>
      <c r="O33" s="4">
        <v>0.63525865169014739</v>
      </c>
      <c r="P33" s="4">
        <v>0.58275917741770045</v>
      </c>
      <c r="Q33" s="4">
        <v>0.63130907548764481</v>
      </c>
      <c r="R33" s="4">
        <v>0.61891263597992885</v>
      </c>
      <c r="S33" s="4">
        <v>0.6117411910556213</v>
      </c>
      <c r="T33" s="4">
        <v>0.46242569911579273</v>
      </c>
      <c r="U33" s="4">
        <v>0.48549377036002883</v>
      </c>
      <c r="V33" s="4">
        <v>0.43791057880254997</v>
      </c>
      <c r="W33" s="4">
        <v>0.51177697911225439</v>
      </c>
      <c r="X33" s="4">
        <v>0.45080054497397948</v>
      </c>
      <c r="Y33" s="4">
        <v>0.45947299115462292</v>
      </c>
      <c r="Z33" s="4">
        <v>0.23653625671616563</v>
      </c>
      <c r="AA33" s="4">
        <v>0.275219597453146</v>
      </c>
      <c r="AB33" s="4">
        <v>0.24659509302206858</v>
      </c>
      <c r="AC33" s="4">
        <v>0.3045986210707527</v>
      </c>
      <c r="AD33" s="4">
        <v>0.23899266170743766</v>
      </c>
      <c r="AE33" s="4">
        <v>0.28735823841572233</v>
      </c>
      <c r="AF33" s="4">
        <v>9.6885814612683516E-2</v>
      </c>
      <c r="AG33" s="4">
        <v>0.31248336823624073</v>
      </c>
      <c r="AH33" s="4">
        <v>9.149175092631448E-2</v>
      </c>
      <c r="AI33" s="4">
        <v>0.32110237935801711</v>
      </c>
      <c r="AJ33" s="4">
        <v>9.9232826319101977E-2</v>
      </c>
      <c r="AK33" s="4">
        <v>0.32955305427181408</v>
      </c>
      <c r="AL33" s="4">
        <v>7.239819324575876E-2</v>
      </c>
      <c r="AM33" s="4">
        <v>0.26599237953209048</v>
      </c>
      <c r="AN33" s="4">
        <v>6.5534368629371495E-2</v>
      </c>
      <c r="AO33" s="4">
        <v>0.19564172909626898</v>
      </c>
      <c r="AP33" s="4">
        <v>6.4709809849294087E-2</v>
      </c>
      <c r="AQ33" s="4">
        <v>0.22348233195985712</v>
      </c>
    </row>
    <row r="34" spans="1:49">
      <c r="A34" s="6" t="s">
        <v>1615</v>
      </c>
      <c r="B34" s="4">
        <v>1.093425561619495</v>
      </c>
      <c r="C34" s="4">
        <v>1.0818916317637604</v>
      </c>
      <c r="D34" s="4">
        <v>1.061528639955426</v>
      </c>
      <c r="E34" s="4">
        <v>1.0701811027107602</v>
      </c>
      <c r="F34" s="4">
        <v>1.1324216723626463</v>
      </c>
      <c r="G34" s="4">
        <v>1.1360907975900607</v>
      </c>
      <c r="H34" s="4">
        <v>1.1439978635190595</v>
      </c>
      <c r="I34" s="4">
        <v>1.1477242247324124</v>
      </c>
      <c r="J34" s="4">
        <v>1.0813972050760314</v>
      </c>
      <c r="K34" s="4">
        <v>1.0956577190140013</v>
      </c>
      <c r="L34" s="4">
        <v>1.1459306339659945</v>
      </c>
      <c r="M34" s="4">
        <v>1.1495997591934106</v>
      </c>
      <c r="N34" s="4">
        <v>1.139739180098998</v>
      </c>
      <c r="O34" s="4">
        <v>1.1202199940770838</v>
      </c>
      <c r="P34" s="4">
        <v>1.0950167852352768</v>
      </c>
      <c r="Q34" s="4">
        <v>1.1084762035785609</v>
      </c>
      <c r="R34" s="4">
        <v>1.1107405320591994</v>
      </c>
      <c r="S34" s="4">
        <v>1.123415664824631</v>
      </c>
      <c r="T34" s="4">
        <v>1.1163162626390839</v>
      </c>
      <c r="U34" s="4">
        <v>1.1159613106570223</v>
      </c>
      <c r="V34" s="4">
        <v>1.077551697908647</v>
      </c>
      <c r="W34" s="4">
        <v>1.0982214541288959</v>
      </c>
      <c r="X34" s="4">
        <v>1.0673782514523054</v>
      </c>
      <c r="Y34" s="4">
        <v>1.1054036497485982</v>
      </c>
      <c r="Z34" s="4">
        <v>1.0648566865507469</v>
      </c>
      <c r="AA34" s="4">
        <v>1.0707124423573222</v>
      </c>
      <c r="AB34" s="4">
        <v>1.0381348912993604</v>
      </c>
      <c r="AC34" s="4">
        <v>1.0564012652305943</v>
      </c>
      <c r="AD34" s="4">
        <v>1.0635424201017154</v>
      </c>
      <c r="AE34" s="4">
        <v>1.0952302023116189</v>
      </c>
      <c r="AF34" s="4">
        <v>0.95661431230697747</v>
      </c>
      <c r="AG34" s="4">
        <v>0.94295098785802034</v>
      </c>
      <c r="AH34" s="4">
        <v>0.91684025090871724</v>
      </c>
      <c r="AI34" s="4">
        <v>0.92917805901547457</v>
      </c>
      <c r="AJ34" s="4">
        <v>0.91927949396294273</v>
      </c>
      <c r="AK34" s="4">
        <v>0.92995335799149226</v>
      </c>
      <c r="AL34" s="4">
        <v>0.23156774865676713</v>
      </c>
      <c r="AM34" s="4">
        <v>0.23760092757118056</v>
      </c>
      <c r="AN34" s="4">
        <v>0.24290979542312593</v>
      </c>
      <c r="AO34" s="4">
        <v>0.26438071886678033</v>
      </c>
      <c r="AP34" s="4">
        <v>0.23549034201054447</v>
      </c>
      <c r="AQ34" s="4">
        <v>0.25216811165708886</v>
      </c>
    </row>
    <row r="35" spans="1:49">
      <c r="A35" s="6" t="s">
        <v>1616</v>
      </c>
      <c r="B35" s="4">
        <v>1.032561450268648</v>
      </c>
      <c r="C35" s="4">
        <v>1.0368201336887095</v>
      </c>
      <c r="D35" s="4">
        <v>1.0998237408232268</v>
      </c>
      <c r="E35" s="4">
        <v>1.0698605880689191</v>
      </c>
      <c r="F35" s="4">
        <v>1.1519346389913381</v>
      </c>
      <c r="G35" s="4">
        <v>1.1267511789909996</v>
      </c>
      <c r="H35" s="4">
        <v>1.0605980031306854</v>
      </c>
      <c r="I35" s="4">
        <v>1.0703575961416423</v>
      </c>
      <c r="J35" s="4">
        <v>1.0887678002739183</v>
      </c>
      <c r="K35" s="4">
        <v>1.1020669612962819</v>
      </c>
      <c r="L35" s="4">
        <v>1.1629420146735845</v>
      </c>
      <c r="M35" s="4">
        <v>1.1751167308474477</v>
      </c>
      <c r="N35" s="4">
        <v>1.0023955028133862</v>
      </c>
      <c r="O35" s="4">
        <v>0.99050662097559006</v>
      </c>
      <c r="P35" s="4">
        <v>1.0914917927097334</v>
      </c>
      <c r="Q35" s="4">
        <v>1.0906906016100901</v>
      </c>
      <c r="R35" s="4">
        <v>1.1064042841170409</v>
      </c>
      <c r="S35" s="4">
        <v>1.1165777315540204</v>
      </c>
      <c r="T35" s="4">
        <v>0.91597907940940071</v>
      </c>
      <c r="U35" s="4">
        <v>0.94259603587595697</v>
      </c>
      <c r="V35" s="4">
        <v>0.98013138712691583</v>
      </c>
      <c r="W35" s="4">
        <v>1.0003204668893624</v>
      </c>
      <c r="X35" s="4">
        <v>0.99066043155232431</v>
      </c>
      <c r="Y35" s="4">
        <v>1.0400267171845619</v>
      </c>
      <c r="Z35" s="4">
        <v>0.5928489232982187</v>
      </c>
      <c r="AA35" s="4">
        <v>0.65069647163345634</v>
      </c>
      <c r="AB35" s="4">
        <v>0.67425092237495354</v>
      </c>
      <c r="AC35" s="4">
        <v>0.73401697056264958</v>
      </c>
      <c r="AD35" s="4">
        <v>0.61641095065147833</v>
      </c>
      <c r="AE35" s="4">
        <v>0.70947297884063165</v>
      </c>
      <c r="AF35" s="4">
        <v>0.17442995885687701</v>
      </c>
      <c r="AG35" s="4">
        <v>0.19270694514955453</v>
      </c>
      <c r="AH35" s="4">
        <v>0.22175933886883217</v>
      </c>
      <c r="AI35" s="4">
        <v>0.2211184050901093</v>
      </c>
      <c r="AJ35" s="4">
        <v>0.20847231939649793</v>
      </c>
      <c r="AK35" s="4">
        <v>0.20463642591631512</v>
      </c>
      <c r="AL35" s="4">
        <v>0.10362878511443931</v>
      </c>
      <c r="AM35" s="4">
        <v>0.10327389262596787</v>
      </c>
      <c r="AN35" s="4">
        <v>0.10463067253493696</v>
      </c>
      <c r="AO35" s="4">
        <v>0.10575228277146409</v>
      </c>
      <c r="AP35" s="4">
        <v>0.11240827626875367</v>
      </c>
      <c r="AQ35" s="4">
        <v>0.11257505694743954</v>
      </c>
    </row>
    <row r="36" spans="1:49">
      <c r="A36" s="6" t="s">
        <v>1629</v>
      </c>
      <c r="B36" s="4">
        <v>1.088102233786014</v>
      </c>
      <c r="C36" s="4">
        <v>1.0891668781994333</v>
      </c>
      <c r="D36" s="4">
        <v>1.0530363390160531</v>
      </c>
      <c r="E36" s="4">
        <v>1.0854029695643364</v>
      </c>
      <c r="F36" s="4">
        <v>1.1425951197996258</v>
      </c>
      <c r="G36" s="4">
        <v>1.1511007107460729</v>
      </c>
      <c r="H36" s="4">
        <v>1.139739180098998</v>
      </c>
      <c r="I36" s="4">
        <v>1.1106378770571574</v>
      </c>
      <c r="J36" s="4">
        <v>1.0964589101136464</v>
      </c>
      <c r="K36" s="4">
        <v>1.1136035783033942</v>
      </c>
      <c r="L36" s="4">
        <v>1.1746164136632262</v>
      </c>
      <c r="M36" s="4">
        <v>1.1996330681330436</v>
      </c>
      <c r="N36" s="4">
        <v>1.1138319160637995</v>
      </c>
      <c r="O36" s="4">
        <v>1.1053145492236747</v>
      </c>
      <c r="P36" s="4">
        <v>1.1086364608994814</v>
      </c>
      <c r="Q36" s="4">
        <v>1.1188912103491464</v>
      </c>
      <c r="R36" s="4">
        <v>1.1445963885365078</v>
      </c>
      <c r="S36" s="4">
        <v>1.1187458058214252</v>
      </c>
      <c r="T36" s="4">
        <v>1.1172034310614725</v>
      </c>
      <c r="U36" s="4">
        <v>1.0918285949993667</v>
      </c>
      <c r="V36" s="4">
        <v>1.1039897626324522</v>
      </c>
      <c r="W36" s="4">
        <v>1.1054317920058623</v>
      </c>
      <c r="X36" s="4">
        <v>1.1082388467307474</v>
      </c>
      <c r="Y36" s="4">
        <v>1.0483656020078334</v>
      </c>
      <c r="Z36" s="4">
        <v>1.0808268815839575</v>
      </c>
      <c r="AA36" s="4">
        <v>1.0928932394127862</v>
      </c>
      <c r="AB36" s="4">
        <v>1.0730652569625383</v>
      </c>
      <c r="AC36" s="4">
        <v>1.0059285180719979</v>
      </c>
      <c r="AD36" s="4">
        <v>1.1072382123623061</v>
      </c>
      <c r="AE36" s="4">
        <v>1.0008338789893036</v>
      </c>
      <c r="AF36" s="4">
        <v>1.0206725684308502</v>
      </c>
      <c r="AG36" s="4">
        <v>1.0295448872530366</v>
      </c>
      <c r="AH36" s="4">
        <v>1.0113764074386706</v>
      </c>
      <c r="AI36" s="4">
        <v>0.94199644807507643</v>
      </c>
      <c r="AJ36" s="4">
        <v>1.0448632823109403</v>
      </c>
      <c r="AK36" s="4">
        <v>0.95380257256234402</v>
      </c>
      <c r="AL36" s="4">
        <v>0.59639786140373163</v>
      </c>
      <c r="AM36" s="4">
        <v>0.61077098405043007</v>
      </c>
      <c r="AN36" s="4">
        <v>0.63146933280856532</v>
      </c>
      <c r="AO36" s="4">
        <v>0.54061847387755468</v>
      </c>
      <c r="AP36" s="4">
        <v>0.62508339683212177</v>
      </c>
      <c r="AQ36" s="4">
        <v>0.58205472728627505</v>
      </c>
    </row>
    <row r="37" spans="1:49">
      <c r="A37" s="6" t="s">
        <v>1630</v>
      </c>
      <c r="B37" s="4">
        <v>1.0256410500486532</v>
      </c>
      <c r="C37" s="4">
        <v>1.0456924525108944</v>
      </c>
      <c r="D37" s="4">
        <v>1.0847620357856118</v>
      </c>
      <c r="E37" s="4">
        <v>1.082679072633479</v>
      </c>
      <c r="F37" s="4">
        <v>1.1457638284354716</v>
      </c>
      <c r="G37" s="4">
        <v>1.179452978789606</v>
      </c>
      <c r="H37" s="4">
        <v>1.0795847611795071</v>
      </c>
      <c r="I37" s="4">
        <v>1.0728418369505448</v>
      </c>
      <c r="J37" s="4">
        <v>1.0948566234193156</v>
      </c>
      <c r="K37" s="4">
        <v>1.0807562712973071</v>
      </c>
      <c r="L37" s="4">
        <v>1.1821214696485811</v>
      </c>
      <c r="M37" s="4">
        <v>1.1742829020095293</v>
      </c>
      <c r="N37" s="4">
        <v>1.0171235774421463</v>
      </c>
      <c r="O37" s="4">
        <v>1.0032827770021584</v>
      </c>
      <c r="P37" s="4">
        <v>1.082679072633479</v>
      </c>
      <c r="Q37" s="4">
        <v>1.0604070297188992</v>
      </c>
      <c r="R37" s="4">
        <v>1.1359239920595379</v>
      </c>
      <c r="S37" s="4">
        <v>1.141427679900662</v>
      </c>
      <c r="T37" s="4">
        <v>0.9796823835512134</v>
      </c>
      <c r="U37" s="4">
        <v>0.9796823835512134</v>
      </c>
      <c r="V37" s="4">
        <v>1.0376542148415566</v>
      </c>
      <c r="W37" s="4">
        <v>1.0269187889340892</v>
      </c>
      <c r="X37" s="4">
        <v>1.0858905837125579</v>
      </c>
      <c r="Y37" s="4">
        <v>1.1082388467307474</v>
      </c>
      <c r="Z37" s="4">
        <v>0.90746160680289389</v>
      </c>
      <c r="AA37" s="4">
        <v>0.9016058509963204</v>
      </c>
      <c r="AB37" s="4">
        <v>0.92853712523675014</v>
      </c>
      <c r="AC37" s="4">
        <v>0.95241145484566192</v>
      </c>
      <c r="AD37" s="4">
        <v>0.98415610934275921</v>
      </c>
      <c r="AE37" s="4">
        <v>0.96814546241095911</v>
      </c>
      <c r="AF37" s="4">
        <v>0.73267678850954021</v>
      </c>
      <c r="AG37" s="4">
        <v>0.72220745018403443</v>
      </c>
      <c r="AH37" s="4">
        <v>0.72921006272718014</v>
      </c>
      <c r="AI37" s="4">
        <v>0.73001120607434467</v>
      </c>
      <c r="AJ37" s="4">
        <v>0.70913941748325959</v>
      </c>
      <c r="AK37" s="4">
        <v>0.70046697130261615</v>
      </c>
      <c r="AL37" s="4">
        <v>0.20264396126834974</v>
      </c>
      <c r="AM37" s="4">
        <v>0.20725757022887931</v>
      </c>
      <c r="AN37" s="4">
        <v>0.2097420215276766</v>
      </c>
      <c r="AO37" s="4">
        <v>0.19387918508101773</v>
      </c>
      <c r="AP37" s="4">
        <v>0.20997332065283386</v>
      </c>
      <c r="AQ37" s="4">
        <v>0.2098065399741478</v>
      </c>
    </row>
    <row r="38" spans="1:49">
      <c r="A38" s="6" t="s">
        <v>1637</v>
      </c>
      <c r="B38" s="4">
        <v>1.0715997165460929</v>
      </c>
      <c r="C38" s="4">
        <v>1.079762237170538</v>
      </c>
      <c r="D38" s="4">
        <v>1.0580035519249236</v>
      </c>
      <c r="E38" s="4">
        <v>1.067296948458982</v>
      </c>
      <c r="F38" s="4">
        <v>1.1511007107460729</v>
      </c>
      <c r="G38" s="4">
        <v>1.1622748919588419</v>
      </c>
      <c r="H38" s="4">
        <v>1.1156064644413424</v>
      </c>
      <c r="I38" s="4">
        <v>1.1347706984811949</v>
      </c>
      <c r="J38" s="4">
        <v>1.0900496678313658</v>
      </c>
      <c r="K38" s="4">
        <v>1.0817177197178725</v>
      </c>
      <c r="L38" s="4">
        <v>1.175617147439016</v>
      </c>
      <c r="M38" s="4">
        <v>1.1839560322622891</v>
      </c>
      <c r="N38" s="4">
        <v>1.101233236028262</v>
      </c>
      <c r="O38" s="4">
        <v>1.1322864576722944</v>
      </c>
      <c r="P38" s="4">
        <v>1.1020669612962819</v>
      </c>
      <c r="Q38" s="4">
        <v>1.0894087340526413</v>
      </c>
      <c r="R38" s="4">
        <v>1.1450968051280763</v>
      </c>
      <c r="S38" s="4">
        <v>1.1440960713522881</v>
      </c>
      <c r="T38" s="4">
        <v>1.1040724288192243</v>
      </c>
      <c r="U38" s="4">
        <v>1.1203974700681145</v>
      </c>
      <c r="V38" s="4">
        <v>1.088126866495194</v>
      </c>
      <c r="W38" s="4">
        <v>1.083640425549085</v>
      </c>
      <c r="X38" s="4">
        <v>1.1495997591934106</v>
      </c>
      <c r="Y38" s="4">
        <v>1.1487658309481437</v>
      </c>
      <c r="Z38" s="4">
        <v>1.0966196006261371</v>
      </c>
      <c r="AA38" s="4">
        <v>1.0946677877903288</v>
      </c>
      <c r="AB38" s="4">
        <v>1.0648934706650066</v>
      </c>
      <c r="AC38" s="4">
        <v>1.078673308145174</v>
      </c>
      <c r="AD38" s="4">
        <v>1.1140760462255681</v>
      </c>
      <c r="AE38" s="4">
        <v>1.1495997591934106</v>
      </c>
      <c r="AF38" s="4">
        <v>1.0212048906375608</v>
      </c>
      <c r="AG38" s="4">
        <v>1.0437405339087027</v>
      </c>
      <c r="AH38" s="4">
        <v>0.98638037208827434</v>
      </c>
      <c r="AI38" s="4">
        <v>1.0214708995674151</v>
      </c>
      <c r="AJ38" s="4">
        <v>1.0728819392934295</v>
      </c>
      <c r="AK38" s="4">
        <v>1.0670447397986087</v>
      </c>
      <c r="AL38" s="4">
        <v>0.53766303887972355</v>
      </c>
      <c r="AM38" s="4">
        <v>0.57705615137284816</v>
      </c>
      <c r="AN38" s="4">
        <v>0.60503126808475882</v>
      </c>
      <c r="AO38" s="4">
        <v>0.6297067887933141</v>
      </c>
      <c r="AP38" s="4">
        <v>0.63108740185746537</v>
      </c>
      <c r="AQ38" s="4">
        <v>0.62558371401634305</v>
      </c>
    </row>
    <row r="39" spans="1:49">
      <c r="A39" s="6" t="s">
        <v>1638</v>
      </c>
      <c r="B39" s="4">
        <v>1.0377074078774799</v>
      </c>
      <c r="C39" s="4">
        <v>1.0602431569150073</v>
      </c>
      <c r="D39" s="4">
        <v>1.0773914405877265</v>
      </c>
      <c r="E39" s="4">
        <v>1.0889280575948388</v>
      </c>
      <c r="F39" s="4">
        <v>1.1440960713522881</v>
      </c>
      <c r="G39" s="4">
        <v>1.1689460196989281</v>
      </c>
      <c r="H39" s="4">
        <v>1.0717770867707419</v>
      </c>
      <c r="I39" s="4">
        <v>1.0728418369505448</v>
      </c>
      <c r="J39" s="4">
        <v>1.0852427122434158</v>
      </c>
      <c r="K39" s="4">
        <v>1.1031885715328087</v>
      </c>
      <c r="L39" s="4">
        <v>1.1702801657210677</v>
      </c>
      <c r="M39" s="4">
        <v>1.1854569838149496</v>
      </c>
      <c r="N39" s="4">
        <v>0.9910389431822989</v>
      </c>
      <c r="O39" s="4">
        <v>0.99866914160003517</v>
      </c>
      <c r="P39" s="4">
        <v>1.0501521847642752</v>
      </c>
      <c r="Q39" s="4">
        <v>1.0455054864972457</v>
      </c>
      <c r="R39" s="4">
        <v>1.1059039669328197</v>
      </c>
      <c r="S39" s="4">
        <v>1.1205803684351332</v>
      </c>
      <c r="T39" s="4">
        <v>0.95519471591149452</v>
      </c>
      <c r="U39" s="4">
        <v>0.97382662774463824</v>
      </c>
      <c r="V39" s="4">
        <v>0.99246919523367139</v>
      </c>
      <c r="W39" s="4">
        <v>1.0065694518507207</v>
      </c>
      <c r="X39" s="4">
        <v>1.0481987964773107</v>
      </c>
      <c r="Y39" s="4">
        <v>1.0888925862252294</v>
      </c>
      <c r="Z39" s="4">
        <v>0.87410167322418275</v>
      </c>
      <c r="AA39" s="4">
        <v>0.87818293353640442</v>
      </c>
      <c r="AB39" s="4">
        <v>0.88896006130654304</v>
      </c>
      <c r="AC39" s="4">
        <v>0.88896006130654304</v>
      </c>
      <c r="AD39" s="4">
        <v>0.90443628693010636</v>
      </c>
      <c r="AE39" s="4">
        <v>0.93679119185475412</v>
      </c>
      <c r="AF39" s="4">
        <v>0.64750243262681417</v>
      </c>
      <c r="AG39" s="4">
        <v>0.65814924694335264</v>
      </c>
      <c r="AH39" s="4">
        <v>0.63916039489581444</v>
      </c>
      <c r="AI39" s="4">
        <v>0.60230732340142246</v>
      </c>
      <c r="AJ39" s="4">
        <v>0.61891263597992885</v>
      </c>
      <c r="AK39" s="4">
        <v>0.64809873286138187</v>
      </c>
      <c r="AL39" s="4">
        <v>0.13627895354740466</v>
      </c>
      <c r="AM39" s="4">
        <v>0.12989087553412029</v>
      </c>
      <c r="AN39" s="4">
        <v>0.13251081438463219</v>
      </c>
      <c r="AO39" s="4">
        <v>0.12754366116636098</v>
      </c>
      <c r="AP39" s="4">
        <v>0.14242828896955381</v>
      </c>
      <c r="AQ39" s="4">
        <v>0.13792528520054606</v>
      </c>
    </row>
    <row r="40" spans="1:49">
      <c r="A40" s="6" t="s">
        <v>1645</v>
      </c>
      <c r="B40" s="4">
        <v>1.0451601303041855</v>
      </c>
      <c r="C40" s="4">
        <v>1.0831337521682107</v>
      </c>
      <c r="D40" s="4">
        <v>1.1022272186172024</v>
      </c>
      <c r="E40" s="4">
        <v>1.0421406557876653</v>
      </c>
      <c r="F40" s="4">
        <v>1.1452635112512521</v>
      </c>
      <c r="G40" s="4">
        <v>1.135757186529015</v>
      </c>
      <c r="H40" s="4">
        <v>1.1253659516859176</v>
      </c>
      <c r="I40" s="4">
        <v>1.1219945424546265</v>
      </c>
      <c r="J40" s="4">
        <v>1.1353949447601712</v>
      </c>
      <c r="K40" s="4">
        <v>1.0664957573593372</v>
      </c>
      <c r="L40" s="4">
        <v>1.1641094545725501</v>
      </c>
      <c r="M40" s="4">
        <v>1.1632755263272829</v>
      </c>
      <c r="N40" s="4">
        <v>1.0939579895925891</v>
      </c>
      <c r="O40" s="4">
        <v>1.1148966662436026</v>
      </c>
      <c r="P40" s="4">
        <v>1.1456496942098346</v>
      </c>
      <c r="Q40" s="4">
        <v>1.0785130508242535</v>
      </c>
      <c r="R40" s="4">
        <v>1.1584389612009032</v>
      </c>
      <c r="S40" s="4">
        <v>1.1449299995975535</v>
      </c>
      <c r="T40" s="4">
        <v>1.0978618267969709</v>
      </c>
      <c r="U40" s="4">
        <v>1.1111703050302499</v>
      </c>
      <c r="V40" s="4">
        <v>1.1166479898760926</v>
      </c>
      <c r="W40" s="4">
        <v>1.0658548235806145</v>
      </c>
      <c r="X40" s="4">
        <v>1.1584389612009032</v>
      </c>
      <c r="Y40" s="4">
        <v>1.1652768944715137</v>
      </c>
      <c r="Z40" s="4">
        <v>1.0875699115793052</v>
      </c>
      <c r="AA40" s="4">
        <v>1.1035401066125154</v>
      </c>
      <c r="AB40" s="4">
        <v>1.1352347829442084</v>
      </c>
      <c r="AC40" s="4">
        <v>1.0596058386192542</v>
      </c>
      <c r="AD40" s="4">
        <v>1.1300867925647171</v>
      </c>
      <c r="AE40" s="4">
        <v>1.141427679900662</v>
      </c>
      <c r="AF40" s="4">
        <v>1.0545647713330808</v>
      </c>
      <c r="AG40" s="4">
        <v>1.0715997165460929</v>
      </c>
      <c r="AH40" s="4">
        <v>1.0865245798008631</v>
      </c>
      <c r="AI40" s="4">
        <v>1.0257971786975608</v>
      </c>
      <c r="AJ40" s="4">
        <v>1.0783856271345518</v>
      </c>
      <c r="AK40" s="4">
        <v>1.0960640311495371</v>
      </c>
      <c r="AL40" s="4">
        <v>0.92289947962939556</v>
      </c>
      <c r="AM40" s="4">
        <v>0.94366068028937822</v>
      </c>
      <c r="AN40" s="4">
        <v>1.0102547972021436</v>
      </c>
      <c r="AO40" s="4">
        <v>0.95225119752474141</v>
      </c>
      <c r="AP40" s="4">
        <v>0.95096737558019495</v>
      </c>
      <c r="AQ40" s="4">
        <v>0.95146769276441479</v>
      </c>
    </row>
    <row r="41" spans="1:49">
      <c r="A41" s="6" t="s">
        <v>1646</v>
      </c>
      <c r="B41" s="4">
        <v>1.0155266108220162</v>
      </c>
      <c r="C41" s="4">
        <v>1.0359329652663209</v>
      </c>
      <c r="D41" s="4">
        <v>1.077872117045529</v>
      </c>
      <c r="E41" s="4">
        <v>1.1019067039753598</v>
      </c>
      <c r="F41" s="4">
        <v>1.1442628768828109</v>
      </c>
      <c r="G41" s="4">
        <v>0.89242827687941906</v>
      </c>
      <c r="H41" s="4">
        <v>0.92396412404281503</v>
      </c>
      <c r="I41" s="4">
        <v>0.97010026653128545</v>
      </c>
      <c r="J41" s="4">
        <v>0.92565297098497201</v>
      </c>
      <c r="K41" s="4">
        <v>0.93911229382329853</v>
      </c>
      <c r="L41" s="4">
        <v>1.0085057405051814</v>
      </c>
      <c r="M41" s="4">
        <v>0.98615747748699012</v>
      </c>
      <c r="N41" s="4">
        <v>0.37707392012522678</v>
      </c>
      <c r="O41" s="4">
        <v>0.49702775309895603</v>
      </c>
      <c r="P41" s="4">
        <v>0.38952091417728674</v>
      </c>
      <c r="Q41" s="4">
        <v>0.39352667866559154</v>
      </c>
      <c r="R41" s="4">
        <v>0.36340893560095927</v>
      </c>
      <c r="S41" s="4">
        <v>0.35673783271270987</v>
      </c>
      <c r="T41" s="4">
        <v>0.25552301476498734</v>
      </c>
      <c r="U41" s="4">
        <v>0.27539704700258133</v>
      </c>
      <c r="V41" s="4">
        <v>0.21390801946066415</v>
      </c>
      <c r="W41" s="4">
        <v>0.21102386520888611</v>
      </c>
      <c r="X41" s="4">
        <v>0.21214144462391393</v>
      </c>
      <c r="Y41" s="4">
        <v>0.19529686944684677</v>
      </c>
      <c r="Z41" s="4">
        <v>0.1288261914583069</v>
      </c>
      <c r="AA41" s="4">
        <v>0.14674829187291122</v>
      </c>
      <c r="AB41" s="4">
        <v>0.12289697483745167</v>
      </c>
      <c r="AC41" s="4">
        <v>0.1102387475938123</v>
      </c>
      <c r="AD41" s="4">
        <v>0.13675784530158189</v>
      </c>
      <c r="AE41" s="4">
        <v>0.12474983525089438</v>
      </c>
      <c r="AF41" s="4">
        <v>0.10416112054194694</v>
      </c>
      <c r="AG41" s="4">
        <v>0.10398367760291072</v>
      </c>
      <c r="AH41" s="4">
        <v>9.2773594607522561E-2</v>
      </c>
      <c r="AI41" s="4">
        <v>8.860759667453641E-2</v>
      </c>
      <c r="AJ41" s="4">
        <v>0.10240160329750057</v>
      </c>
      <c r="AK41" s="4">
        <v>9.7064714773941116E-2</v>
      </c>
      <c r="AL41" s="4">
        <v>8.198030365528626E-2</v>
      </c>
      <c r="AM41" s="4">
        <v>6.9204154239116661E-2</v>
      </c>
      <c r="AN41" s="4">
        <v>7.5789135986215922E-2</v>
      </c>
      <c r="AO41" s="4">
        <v>6.4893446788767545E-2</v>
      </c>
      <c r="AP41" s="4">
        <v>7.7051368831434791E-2</v>
      </c>
      <c r="AQ41" s="4">
        <v>7.2214809918014392E-2</v>
      </c>
    </row>
    <row r="42" spans="1:49">
      <c r="A42" s="6"/>
    </row>
    <row r="44" spans="1:49">
      <c r="L44" s="7"/>
      <c r="M44" s="120"/>
      <c r="N44" s="7"/>
      <c r="O44" s="7"/>
      <c r="P44" s="7"/>
      <c r="Q44" s="7"/>
      <c r="R44" s="7"/>
      <c r="S44" s="7"/>
      <c r="T44" s="7"/>
    </row>
    <row r="45" spans="1:49">
      <c r="A45" s="4" t="s">
        <v>1360</v>
      </c>
      <c r="L45" s="7"/>
      <c r="M45" s="120"/>
      <c r="N45" s="7"/>
      <c r="O45" s="7"/>
      <c r="P45" s="7"/>
      <c r="Q45" s="7"/>
      <c r="R45" s="7"/>
      <c r="S45" s="7"/>
      <c r="T45" s="7"/>
    </row>
    <row r="46" spans="1:49">
      <c r="A46" s="140" t="s">
        <v>1987</v>
      </c>
      <c r="B46" s="256">
        <v>0</v>
      </c>
      <c r="C46" s="256"/>
      <c r="D46" s="256"/>
      <c r="E46" s="256"/>
      <c r="F46" s="256"/>
      <c r="G46" s="256"/>
      <c r="H46" s="140" t="s">
        <v>1987</v>
      </c>
      <c r="I46" s="256">
        <v>0.4</v>
      </c>
      <c r="J46" s="256"/>
      <c r="K46" s="256"/>
      <c r="L46" s="256"/>
      <c r="M46" s="256"/>
      <c r="N46" s="256"/>
      <c r="O46" s="140" t="s">
        <v>1987</v>
      </c>
      <c r="P46" s="256">
        <v>0.6</v>
      </c>
      <c r="Q46" s="256"/>
      <c r="R46" s="256"/>
      <c r="S46" s="256"/>
      <c r="T46" s="256"/>
      <c r="U46" s="256"/>
      <c r="V46" s="140" t="s">
        <v>1987</v>
      </c>
      <c r="W46" s="256">
        <v>0.8</v>
      </c>
      <c r="X46" s="256"/>
      <c r="Y46" s="256"/>
      <c r="Z46" s="256"/>
      <c r="AA46" s="256"/>
      <c r="AB46" s="256"/>
      <c r="AC46" s="140" t="s">
        <v>1987</v>
      </c>
      <c r="AD46" s="256">
        <v>1</v>
      </c>
      <c r="AE46" s="256"/>
      <c r="AF46" s="256"/>
      <c r="AG46" s="256"/>
      <c r="AH46" s="256"/>
      <c r="AI46" s="256"/>
      <c r="AJ46" s="140" t="s">
        <v>1987</v>
      </c>
      <c r="AK46" s="256">
        <v>1.5</v>
      </c>
      <c r="AL46" s="256"/>
      <c r="AM46" s="256"/>
      <c r="AN46" s="256"/>
      <c r="AO46" s="256"/>
      <c r="AP46" s="256"/>
      <c r="AQ46" s="140" t="s">
        <v>1987</v>
      </c>
      <c r="AR46" s="256">
        <v>5</v>
      </c>
      <c r="AS46" s="256"/>
      <c r="AT46" s="256"/>
      <c r="AU46" s="256"/>
      <c r="AV46" s="256"/>
      <c r="AW46" s="256"/>
    </row>
    <row r="47" spans="1:49">
      <c r="A47" s="141" t="s">
        <v>1516</v>
      </c>
      <c r="B47" s="142">
        <v>1.5634047481181235E-2</v>
      </c>
      <c r="C47" s="142">
        <v>8.0171031533939081E-3</v>
      </c>
      <c r="D47" s="142">
        <v>1.0139416983523442E-2</v>
      </c>
      <c r="E47" s="142">
        <v>4.5823786711101907E-3</v>
      </c>
      <c r="F47" s="145">
        <v>7.4473549049820205E-3</v>
      </c>
      <c r="G47" s="145">
        <v>2.7688047992616505E-3</v>
      </c>
      <c r="H47" s="141" t="s">
        <v>1516</v>
      </c>
      <c r="I47" s="142">
        <v>0.25593514765489289</v>
      </c>
      <c r="J47" s="142">
        <v>0.23837520042757884</v>
      </c>
      <c r="K47" s="142">
        <v>0.28179129700042249</v>
      </c>
      <c r="L47" s="142">
        <v>0.2668194126223703</v>
      </c>
      <c r="M47" s="145">
        <v>0.14381099126861838</v>
      </c>
      <c r="N47" s="145">
        <v>0.12044300876788186</v>
      </c>
      <c r="O47" s="141" t="s">
        <v>1516</v>
      </c>
      <c r="P47" s="142">
        <v>2.9716270990156346</v>
      </c>
      <c r="Q47" s="142">
        <v>2.910742918225548</v>
      </c>
      <c r="R47" s="142">
        <v>2.911702577101817</v>
      </c>
      <c r="S47" s="142">
        <v>2.9308477400541553</v>
      </c>
      <c r="T47" s="146">
        <v>2.4329738058551618</v>
      </c>
      <c r="U47" s="147">
        <v>2.1882787263497923</v>
      </c>
      <c r="V47" s="141" t="s">
        <v>1516</v>
      </c>
      <c r="W47" s="142">
        <v>5.7307469600463241</v>
      </c>
      <c r="X47" s="142">
        <v>5.313201496525922</v>
      </c>
      <c r="Y47" s="142">
        <v>5.2648922686945507</v>
      </c>
      <c r="Z47" s="142">
        <v>5.2866069568839817</v>
      </c>
      <c r="AA47" s="148">
        <v>4.3513097072419109</v>
      </c>
      <c r="AB47" s="148">
        <v>4.3640978311029075</v>
      </c>
      <c r="AC47" s="141" t="s">
        <v>1516</v>
      </c>
      <c r="AD47" s="142">
        <v>10.061957151129127</v>
      </c>
      <c r="AE47" s="142">
        <v>9.5088188134687339</v>
      </c>
      <c r="AF47" s="142">
        <v>8.8855090832277135</v>
      </c>
      <c r="AG47" s="142">
        <v>8.7317225578004578</v>
      </c>
      <c r="AH47" s="149">
        <v>7.463790446841295</v>
      </c>
      <c r="AI47" s="150">
        <v>8.0327641901245972</v>
      </c>
      <c r="AJ47" s="141" t="s">
        <v>1516</v>
      </c>
      <c r="AK47" s="142">
        <v>19.196294151708166</v>
      </c>
      <c r="AL47" s="142">
        <v>17.819882415820416</v>
      </c>
      <c r="AM47" s="142">
        <v>16.149978876214618</v>
      </c>
      <c r="AN47" s="142">
        <v>16.069777129764631</v>
      </c>
      <c r="AO47" s="151">
        <v>17.337955829481253</v>
      </c>
      <c r="AP47" s="152">
        <v>16.055376095985235</v>
      </c>
      <c r="AQ47" s="141" t="s">
        <v>1516</v>
      </c>
      <c r="AR47" s="142">
        <v>49.462651997683849</v>
      </c>
      <c r="AS47" s="142">
        <v>44.682522715125607</v>
      </c>
      <c r="AT47" s="142">
        <v>35.524714828897345</v>
      </c>
      <c r="AU47" s="142">
        <v>34.601333055613409</v>
      </c>
      <c r="AV47" s="153">
        <v>42.163328197226505</v>
      </c>
      <c r="AW47" s="154">
        <v>37.534379326257501</v>
      </c>
    </row>
    <row r="48" spans="1:49">
      <c r="A48" s="140" t="s">
        <v>1988</v>
      </c>
      <c r="B48" s="256" t="s">
        <v>1989</v>
      </c>
      <c r="C48" s="256" t="s">
        <v>1989</v>
      </c>
      <c r="D48" s="256" t="s">
        <v>1990</v>
      </c>
      <c r="E48" s="256" t="s">
        <v>1990</v>
      </c>
      <c r="F48" s="256" t="s">
        <v>1991</v>
      </c>
      <c r="G48" s="256" t="s">
        <v>1991</v>
      </c>
      <c r="H48" s="140" t="s">
        <v>1988</v>
      </c>
      <c r="I48" s="256" t="s">
        <v>1989</v>
      </c>
      <c r="J48" s="256" t="s">
        <v>1989</v>
      </c>
      <c r="K48" s="256" t="s">
        <v>1990</v>
      </c>
      <c r="L48" s="256" t="s">
        <v>1990</v>
      </c>
      <c r="M48" s="256" t="s">
        <v>1991</v>
      </c>
      <c r="N48" s="256" t="s">
        <v>1991</v>
      </c>
      <c r="O48" s="140" t="s">
        <v>1988</v>
      </c>
      <c r="P48" s="256" t="s">
        <v>1989</v>
      </c>
      <c r="Q48" s="256" t="s">
        <v>1989</v>
      </c>
      <c r="R48" s="256" t="s">
        <v>1990</v>
      </c>
      <c r="S48" s="256" t="s">
        <v>1990</v>
      </c>
      <c r="T48" s="256" t="s">
        <v>1991</v>
      </c>
      <c r="U48" s="256" t="s">
        <v>1991</v>
      </c>
      <c r="V48" s="140" t="s">
        <v>1988</v>
      </c>
      <c r="W48" s="256" t="s">
        <v>1989</v>
      </c>
      <c r="X48" s="256" t="s">
        <v>1989</v>
      </c>
      <c r="Y48" s="256" t="s">
        <v>1990</v>
      </c>
      <c r="Z48" s="256" t="s">
        <v>1990</v>
      </c>
      <c r="AA48" s="256" t="s">
        <v>1991</v>
      </c>
      <c r="AB48" s="256" t="s">
        <v>1991</v>
      </c>
      <c r="AC48" s="140" t="s">
        <v>1988</v>
      </c>
      <c r="AD48" s="256" t="s">
        <v>1989</v>
      </c>
      <c r="AE48" s="256" t="s">
        <v>1989</v>
      </c>
      <c r="AF48" s="256" t="s">
        <v>1990</v>
      </c>
      <c r="AG48" s="256" t="s">
        <v>1990</v>
      </c>
      <c r="AH48" s="256" t="s">
        <v>1991</v>
      </c>
      <c r="AI48" s="256" t="s">
        <v>1991</v>
      </c>
      <c r="AJ48" s="140" t="s">
        <v>1988</v>
      </c>
      <c r="AK48" s="256" t="s">
        <v>1989</v>
      </c>
      <c r="AL48" s="256" t="s">
        <v>1989</v>
      </c>
      <c r="AM48" s="256" t="s">
        <v>1990</v>
      </c>
      <c r="AN48" s="256" t="s">
        <v>1990</v>
      </c>
      <c r="AO48" s="256" t="s">
        <v>1991</v>
      </c>
      <c r="AP48" s="256" t="s">
        <v>1991</v>
      </c>
      <c r="AQ48" s="140" t="s">
        <v>1988</v>
      </c>
      <c r="AR48" s="256" t="s">
        <v>1989</v>
      </c>
      <c r="AS48" s="256" t="s">
        <v>1989</v>
      </c>
      <c r="AT48" s="256" t="s">
        <v>1990</v>
      </c>
      <c r="AU48" s="256" t="s">
        <v>1990</v>
      </c>
      <c r="AV48" s="256" t="s">
        <v>1991</v>
      </c>
      <c r="AW48" s="256" t="s">
        <v>1991</v>
      </c>
    </row>
    <row r="49" spans="1:49">
      <c r="A49" s="143" t="s">
        <v>1992</v>
      </c>
      <c r="B49" s="142">
        <v>5.5008685581933996E-2</v>
      </c>
      <c r="C49" s="142">
        <v>3.9551042223409945E-2</v>
      </c>
      <c r="D49" s="142">
        <v>5.8512885509083221E-2</v>
      </c>
      <c r="E49" s="142">
        <v>5.3322224536554885E-2</v>
      </c>
      <c r="F49" s="142">
        <v>4.3913713405238836E-2</v>
      </c>
      <c r="G49" s="142">
        <v>4.0839870789109362E-2</v>
      </c>
      <c r="H49" s="143" t="s">
        <v>1992</v>
      </c>
      <c r="I49" s="142">
        <v>5.5008685581933996E-2</v>
      </c>
      <c r="J49" s="142">
        <v>3.821485836451096E-2</v>
      </c>
      <c r="K49" s="142">
        <v>7.8369243768483324E-2</v>
      </c>
      <c r="L49" s="142">
        <v>6.3736721516350764E-2</v>
      </c>
      <c r="M49" s="142">
        <v>5.264509501797638E-2</v>
      </c>
      <c r="N49" s="142">
        <v>4.1762805722196587E-2</v>
      </c>
      <c r="O49" s="143" t="s">
        <v>1992</v>
      </c>
      <c r="P49" s="142">
        <v>5.9640995946728441E-2</v>
      </c>
      <c r="Q49" s="142">
        <v>4.7300908605024054E-2</v>
      </c>
      <c r="R49" s="142">
        <v>8.8297422898183361E-2</v>
      </c>
      <c r="S49" s="142">
        <v>7.6858987710893556E-2</v>
      </c>
      <c r="T49" s="142">
        <v>4.8793014894709816E-2</v>
      </c>
      <c r="U49" s="142">
        <v>4.1532071988924786E-2</v>
      </c>
      <c r="V49" s="143" t="s">
        <v>1992</v>
      </c>
      <c r="W49" s="142">
        <v>6.5141864504921834E-2</v>
      </c>
      <c r="X49" s="142">
        <v>5.478353821485836E-2</v>
      </c>
      <c r="Y49" s="142">
        <v>0.11554710604140261</v>
      </c>
      <c r="Z49" s="142">
        <v>0.10685273901270569</v>
      </c>
      <c r="AA49" s="142">
        <v>5.5469953775038529E-2</v>
      </c>
      <c r="AB49" s="142">
        <v>3.9224734656206739E-2</v>
      </c>
      <c r="AC49" s="143" t="s">
        <v>1992</v>
      </c>
      <c r="AD49" s="142">
        <v>0.11262304574406486</v>
      </c>
      <c r="AE49" s="142">
        <v>0.10074826296098344</v>
      </c>
      <c r="AF49" s="142">
        <v>0.19729615547106044</v>
      </c>
      <c r="AG49" s="142">
        <v>0.18558633617996248</v>
      </c>
      <c r="AH49" s="142">
        <v>9.0909090909090912E-2</v>
      </c>
      <c r="AI49" s="142">
        <v>5.5376095985233041E-2</v>
      </c>
      <c r="AJ49" s="143" t="s">
        <v>1992</v>
      </c>
      <c r="AK49" s="142">
        <v>0.27620150550086858</v>
      </c>
      <c r="AL49" s="142">
        <v>0.21966862640299306</v>
      </c>
      <c r="AM49" s="142">
        <v>0.4381073088297423</v>
      </c>
      <c r="AN49" s="142">
        <v>0.358466986044574</v>
      </c>
      <c r="AO49" s="142">
        <v>0.20133538777606577</v>
      </c>
      <c r="AP49" s="142">
        <v>0.17166589755422246</v>
      </c>
      <c r="AQ49" s="143" t="s">
        <v>1992</v>
      </c>
      <c r="AR49" s="142">
        <v>0.83786913723219458</v>
      </c>
      <c r="AS49" s="142">
        <v>0.83965793693212187</v>
      </c>
      <c r="AT49" s="142">
        <v>0.15504858470637942</v>
      </c>
      <c r="AU49" s="142">
        <v>0.21266402832743175</v>
      </c>
      <c r="AV49" s="142">
        <v>0.71751412429378525</v>
      </c>
      <c r="AW49" s="142">
        <v>0.58467928011075221</v>
      </c>
    </row>
    <row r="50" spans="1:49">
      <c r="A50" s="144" t="s">
        <v>1993</v>
      </c>
      <c r="B50" s="142">
        <v>4.3138390272148233E-2</v>
      </c>
      <c r="C50" s="142">
        <v>3.0464991982896854E-2</v>
      </c>
      <c r="D50" s="142">
        <v>5.2386987748204474E-2</v>
      </c>
      <c r="E50" s="142">
        <v>4.8531555925848791E-2</v>
      </c>
      <c r="F50" s="142">
        <v>5.0590652285567535E-2</v>
      </c>
      <c r="G50" s="142">
        <v>4.0147669589293951E-2</v>
      </c>
      <c r="H50" s="144" t="s">
        <v>1993</v>
      </c>
      <c r="I50" s="142">
        <v>0.93630573248407645</v>
      </c>
      <c r="J50" s="142">
        <v>0.79422768572955638</v>
      </c>
      <c r="K50" s="142">
        <v>1.5766793409378961</v>
      </c>
      <c r="L50" s="142">
        <v>1.6477817121433034</v>
      </c>
      <c r="M50" s="142">
        <v>0.82794042116076016</v>
      </c>
      <c r="N50" s="142">
        <v>0.76465159206275957</v>
      </c>
      <c r="O50" s="144" t="s">
        <v>1993</v>
      </c>
      <c r="P50" s="142">
        <v>3.8807180081065438</v>
      </c>
      <c r="Q50" s="142">
        <v>3.5628006413682525</v>
      </c>
      <c r="R50" s="142">
        <v>3.9742289818335448</v>
      </c>
      <c r="S50" s="142">
        <v>3.9639658404499061</v>
      </c>
      <c r="T50" s="142">
        <v>3.5680534155110433</v>
      </c>
      <c r="U50" s="142">
        <v>3.2104291647438861</v>
      </c>
      <c r="V50" s="144" t="s">
        <v>1993</v>
      </c>
      <c r="W50" s="142">
        <v>4.1933989577301682</v>
      </c>
      <c r="X50" s="142">
        <v>4.225547835382149</v>
      </c>
      <c r="Y50" s="142">
        <v>3.9129700042247575</v>
      </c>
      <c r="Z50" s="142">
        <v>3.8077483857529679</v>
      </c>
      <c r="AA50" s="142">
        <v>3.7272727272727275</v>
      </c>
      <c r="AB50" s="142">
        <v>3.4711582833410248</v>
      </c>
      <c r="AC50" s="144" t="s">
        <v>1993</v>
      </c>
      <c r="AD50" s="142">
        <v>4.4337000579038799</v>
      </c>
      <c r="AE50" s="142">
        <v>4.538214858364511</v>
      </c>
      <c r="AF50" s="142">
        <v>3.1377270806928603</v>
      </c>
      <c r="AG50" s="142">
        <v>3.2391168506561128</v>
      </c>
      <c r="AH50" s="155">
        <v>0.30662557781201855</v>
      </c>
      <c r="AI50" s="142">
        <v>3.161975080756807</v>
      </c>
      <c r="AJ50" s="144" t="s">
        <v>1993</v>
      </c>
      <c r="AK50" s="142">
        <v>0.17892298784018532</v>
      </c>
      <c r="AL50" s="142">
        <v>0.2677712453233565</v>
      </c>
      <c r="AM50" s="142">
        <v>0.16138572032108156</v>
      </c>
      <c r="AN50" s="142">
        <v>0.25432201624661527</v>
      </c>
      <c r="AO50" s="142">
        <v>0.12455059065228556</v>
      </c>
      <c r="AP50" s="142">
        <v>0.23627134287032767</v>
      </c>
      <c r="AQ50" s="144" t="s">
        <v>1993</v>
      </c>
      <c r="AR50" s="142">
        <v>7.87492762015055E-2</v>
      </c>
      <c r="AS50" s="142">
        <v>8.0705505077498671E-2</v>
      </c>
      <c r="AT50" s="142">
        <v>3.5910435149978881E-2</v>
      </c>
      <c r="AU50" s="142">
        <v>5.2697354717767139E-2</v>
      </c>
      <c r="AV50" s="142">
        <v>6.6512583461736011E-2</v>
      </c>
      <c r="AW50" s="142">
        <v>7.2450392247346562E-2</v>
      </c>
    </row>
    <row r="51" spans="1:49">
      <c r="A51" s="143" t="s">
        <v>1994</v>
      </c>
      <c r="B51" s="142">
        <v>5.037637521713955E-2</v>
      </c>
      <c r="C51" s="142">
        <v>3.9283805451630141E-2</v>
      </c>
      <c r="D51" s="142">
        <v>5.682298267849599E-2</v>
      </c>
      <c r="E51" s="142">
        <v>5.540512393251406E-2</v>
      </c>
      <c r="F51" s="142">
        <v>4.3143297380585512E-2</v>
      </c>
      <c r="G51" s="142">
        <v>3.8532533456391314E-2</v>
      </c>
      <c r="H51" s="143" t="s">
        <v>1994</v>
      </c>
      <c r="I51" s="142">
        <v>5.037637521713955E-2</v>
      </c>
      <c r="J51" s="142">
        <v>3.9016568679850344E-2</v>
      </c>
      <c r="K51" s="142">
        <v>5.4499366286438526E-2</v>
      </c>
      <c r="L51" s="142">
        <v>5.644657363049365E-2</v>
      </c>
      <c r="M51" s="142">
        <v>4.3143297380585512E-2</v>
      </c>
      <c r="N51" s="142">
        <v>3.8994000922934931E-2</v>
      </c>
      <c r="O51" s="143" t="s">
        <v>1994</v>
      </c>
      <c r="P51" s="142">
        <v>5.2692530399536759E-2</v>
      </c>
      <c r="Q51" s="142">
        <v>4.2757883484767494E-2</v>
      </c>
      <c r="R51" s="142">
        <v>6.5694972539079008E-2</v>
      </c>
      <c r="S51" s="142">
        <v>7.1026869402207871E-2</v>
      </c>
      <c r="T51" s="142">
        <v>3.9804827940421166E-2</v>
      </c>
      <c r="U51" s="142">
        <v>4.0839870789109362E-2</v>
      </c>
      <c r="V51" s="143" t="s">
        <v>1994</v>
      </c>
      <c r="W51" s="142">
        <v>6.7458019687319043E-2</v>
      </c>
      <c r="X51" s="142">
        <v>5.024051309460182E-2</v>
      </c>
      <c r="Y51" s="142">
        <v>8.3438952260245031E-2</v>
      </c>
      <c r="Z51" s="142">
        <v>8.1441366382003749E-2</v>
      </c>
      <c r="AA51" s="142">
        <v>5.8551617873651769E-2</v>
      </c>
      <c r="AB51" s="142">
        <v>4.2685740655283806E-2</v>
      </c>
      <c r="AC51" s="143" t="s">
        <v>1994</v>
      </c>
      <c r="AD51" s="142">
        <v>7.4696004632310367E-2</v>
      </c>
      <c r="AE51" s="142">
        <v>7.0283270978086593E-2</v>
      </c>
      <c r="AF51" s="142">
        <v>0.11280101394169835</v>
      </c>
      <c r="AG51" s="142">
        <v>0.10851905852947302</v>
      </c>
      <c r="AH51" s="142">
        <v>4.9049820236260921E-2</v>
      </c>
      <c r="AI51" s="142">
        <v>4.6838947854176277E-2</v>
      </c>
      <c r="AJ51" s="143" t="s">
        <v>1994</v>
      </c>
      <c r="AK51" s="142">
        <v>0.12015055008685581</v>
      </c>
      <c r="AL51" s="142">
        <v>0.11624799572421166</v>
      </c>
      <c r="AM51" s="142">
        <v>0.15716096324461346</v>
      </c>
      <c r="AN51" s="142">
        <v>0.16267444282441157</v>
      </c>
      <c r="AO51" s="142">
        <v>9.2963533641499743E-2</v>
      </c>
      <c r="AP51" s="142">
        <v>8.5602215043839414E-2</v>
      </c>
      <c r="AQ51" s="143" t="s">
        <v>1994</v>
      </c>
      <c r="AR51" s="142">
        <v>0.31673422119281996</v>
      </c>
      <c r="AS51" s="142">
        <v>0.24371993586317478</v>
      </c>
      <c r="AT51" s="142">
        <v>0.14871144909167724</v>
      </c>
      <c r="AU51" s="142">
        <v>0.15017704644865651</v>
      </c>
      <c r="AV51" s="142">
        <v>0.22444786851566514</v>
      </c>
      <c r="AW51" s="142">
        <v>0.21781264420858332</v>
      </c>
    </row>
    <row r="52" spans="1:49">
      <c r="A52" s="144" t="s">
        <v>1995</v>
      </c>
      <c r="B52" s="142">
        <v>4.487550665894615E-2</v>
      </c>
      <c r="C52" s="142">
        <v>3.7145911277391773E-2</v>
      </c>
      <c r="D52" s="142">
        <v>5.1119560625264043E-2</v>
      </c>
      <c r="E52" s="142">
        <v>4.4574047073526343E-2</v>
      </c>
      <c r="F52" s="142">
        <v>4.5197740112994357E-2</v>
      </c>
      <c r="G52" s="142">
        <v>3.8532533456391314E-2</v>
      </c>
      <c r="H52" s="144" t="s">
        <v>1995</v>
      </c>
      <c r="I52" s="142">
        <v>4.0532715691951361E-2</v>
      </c>
      <c r="J52" s="142">
        <v>3.4206306787814007E-2</v>
      </c>
      <c r="K52" s="142">
        <v>5.9146599070553446E-2</v>
      </c>
      <c r="L52" s="142">
        <v>5.3322224536554885E-2</v>
      </c>
      <c r="M52" s="142">
        <v>3.697996918335901E-2</v>
      </c>
      <c r="N52" s="142">
        <v>3.7609598523304102E-2</v>
      </c>
      <c r="O52" s="144" t="s">
        <v>1995</v>
      </c>
      <c r="P52" s="142">
        <v>5.0665894614939207E-2</v>
      </c>
      <c r="Q52" s="142">
        <v>4.3559593800106898E-2</v>
      </c>
      <c r="R52" s="142">
        <v>7.0342205323193935E-2</v>
      </c>
      <c r="S52" s="142">
        <v>6.665278067069362E-2</v>
      </c>
      <c r="T52" s="142">
        <v>4.0061633281972271E-2</v>
      </c>
      <c r="U52" s="142">
        <v>3.9916935856022143E-2</v>
      </c>
      <c r="V52" s="144" t="s">
        <v>1995</v>
      </c>
      <c r="W52" s="142">
        <v>5.5008685581933996E-2</v>
      </c>
      <c r="X52" s="142">
        <v>5.024051309460182E-2</v>
      </c>
      <c r="Y52" s="142">
        <v>7.5623151668779059E-2</v>
      </c>
      <c r="Z52" s="142">
        <v>7.6858987710893556E-2</v>
      </c>
      <c r="AA52" s="142">
        <v>4.6995377503852076E-2</v>
      </c>
      <c r="AB52" s="142">
        <v>4.7300415320719894E-2</v>
      </c>
      <c r="AC52" s="144" t="s">
        <v>1995</v>
      </c>
      <c r="AD52" s="142">
        <v>7.1221771858714547E-2</v>
      </c>
      <c r="AE52" s="142">
        <v>5.3714591127739172E-2</v>
      </c>
      <c r="AF52" s="142">
        <v>8.3861427967891838E-2</v>
      </c>
      <c r="AG52" s="142">
        <v>7.9150177046448666E-2</v>
      </c>
      <c r="AH52" s="142">
        <v>5.7781201848998459E-2</v>
      </c>
      <c r="AI52" s="142">
        <v>4.5223811721273655E-2</v>
      </c>
      <c r="AJ52" s="144" t="s">
        <v>1995</v>
      </c>
      <c r="AK52" s="142">
        <v>0.12970469021424438</v>
      </c>
      <c r="AL52" s="142">
        <v>0.11063602351683594</v>
      </c>
      <c r="AM52" s="142">
        <v>9.5690747782002553E-2</v>
      </c>
      <c r="AN52" s="142">
        <v>9.8312851489273059E-2</v>
      </c>
      <c r="AO52" s="142">
        <v>0.10734463276836161</v>
      </c>
      <c r="AP52" s="142">
        <v>9.3677895708352568E-2</v>
      </c>
      <c r="AQ52" s="144" t="s">
        <v>1995</v>
      </c>
      <c r="AR52" s="142">
        <v>0.18674001158077591</v>
      </c>
      <c r="AS52" s="142">
        <v>0.16889363976483165</v>
      </c>
      <c r="AT52" s="142">
        <v>0.17405999155048588</v>
      </c>
      <c r="AU52" s="142">
        <v>0.20641533013955424</v>
      </c>
      <c r="AV52" s="142">
        <v>0.18387262455059064</v>
      </c>
      <c r="AW52" s="142">
        <v>0.16197508075680664</v>
      </c>
    </row>
    <row r="53" spans="1:49">
      <c r="A53" s="143" t="s">
        <v>1996</v>
      </c>
      <c r="B53" s="142">
        <v>4.1401273885350316E-2</v>
      </c>
      <c r="C53" s="142">
        <v>3.6344200962052375E-2</v>
      </c>
      <c r="D53" s="142">
        <v>5.3865652724968315E-2</v>
      </c>
      <c r="E53" s="142">
        <v>4.5615496771505934E-2</v>
      </c>
      <c r="F53" s="142">
        <v>3.9804827940421166E-2</v>
      </c>
      <c r="G53" s="142">
        <v>4.3147208121827402E-2</v>
      </c>
      <c r="H53" s="143" t="s">
        <v>1996</v>
      </c>
      <c r="I53" s="142">
        <v>4.6323103647944418E-2</v>
      </c>
      <c r="J53" s="142">
        <v>4.1688936397648313E-2</v>
      </c>
      <c r="K53" s="142">
        <v>5.4921841994085341E-2</v>
      </c>
      <c r="L53" s="142">
        <v>5.3322224536554885E-2</v>
      </c>
      <c r="M53" s="142">
        <v>4.5711350796096555E-2</v>
      </c>
      <c r="N53" s="142">
        <v>3.5532994923857864E-2</v>
      </c>
      <c r="O53" s="143" t="s">
        <v>1996</v>
      </c>
      <c r="P53" s="142">
        <v>4.5744064852345105E-2</v>
      </c>
      <c r="Q53" s="142">
        <v>3.8482095136290757E-2</v>
      </c>
      <c r="R53" s="142">
        <v>5.4921841994085341E-2</v>
      </c>
      <c r="S53" s="142">
        <v>5.540512393251406E-2</v>
      </c>
      <c r="T53" s="142">
        <v>5.1361068310220859E-2</v>
      </c>
      <c r="U53" s="142">
        <v>4.5223811721273655E-2</v>
      </c>
      <c r="V53" s="143" t="s">
        <v>1996</v>
      </c>
      <c r="W53" s="142">
        <v>4.6323103647944418E-2</v>
      </c>
      <c r="X53" s="142">
        <v>3.4206306787814007E-2</v>
      </c>
      <c r="Y53" s="142">
        <v>6.3160118293198148E-2</v>
      </c>
      <c r="Z53" s="142">
        <v>5.3738804415746723E-2</v>
      </c>
      <c r="AA53" s="142">
        <v>5.4956343091936311E-2</v>
      </c>
      <c r="AB53" s="142">
        <v>3.3225657591139823E-2</v>
      </c>
      <c r="AC53" s="143" t="s">
        <v>1996</v>
      </c>
      <c r="AD53" s="142">
        <v>4.7770700636942678E-2</v>
      </c>
      <c r="AE53" s="142">
        <v>4.0619989310529125E-2</v>
      </c>
      <c r="AF53" s="142">
        <v>5.7667934093789605E-2</v>
      </c>
      <c r="AG53" s="142">
        <v>5.644657363049365E-2</v>
      </c>
      <c r="AH53" s="142">
        <v>4.0575243965074469E-2</v>
      </c>
      <c r="AI53" s="142">
        <v>3.2994923857868015E-2</v>
      </c>
      <c r="AJ53" s="143" t="s">
        <v>1996</v>
      </c>
      <c r="AK53" s="142">
        <v>5.61667631731326E-2</v>
      </c>
      <c r="AL53" s="142">
        <v>3.9016568679850344E-2</v>
      </c>
      <c r="AM53" s="142">
        <v>6.2526404731727936E-2</v>
      </c>
      <c r="AN53" s="142">
        <v>5.811289314726098E-2</v>
      </c>
      <c r="AO53" s="142">
        <v>3.2357473035439142E-2</v>
      </c>
      <c r="AP53" s="142">
        <v>3.4148592524227035E-2</v>
      </c>
      <c r="AQ53" s="143" t="s">
        <v>1996</v>
      </c>
      <c r="AR53" s="142">
        <v>5.2692530399536759E-2</v>
      </c>
      <c r="AS53" s="142">
        <v>3.821485836451096E-2</v>
      </c>
      <c r="AT53" s="142">
        <v>7.1609632446134344E-2</v>
      </c>
      <c r="AU53" s="142">
        <v>6.7902520308269113E-2</v>
      </c>
      <c r="AV53" s="142">
        <v>4.365690806368773E-2</v>
      </c>
      <c r="AW53" s="142">
        <v>3.368712505768344E-2</v>
      </c>
    </row>
    <row r="54" spans="1:49">
      <c r="A54" s="144" t="s">
        <v>1997</v>
      </c>
      <c r="B54" s="142">
        <v>5.0955414012738863E-2</v>
      </c>
      <c r="C54" s="142">
        <v>3.8482095136290757E-2</v>
      </c>
      <c r="D54" s="142">
        <v>4.6049852133502323E-2</v>
      </c>
      <c r="E54" s="142">
        <v>4.2282857737971261E-2</v>
      </c>
      <c r="F54" s="142">
        <v>4.77657935285054E-2</v>
      </c>
      <c r="G54" s="142">
        <v>3.9916935856022143E-2</v>
      </c>
      <c r="H54" s="144" t="s">
        <v>1997</v>
      </c>
      <c r="I54" s="142">
        <v>4.6323103647944418E-2</v>
      </c>
      <c r="J54" s="142">
        <v>4.1688936397648313E-2</v>
      </c>
      <c r="K54" s="142">
        <v>5.7667934093789605E-2</v>
      </c>
      <c r="L54" s="142">
        <v>4.9989585503020205E-2</v>
      </c>
      <c r="M54" s="142">
        <v>5.6497175141242945E-2</v>
      </c>
      <c r="N54" s="142">
        <v>3.3225657591139823E-2</v>
      </c>
      <c r="O54" s="144" t="s">
        <v>1997</v>
      </c>
      <c r="P54" s="142">
        <v>4.5744064852345105E-2</v>
      </c>
      <c r="Q54" s="142">
        <v>3.9551042223409945E-2</v>
      </c>
      <c r="R54" s="142">
        <v>6.6962399662019431E-2</v>
      </c>
      <c r="S54" s="142">
        <v>6.2070401999583427E-2</v>
      </c>
      <c r="T54" s="142">
        <v>4.7252182845403182E-2</v>
      </c>
      <c r="U54" s="142">
        <v>3.3225657591139823E-2</v>
      </c>
      <c r="V54" s="144" t="s">
        <v>1997</v>
      </c>
      <c r="W54" s="142">
        <v>4.8639258830341627E-2</v>
      </c>
      <c r="X54" s="142">
        <v>3.5809727418492789E-2</v>
      </c>
      <c r="Y54" s="142">
        <v>7.0342205323193935E-2</v>
      </c>
      <c r="Z54" s="142">
        <v>5.6029993751301806E-2</v>
      </c>
      <c r="AA54" s="142">
        <v>4.5711350796096555E-2</v>
      </c>
      <c r="AB54" s="142">
        <v>2.9072450392247352E-2</v>
      </c>
      <c r="AC54" s="144" t="s">
        <v>1997</v>
      </c>
      <c r="AD54" s="142">
        <v>3.9374638100752757E-2</v>
      </c>
      <c r="AE54" s="142">
        <v>2.7792624265098886E-2</v>
      </c>
      <c r="AF54" s="142">
        <v>6.5694972539079008E-2</v>
      </c>
      <c r="AG54" s="142">
        <v>5.8529473026452825E-2</v>
      </c>
      <c r="AH54" s="142">
        <v>4.2629686697483314E-2</v>
      </c>
      <c r="AI54" s="142">
        <v>2.376557452699584E-2</v>
      </c>
      <c r="AJ54" s="144" t="s">
        <v>1997</v>
      </c>
      <c r="AK54" s="142">
        <v>4.5165026056745806E-2</v>
      </c>
      <c r="AL54" s="142">
        <v>3.1266702298236235E-2</v>
      </c>
      <c r="AM54" s="142">
        <v>6.0836501901140684E-2</v>
      </c>
      <c r="AN54" s="142">
        <v>5.811289314726098E-2</v>
      </c>
      <c r="AO54" s="142">
        <v>3.9548022598870053E-2</v>
      </c>
      <c r="AP54" s="142">
        <v>2.3534840793724032E-2</v>
      </c>
      <c r="AQ54" s="144" t="s">
        <v>1997</v>
      </c>
      <c r="AR54" s="142">
        <v>5.2113491603937467E-2</v>
      </c>
      <c r="AS54" s="142">
        <v>3.7947621592731157E-2</v>
      </c>
      <c r="AT54" s="142">
        <v>4.393747359526827E-2</v>
      </c>
      <c r="AU54" s="142">
        <v>3.9575088523224326E-2</v>
      </c>
      <c r="AV54" s="142">
        <v>3.3898305084745756E-2</v>
      </c>
      <c r="AW54" s="142">
        <v>2.6303645592985692E-2</v>
      </c>
    </row>
    <row r="55" spans="1:49">
      <c r="A55" s="4" t="s">
        <v>1361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49">
      <c r="A56" s="140" t="s">
        <v>1987</v>
      </c>
      <c r="B56" s="256">
        <v>0</v>
      </c>
      <c r="C56" s="256"/>
      <c r="D56" s="256"/>
      <c r="E56" s="256"/>
      <c r="F56" s="256"/>
      <c r="G56" s="256"/>
      <c r="H56" s="140" t="s">
        <v>1987</v>
      </c>
      <c r="I56" s="256">
        <v>0.4</v>
      </c>
      <c r="J56" s="256"/>
      <c r="K56" s="256"/>
      <c r="L56" s="256"/>
      <c r="M56" s="256"/>
      <c r="N56" s="256"/>
      <c r="O56" s="140" t="s">
        <v>1987</v>
      </c>
      <c r="P56" s="256">
        <v>0.6</v>
      </c>
      <c r="Q56" s="256"/>
      <c r="R56" s="256"/>
      <c r="S56" s="256"/>
      <c r="T56" s="256"/>
      <c r="U56" s="256"/>
      <c r="V56" s="140" t="s">
        <v>1987</v>
      </c>
      <c r="W56" s="256">
        <v>0.8</v>
      </c>
      <c r="X56" s="256"/>
      <c r="Y56" s="256"/>
      <c r="Z56" s="256"/>
      <c r="AA56" s="256"/>
      <c r="AB56" s="256"/>
      <c r="AC56" s="140" t="s">
        <v>1987</v>
      </c>
      <c r="AD56" s="256">
        <v>1</v>
      </c>
      <c r="AE56" s="256"/>
      <c r="AF56" s="256"/>
      <c r="AG56" s="256"/>
      <c r="AH56" s="256"/>
      <c r="AI56" s="256"/>
      <c r="AJ56" s="140" t="s">
        <v>1987</v>
      </c>
      <c r="AK56" s="256">
        <v>1.5</v>
      </c>
      <c r="AL56" s="256"/>
      <c r="AM56" s="256"/>
      <c r="AN56" s="256"/>
      <c r="AO56" s="256"/>
      <c r="AP56" s="256"/>
      <c r="AQ56" s="140" t="s">
        <v>1987</v>
      </c>
      <c r="AR56" s="256">
        <v>5</v>
      </c>
      <c r="AS56" s="256"/>
      <c r="AT56" s="256"/>
      <c r="AU56" s="256"/>
      <c r="AV56" s="256"/>
      <c r="AW56" s="256"/>
    </row>
    <row r="57" spans="1:49">
      <c r="A57" s="141" t="s">
        <v>1516</v>
      </c>
      <c r="B57" s="142">
        <v>1.5634047481181235E-2</v>
      </c>
      <c r="C57" s="142">
        <v>8.0171031533939081E-3</v>
      </c>
      <c r="D57" s="142">
        <v>1.0139416983523442E-2</v>
      </c>
      <c r="E57" s="142">
        <v>4.5823786711101907E-3</v>
      </c>
      <c r="F57" s="142">
        <v>7.4473549049820205E-3</v>
      </c>
      <c r="G57" s="142">
        <v>2.7688047992616505E-3</v>
      </c>
      <c r="H57" s="141" t="s">
        <v>1516</v>
      </c>
      <c r="I57" s="142">
        <v>0.25593514765489289</v>
      </c>
      <c r="J57" s="142">
        <v>0.23837520042757884</v>
      </c>
      <c r="K57" s="142">
        <v>0.28179129700042249</v>
      </c>
      <c r="L57" s="142">
        <v>0.2668194126223703</v>
      </c>
      <c r="M57" s="142">
        <v>0.14381099126861838</v>
      </c>
      <c r="N57" s="142">
        <v>0.12044300876788186</v>
      </c>
      <c r="O57" s="141" t="s">
        <v>1516</v>
      </c>
      <c r="P57" s="142">
        <v>2.9716270990156346</v>
      </c>
      <c r="Q57" s="142">
        <v>2.910742918225548</v>
      </c>
      <c r="R57" s="142">
        <v>2.911702577101817</v>
      </c>
      <c r="S57" s="142">
        <v>2.9308477400541553</v>
      </c>
      <c r="T57" s="142">
        <v>2.4329738058551618</v>
      </c>
      <c r="U57" s="142">
        <v>2.1882787263497923</v>
      </c>
      <c r="V57" s="141" t="s">
        <v>1516</v>
      </c>
      <c r="W57" s="142">
        <v>5.7307469600463241</v>
      </c>
      <c r="X57" s="142">
        <v>5.313201496525922</v>
      </c>
      <c r="Y57" s="142">
        <v>5.2648922686945507</v>
      </c>
      <c r="Z57" s="142">
        <v>5.2866069568839817</v>
      </c>
      <c r="AA57" s="142">
        <v>4.3513097072419109</v>
      </c>
      <c r="AB57" s="142">
        <v>4.3640978311029075</v>
      </c>
      <c r="AC57" s="141" t="s">
        <v>1516</v>
      </c>
      <c r="AD57" s="142">
        <v>10.061957151129127</v>
      </c>
      <c r="AE57" s="142">
        <v>9.5088188134687339</v>
      </c>
      <c r="AF57" s="142">
        <v>8.8855090832277135</v>
      </c>
      <c r="AG57" s="142">
        <v>8.7317225578004578</v>
      </c>
      <c r="AH57" s="142">
        <v>7.463790446841295</v>
      </c>
      <c r="AI57" s="142">
        <v>8.0327641901245972</v>
      </c>
      <c r="AJ57" s="141" t="s">
        <v>1516</v>
      </c>
      <c r="AK57" s="142">
        <v>19.196294151708166</v>
      </c>
      <c r="AL57" s="142">
        <v>17.819882415820416</v>
      </c>
      <c r="AM57" s="142">
        <v>16.149978876214618</v>
      </c>
      <c r="AN57" s="142">
        <v>16.069777129764631</v>
      </c>
      <c r="AO57" s="142">
        <v>17.337955829481253</v>
      </c>
      <c r="AP57" s="142">
        <v>16.055376095985235</v>
      </c>
      <c r="AQ57" s="141" t="s">
        <v>1516</v>
      </c>
      <c r="AR57" s="142">
        <v>49.462651997683849</v>
      </c>
      <c r="AS57" s="142">
        <v>44.682522715125607</v>
      </c>
      <c r="AT57" s="142">
        <v>35.524714828897345</v>
      </c>
      <c r="AU57" s="142">
        <v>34.601333055613409</v>
      </c>
      <c r="AV57" s="142">
        <v>42.163328197226505</v>
      </c>
      <c r="AW57" s="142">
        <v>37.534379326257501</v>
      </c>
    </row>
    <row r="58" spans="1:49">
      <c r="A58" s="140" t="s">
        <v>1988</v>
      </c>
      <c r="B58" s="256" t="s">
        <v>1989</v>
      </c>
      <c r="C58" s="256" t="s">
        <v>1989</v>
      </c>
      <c r="D58" s="256" t="s">
        <v>1990</v>
      </c>
      <c r="E58" s="256" t="s">
        <v>1990</v>
      </c>
      <c r="F58" s="256" t="s">
        <v>1991</v>
      </c>
      <c r="G58" s="256" t="s">
        <v>1991</v>
      </c>
      <c r="H58" s="140" t="s">
        <v>1988</v>
      </c>
      <c r="I58" s="256" t="s">
        <v>1989</v>
      </c>
      <c r="J58" s="256" t="s">
        <v>1989</v>
      </c>
      <c r="K58" s="256" t="s">
        <v>1990</v>
      </c>
      <c r="L58" s="256" t="s">
        <v>1990</v>
      </c>
      <c r="M58" s="256" t="s">
        <v>1991</v>
      </c>
      <c r="N58" s="256" t="s">
        <v>1991</v>
      </c>
      <c r="O58" s="140" t="s">
        <v>1988</v>
      </c>
      <c r="P58" s="256" t="s">
        <v>1989</v>
      </c>
      <c r="Q58" s="256" t="s">
        <v>1989</v>
      </c>
      <c r="R58" s="256" t="s">
        <v>1990</v>
      </c>
      <c r="S58" s="256" t="s">
        <v>1990</v>
      </c>
      <c r="T58" s="256" t="s">
        <v>1991</v>
      </c>
      <c r="U58" s="256" t="s">
        <v>1991</v>
      </c>
      <c r="V58" s="140" t="s">
        <v>1988</v>
      </c>
      <c r="W58" s="256" t="s">
        <v>1989</v>
      </c>
      <c r="X58" s="256" t="s">
        <v>1989</v>
      </c>
      <c r="Y58" s="256" t="s">
        <v>1990</v>
      </c>
      <c r="Z58" s="256" t="s">
        <v>1990</v>
      </c>
      <c r="AA58" s="256" t="s">
        <v>1991</v>
      </c>
      <c r="AB58" s="256" t="s">
        <v>1991</v>
      </c>
      <c r="AC58" s="140" t="s">
        <v>1988</v>
      </c>
      <c r="AD58" s="256" t="s">
        <v>1989</v>
      </c>
      <c r="AE58" s="256" t="s">
        <v>1989</v>
      </c>
      <c r="AF58" s="256" t="s">
        <v>1990</v>
      </c>
      <c r="AG58" s="256" t="s">
        <v>1990</v>
      </c>
      <c r="AH58" s="256" t="s">
        <v>1991</v>
      </c>
      <c r="AI58" s="256" t="s">
        <v>1991</v>
      </c>
      <c r="AJ58" s="140" t="s">
        <v>1988</v>
      </c>
      <c r="AK58" s="256" t="s">
        <v>1989</v>
      </c>
      <c r="AL58" s="256" t="s">
        <v>1989</v>
      </c>
      <c r="AM58" s="256" t="s">
        <v>1990</v>
      </c>
      <c r="AN58" s="256" t="s">
        <v>1990</v>
      </c>
      <c r="AO58" s="256" t="s">
        <v>1991</v>
      </c>
      <c r="AP58" s="256" t="s">
        <v>1991</v>
      </c>
      <c r="AQ58" s="140" t="s">
        <v>1988</v>
      </c>
      <c r="AR58" s="256" t="s">
        <v>1989</v>
      </c>
      <c r="AS58" s="256" t="s">
        <v>1989</v>
      </c>
      <c r="AT58" s="256" t="s">
        <v>1990</v>
      </c>
      <c r="AU58" s="256" t="s">
        <v>1990</v>
      </c>
      <c r="AV58" s="256" t="s">
        <v>1991</v>
      </c>
      <c r="AW58" s="256" t="s">
        <v>1991</v>
      </c>
    </row>
    <row r="59" spans="1:49">
      <c r="A59" s="143" t="s">
        <v>1992</v>
      </c>
      <c r="B59" s="142">
        <v>0.58689999580383301</v>
      </c>
      <c r="C59" s="142">
        <v>0.57209998369216897</v>
      </c>
      <c r="D59" s="142">
        <v>0.72250002622604403</v>
      </c>
      <c r="E59" s="142">
        <v>0.69120001792907704</v>
      </c>
      <c r="F59" s="142">
        <v>0.52990001440048196</v>
      </c>
      <c r="G59" s="142">
        <v>0.529100000858307</v>
      </c>
      <c r="H59" s="143" t="s">
        <v>1992</v>
      </c>
      <c r="I59" s="142">
        <v>0.60379999876022294</v>
      </c>
      <c r="J59" s="142">
        <v>0.51270002126693703</v>
      </c>
      <c r="K59" s="142">
        <v>0.63959997892379805</v>
      </c>
      <c r="L59" s="142">
        <v>0.69679999351501498</v>
      </c>
      <c r="M59" s="142">
        <v>0.55279999971389804</v>
      </c>
      <c r="N59" s="142">
        <v>0.51090002059936501</v>
      </c>
      <c r="O59" s="143" t="s">
        <v>1992</v>
      </c>
      <c r="P59" s="142">
        <v>0.5692999958992</v>
      </c>
      <c r="Q59" s="142">
        <v>0.57749998569488503</v>
      </c>
      <c r="R59" s="142">
        <v>0.6875</v>
      </c>
      <c r="S59" s="142">
        <v>0.69999998807907104</v>
      </c>
      <c r="T59" s="142">
        <v>0.54299998283386197</v>
      </c>
      <c r="U59" s="142">
        <v>0.56080001592636097</v>
      </c>
      <c r="V59" s="143" t="s">
        <v>1992</v>
      </c>
      <c r="W59" s="142">
        <v>0.5557000041008</v>
      </c>
      <c r="X59" s="142">
        <v>0.57120001316070601</v>
      </c>
      <c r="Y59" s="142">
        <v>0.651799976825714</v>
      </c>
      <c r="Z59" s="142">
        <v>0.703199982643127</v>
      </c>
      <c r="AA59" s="142">
        <v>0.52890002727508501</v>
      </c>
      <c r="AB59" s="142">
        <v>0.53820002079009999</v>
      </c>
      <c r="AC59" s="143" t="s">
        <v>1992</v>
      </c>
      <c r="AD59" s="142">
        <v>0.55339998006820701</v>
      </c>
      <c r="AE59" s="142">
        <v>0.57380002737045299</v>
      </c>
      <c r="AF59" s="142">
        <v>0.70990002155303999</v>
      </c>
      <c r="AG59" s="142">
        <v>0.72820001840591397</v>
      </c>
      <c r="AH59" s="142">
        <v>0.54559999704360995</v>
      </c>
      <c r="AI59" s="142">
        <v>0.54149997234344505</v>
      </c>
      <c r="AJ59" s="143" t="s">
        <v>1992</v>
      </c>
      <c r="AK59" s="142">
        <v>0.56849998235702504</v>
      </c>
      <c r="AL59" s="142">
        <v>0.5692999958992</v>
      </c>
      <c r="AM59" s="142">
        <v>0.68959999084472701</v>
      </c>
      <c r="AN59" s="142">
        <v>0.70469999313354503</v>
      </c>
      <c r="AO59" s="142">
        <v>0.54619997739791903</v>
      </c>
      <c r="AP59" s="142">
        <v>0.553600013256073</v>
      </c>
      <c r="AQ59" s="143" t="s">
        <v>1992</v>
      </c>
      <c r="AR59" s="142">
        <v>0.52069997787475597</v>
      </c>
      <c r="AS59" s="142">
        <v>0.47229999303817699</v>
      </c>
      <c r="AT59" s="142">
        <v>4.3499998748302501E-2</v>
      </c>
      <c r="AU59" s="142">
        <v>4.4500000774860403E-2</v>
      </c>
      <c r="AV59" s="142">
        <v>0.49729999899864202</v>
      </c>
      <c r="AW59" s="142">
        <v>0.44720000028610202</v>
      </c>
    </row>
    <row r="60" spans="1:49">
      <c r="A60" s="144" t="s">
        <v>1993</v>
      </c>
      <c r="B60" s="142">
        <v>0.53210002183914196</v>
      </c>
      <c r="C60" s="142">
        <v>0.53299999237060502</v>
      </c>
      <c r="D60" s="142">
        <v>0.716600000858307</v>
      </c>
      <c r="E60" s="142">
        <v>0.70569998025894198</v>
      </c>
      <c r="F60" s="142">
        <v>0.52880001068115201</v>
      </c>
      <c r="G60" s="142">
        <v>0.52780002355575595</v>
      </c>
      <c r="H60" s="144" t="s">
        <v>1993</v>
      </c>
      <c r="I60" s="142">
        <v>0.540199995040894</v>
      </c>
      <c r="J60" s="142">
        <v>0.54850000143051103</v>
      </c>
      <c r="K60" s="142">
        <v>0.70509999990463301</v>
      </c>
      <c r="L60" s="142">
        <v>0.71850001811981201</v>
      </c>
      <c r="M60" s="142">
        <v>0.542400002479553</v>
      </c>
      <c r="N60" s="142">
        <v>0.52780002355575595</v>
      </c>
      <c r="O60" s="144" t="s">
        <v>1993</v>
      </c>
      <c r="P60" s="142">
        <v>0.40419998764991799</v>
      </c>
      <c r="Q60" s="142">
        <v>0.34459999203681901</v>
      </c>
      <c r="R60" s="142">
        <v>0.55089998245239302</v>
      </c>
      <c r="S60" s="142">
        <v>0.53990000486373901</v>
      </c>
      <c r="T60" s="142">
        <v>0.38539999723434398</v>
      </c>
      <c r="U60" s="142">
        <v>0.33689999580383301</v>
      </c>
      <c r="V60" s="144" t="s">
        <v>1993</v>
      </c>
      <c r="W60" s="142">
        <v>0.25839999318122903</v>
      </c>
      <c r="X60" s="142">
        <v>0.25270000100135798</v>
      </c>
      <c r="Y60" s="142">
        <v>0.31540000438690202</v>
      </c>
      <c r="Z60" s="142">
        <v>0.30640000104904203</v>
      </c>
      <c r="AA60" s="142">
        <v>0.21729999780654899</v>
      </c>
      <c r="AB60" s="142">
        <v>0.22450000047683699</v>
      </c>
      <c r="AC60" s="144" t="s">
        <v>1993</v>
      </c>
      <c r="AD60" s="142">
        <v>0.118000000715256</v>
      </c>
      <c r="AE60" s="142">
        <v>9.8399996757507296E-2</v>
      </c>
      <c r="AF60" s="142">
        <v>0.113300003111362</v>
      </c>
      <c r="AG60" s="142">
        <v>0.106600001454353</v>
      </c>
      <c r="AH60" s="142">
        <v>8.2599997520446805E-2</v>
      </c>
      <c r="AI60" s="142">
        <v>8.5000000894069699E-2</v>
      </c>
      <c r="AJ60" s="144" t="s">
        <v>1993</v>
      </c>
      <c r="AK60" s="142">
        <v>6.5499998629093198E-2</v>
      </c>
      <c r="AL60" s="142">
        <v>6.5800003707408905E-2</v>
      </c>
      <c r="AM60" s="142">
        <v>7.8199997544288594E-2</v>
      </c>
      <c r="AN60" s="142">
        <v>7.6800003647804302E-2</v>
      </c>
      <c r="AO60" s="142">
        <v>6.4999997615814195E-2</v>
      </c>
      <c r="AP60" s="142">
        <v>6.2799997627735096E-2</v>
      </c>
      <c r="AQ60" s="144" t="s">
        <v>1993</v>
      </c>
      <c r="AR60" s="142">
        <v>5.4600000381469699E-2</v>
      </c>
      <c r="AS60" s="142">
        <v>4.7100000083446503E-2</v>
      </c>
      <c r="AT60" s="142">
        <v>6.2300000339746503E-2</v>
      </c>
      <c r="AU60" s="142">
        <v>5.0299998372793198E-2</v>
      </c>
      <c r="AV60" s="142">
        <v>5.0700001418590497E-2</v>
      </c>
      <c r="AW60" s="142">
        <v>4.9600001424551003E-2</v>
      </c>
    </row>
    <row r="61" spans="1:49">
      <c r="A61" s="143" t="s">
        <v>1994</v>
      </c>
      <c r="B61" s="142">
        <v>0.55959999561309803</v>
      </c>
      <c r="C61" s="142">
        <v>0.57899999618530296</v>
      </c>
      <c r="D61" s="142">
        <v>0.69929999113082897</v>
      </c>
      <c r="E61" s="142">
        <v>0.69609999656677202</v>
      </c>
      <c r="F61" s="142">
        <v>0.52560001611709595</v>
      </c>
      <c r="G61" s="142">
        <v>0.529100000858307</v>
      </c>
      <c r="H61" s="143" t="s">
        <v>1994</v>
      </c>
      <c r="I61" s="142">
        <v>0.582499980926514</v>
      </c>
      <c r="J61" s="142">
        <v>0.58939999341964699</v>
      </c>
      <c r="K61" s="142">
        <v>0.705399990081787</v>
      </c>
      <c r="L61" s="142">
        <v>0.725399971008301</v>
      </c>
      <c r="M61" s="142">
        <v>0.55440002679824796</v>
      </c>
      <c r="N61" s="142">
        <v>0.56760001182556197</v>
      </c>
      <c r="O61" s="143" t="s">
        <v>1994</v>
      </c>
      <c r="P61" s="142">
        <v>0.58350002765655495</v>
      </c>
      <c r="Q61" s="142">
        <v>0.59719997644424405</v>
      </c>
      <c r="R61" s="142">
        <v>0.70520001649856601</v>
      </c>
      <c r="S61" s="142">
        <v>0.71729999780654896</v>
      </c>
      <c r="T61" s="142">
        <v>0.54079997539520297</v>
      </c>
      <c r="U61" s="142">
        <v>0.558099985122681</v>
      </c>
      <c r="V61" s="143" t="s">
        <v>1994</v>
      </c>
      <c r="W61" s="142">
        <v>0.60100001096725497</v>
      </c>
      <c r="X61" s="142">
        <v>0.59189999103546098</v>
      </c>
      <c r="Y61" s="142">
        <v>0.72369998693466198</v>
      </c>
      <c r="Z61" s="142">
        <v>0.73059999942779497</v>
      </c>
      <c r="AA61" s="142">
        <v>0.56559997797012296</v>
      </c>
      <c r="AB61" s="142">
        <v>0.55000001192092896</v>
      </c>
      <c r="AC61" s="143" t="s">
        <v>1994</v>
      </c>
      <c r="AD61" s="142">
        <v>0.58609998226165805</v>
      </c>
      <c r="AE61" s="142">
        <v>0.59839999675750699</v>
      </c>
      <c r="AF61" s="142">
        <v>0.73100000619888295</v>
      </c>
      <c r="AG61" s="142">
        <v>0.73470002412795998</v>
      </c>
      <c r="AH61" s="142">
        <v>0.56029999256134</v>
      </c>
      <c r="AI61" s="142">
        <v>0.553699970245361</v>
      </c>
      <c r="AJ61" s="143" t="s">
        <v>1994</v>
      </c>
      <c r="AK61" s="142">
        <v>0.58569997549056996</v>
      </c>
      <c r="AL61" s="142">
        <v>0.59270000457763705</v>
      </c>
      <c r="AM61" s="142">
        <v>0.71549999713897705</v>
      </c>
      <c r="AN61" s="142">
        <v>0.72369998693466198</v>
      </c>
      <c r="AO61" s="142">
        <v>0.55500000715255704</v>
      </c>
      <c r="AP61" s="142">
        <v>0.555800020694733</v>
      </c>
      <c r="AQ61" s="143" t="s">
        <v>1994</v>
      </c>
      <c r="AR61" s="142">
        <v>0.53270000219345104</v>
      </c>
      <c r="AS61" s="142">
        <v>0.54299998283386197</v>
      </c>
      <c r="AT61" s="142">
        <v>4.4900000095367397E-2</v>
      </c>
      <c r="AU61" s="142">
        <v>4.5099999755620998E-2</v>
      </c>
      <c r="AV61" s="142">
        <v>0.55390000343322798</v>
      </c>
      <c r="AW61" s="142">
        <v>0.50929999351501498</v>
      </c>
    </row>
    <row r="62" spans="1:49">
      <c r="A62" s="144" t="s">
        <v>1995</v>
      </c>
      <c r="B62" s="142">
        <v>0.508800029754639</v>
      </c>
      <c r="C62" s="142">
        <v>0.53299999237060502</v>
      </c>
      <c r="D62" s="142">
        <v>0.70550000667571999</v>
      </c>
      <c r="E62" s="142">
        <v>0.69660001993179299</v>
      </c>
      <c r="F62" s="142">
        <v>0.51480001211166404</v>
      </c>
      <c r="G62" s="142">
        <v>0.51069998741149902</v>
      </c>
      <c r="H62" s="144" t="s">
        <v>1995</v>
      </c>
      <c r="I62" s="142">
        <v>0.53409999608993497</v>
      </c>
      <c r="J62" s="142">
        <v>0.55440002679824796</v>
      </c>
      <c r="K62" s="142">
        <v>0.72200000286102295</v>
      </c>
      <c r="L62" s="142">
        <v>0.72339999675750699</v>
      </c>
      <c r="M62" s="142">
        <v>0.52649998664856001</v>
      </c>
      <c r="N62" s="142">
        <v>0.55229997634887695</v>
      </c>
      <c r="O62" s="144" t="s">
        <v>1995</v>
      </c>
      <c r="P62" s="142">
        <v>0.52209997177124001</v>
      </c>
      <c r="Q62" s="142">
        <v>0.54189997911453203</v>
      </c>
      <c r="R62" s="142">
        <v>0.71450001001357999</v>
      </c>
      <c r="S62" s="142">
        <v>0.71100002527236905</v>
      </c>
      <c r="T62" s="142">
        <v>0.51230001449585005</v>
      </c>
      <c r="U62" s="142">
        <v>0.52749997377395597</v>
      </c>
      <c r="V62" s="144" t="s">
        <v>1995</v>
      </c>
      <c r="W62" s="142">
        <v>0.517899990081787</v>
      </c>
      <c r="X62" s="142">
        <v>0.51690000295639005</v>
      </c>
      <c r="Y62" s="142">
        <v>0.69129997491836503</v>
      </c>
      <c r="Z62" s="142">
        <v>0.71090000867843595</v>
      </c>
      <c r="AA62" s="142">
        <v>0.52549999952316295</v>
      </c>
      <c r="AB62" s="142">
        <v>0.53850001096725497</v>
      </c>
      <c r="AC62" s="144" t="s">
        <v>1995</v>
      </c>
      <c r="AD62" s="142">
        <v>0.49230000376701399</v>
      </c>
      <c r="AE62" s="142">
        <v>0.49619999527931202</v>
      </c>
      <c r="AF62" s="142">
        <v>0.68019998073577903</v>
      </c>
      <c r="AG62" s="142">
        <v>0.66269999742507901</v>
      </c>
      <c r="AH62" s="142">
        <v>0.49689999222755399</v>
      </c>
      <c r="AI62" s="142">
        <v>0.49250000715255698</v>
      </c>
      <c r="AJ62" s="144" t="s">
        <v>1995</v>
      </c>
      <c r="AK62" s="142">
        <v>0.32769998908042902</v>
      </c>
      <c r="AL62" s="142">
        <v>0.34009999036788902</v>
      </c>
      <c r="AM62" s="142">
        <v>0.37520000338554399</v>
      </c>
      <c r="AN62" s="142">
        <v>0.468800008296967</v>
      </c>
      <c r="AO62" s="142">
        <v>0.34340000152587902</v>
      </c>
      <c r="AP62" s="142">
        <v>0.34950000047683699</v>
      </c>
      <c r="AQ62" s="144" t="s">
        <v>1995</v>
      </c>
      <c r="AR62" s="142">
        <v>5.4900001734495198E-2</v>
      </c>
      <c r="AS62" s="142">
        <v>0.104599997401237</v>
      </c>
      <c r="AT62" s="142">
        <v>6.4900003373622894E-2</v>
      </c>
      <c r="AU62" s="142">
        <v>8.3400003612041501E-2</v>
      </c>
      <c r="AV62" s="142">
        <v>8.1500001251697499E-2</v>
      </c>
      <c r="AW62" s="142">
        <v>7.8199997544288594E-2</v>
      </c>
    </row>
    <row r="63" spans="1:49">
      <c r="A63" s="143" t="s">
        <v>1996</v>
      </c>
      <c r="B63" s="142">
        <v>0.54509997367858898</v>
      </c>
      <c r="C63" s="142">
        <v>0.54000002145767201</v>
      </c>
      <c r="D63" s="142">
        <v>0.68379998207092296</v>
      </c>
      <c r="E63" s="142">
        <v>0.66549998521804798</v>
      </c>
      <c r="F63" s="142">
        <v>0.52929997444152799</v>
      </c>
      <c r="G63" s="142">
        <v>0.53619998693466198</v>
      </c>
      <c r="H63" s="143" t="s">
        <v>1996</v>
      </c>
      <c r="I63" s="142">
        <v>0.57940000295639005</v>
      </c>
      <c r="J63" s="142">
        <v>0.57239997386932395</v>
      </c>
      <c r="K63" s="142">
        <v>0.71979999542236295</v>
      </c>
      <c r="L63" s="142">
        <v>0.71249997615814198</v>
      </c>
      <c r="M63" s="142">
        <v>0.57120001316070601</v>
      </c>
      <c r="N63" s="142">
        <v>0.55940002202987704</v>
      </c>
      <c r="O63" s="143" t="s">
        <v>1996</v>
      </c>
      <c r="P63" s="142">
        <v>0.551400005817413</v>
      </c>
      <c r="Q63" s="142">
        <v>0.56470000743866</v>
      </c>
      <c r="R63" s="142">
        <v>0.71170002222061202</v>
      </c>
      <c r="S63" s="142">
        <v>0.70359998941421498</v>
      </c>
      <c r="T63" s="142">
        <v>0.53600001335143999</v>
      </c>
      <c r="U63" s="142">
        <v>0.55729997158050504</v>
      </c>
      <c r="V63" s="143" t="s">
        <v>1996</v>
      </c>
      <c r="W63" s="142">
        <v>0.58539998531341597</v>
      </c>
      <c r="X63" s="142">
        <v>0.57220000028610196</v>
      </c>
      <c r="Y63" s="142">
        <v>0.71820002794265703</v>
      </c>
      <c r="Z63" s="142">
        <v>0.72579997777938798</v>
      </c>
      <c r="AA63" s="142">
        <v>0.56110000610351596</v>
      </c>
      <c r="AB63" s="142">
        <v>0.55489999055862405</v>
      </c>
      <c r="AC63" s="143" t="s">
        <v>1996</v>
      </c>
      <c r="AD63" s="142">
        <v>0.58999997377395597</v>
      </c>
      <c r="AE63" s="142">
        <v>0.58469998836517301</v>
      </c>
      <c r="AF63" s="142">
        <v>0.73369997739791903</v>
      </c>
      <c r="AG63" s="142">
        <v>0.716499984264374</v>
      </c>
      <c r="AH63" s="142">
        <v>0.56739997863769498</v>
      </c>
      <c r="AI63" s="142">
        <v>0.56319999694824197</v>
      </c>
      <c r="AJ63" s="143" t="s">
        <v>1996</v>
      </c>
      <c r="AK63" s="142">
        <v>0.52990001440048196</v>
      </c>
      <c r="AL63" s="142">
        <v>0.55870002508163497</v>
      </c>
      <c r="AM63" s="142">
        <v>0.72479999065399203</v>
      </c>
      <c r="AN63" s="142">
        <v>0.71700000762939498</v>
      </c>
      <c r="AO63" s="142">
        <v>0.49739998579025302</v>
      </c>
      <c r="AP63" s="142">
        <v>0.55879998207092296</v>
      </c>
      <c r="AQ63" s="143" t="s">
        <v>1996</v>
      </c>
      <c r="AR63" s="142">
        <v>0.51190000772476196</v>
      </c>
      <c r="AS63" s="142">
        <v>0.49750000238418601</v>
      </c>
      <c r="AT63" s="142">
        <v>4.3400000780820798E-2</v>
      </c>
      <c r="AU63" s="142">
        <v>4.39999997615814E-2</v>
      </c>
      <c r="AV63" s="142">
        <v>0.51639997959136996</v>
      </c>
      <c r="AW63" s="142">
        <v>0.51279997825622603</v>
      </c>
    </row>
    <row r="64" spans="1:49">
      <c r="A64" s="144" t="s">
        <v>1997</v>
      </c>
      <c r="B64" s="142">
        <v>0.53380000591278098</v>
      </c>
      <c r="C64" s="142">
        <v>0.53539997339248702</v>
      </c>
      <c r="D64" s="142">
        <v>0.64380002021789595</v>
      </c>
      <c r="E64" s="142">
        <v>0.65420001745223999</v>
      </c>
      <c r="F64" s="142">
        <v>0.52789998054504395</v>
      </c>
      <c r="G64" s="142">
        <v>0.53259998559951804</v>
      </c>
      <c r="H64" s="144" t="s">
        <v>1997</v>
      </c>
      <c r="I64" s="142">
        <v>0.50789999961853005</v>
      </c>
      <c r="J64" s="142">
        <v>0.54769998788833596</v>
      </c>
      <c r="K64" s="142">
        <v>0.68099999427795399</v>
      </c>
      <c r="L64" s="142">
        <v>0.705399990081787</v>
      </c>
      <c r="M64" s="142">
        <v>0.49129998683929399</v>
      </c>
      <c r="N64" s="142">
        <v>0.52130001783371005</v>
      </c>
      <c r="O64" s="144" t="s">
        <v>1997</v>
      </c>
      <c r="P64" s="142">
        <v>0.52329999208450295</v>
      </c>
      <c r="Q64" s="142">
        <v>0.52999997138977095</v>
      </c>
      <c r="R64" s="142">
        <v>0.65420001745223999</v>
      </c>
      <c r="S64" s="142">
        <v>0.671899974346161</v>
      </c>
      <c r="T64" s="142">
        <v>0.52649998664856001</v>
      </c>
      <c r="U64" s="142">
        <v>0.50870001316070601</v>
      </c>
      <c r="V64" s="144" t="s">
        <v>1997</v>
      </c>
      <c r="W64" s="142">
        <v>0.51959997415542603</v>
      </c>
      <c r="X64" s="142">
        <v>0.51429998874664296</v>
      </c>
      <c r="Y64" s="142">
        <v>0.65700000524520896</v>
      </c>
      <c r="Z64" s="142">
        <v>0.65539997816085804</v>
      </c>
      <c r="AA64" s="142">
        <v>0.528999984264374</v>
      </c>
      <c r="AB64" s="142">
        <v>0.49120000004768399</v>
      </c>
      <c r="AC64" s="144" t="s">
        <v>1997</v>
      </c>
      <c r="AD64" s="142">
        <v>0.49750000238418601</v>
      </c>
      <c r="AE64" s="142">
        <v>0.49819999933242798</v>
      </c>
      <c r="AF64" s="142">
        <v>0.59289997816085804</v>
      </c>
      <c r="AG64" s="142">
        <v>0.61379998922348</v>
      </c>
      <c r="AH64" s="142">
        <v>0.50760000944137595</v>
      </c>
      <c r="AI64" s="142">
        <v>0.49259999394416798</v>
      </c>
      <c r="AJ64" s="144" t="s">
        <v>1997</v>
      </c>
      <c r="AK64" s="142">
        <v>0.46140000224113498</v>
      </c>
      <c r="AL64" s="142">
        <v>0.43040001392364502</v>
      </c>
      <c r="AM64" s="142">
        <v>0.54329997301101696</v>
      </c>
      <c r="AN64" s="142">
        <v>0.54949998855590798</v>
      </c>
      <c r="AO64" s="142">
        <v>0.48719999194145203</v>
      </c>
      <c r="AP64" s="142">
        <v>0.464300006628036</v>
      </c>
      <c r="AQ64" s="144" t="s">
        <v>1997</v>
      </c>
      <c r="AR64" s="142">
        <v>0.25200000405311601</v>
      </c>
      <c r="AS64" s="142">
        <v>0.28979998826980602</v>
      </c>
      <c r="AT64" s="142">
        <v>0.35559999942779502</v>
      </c>
      <c r="AU64" s="142">
        <v>0.43140000104904203</v>
      </c>
      <c r="AV64" s="142">
        <v>0.26730000972747803</v>
      </c>
      <c r="AW64" s="142">
        <v>0.28139999508857699</v>
      </c>
    </row>
    <row r="66" spans="1:49">
      <c r="A66" s="4" t="s">
        <v>1667</v>
      </c>
    </row>
    <row r="67" spans="1:49">
      <c r="B67" s="4">
        <v>0.51709997699999999</v>
      </c>
      <c r="C67" s="4">
        <v>0.52590000599999998</v>
      </c>
      <c r="D67">
        <v>0.56639999151229903</v>
      </c>
      <c r="E67">
        <v>0.587000012397766</v>
      </c>
      <c r="F67">
        <v>0.49520000815391502</v>
      </c>
      <c r="G67">
        <v>0.51370000839233398</v>
      </c>
    </row>
    <row r="68" spans="1:49">
      <c r="B68" s="256">
        <v>0</v>
      </c>
      <c r="C68" s="256"/>
      <c r="D68" s="256"/>
      <c r="E68" s="256"/>
      <c r="F68" s="256"/>
      <c r="G68" s="256"/>
      <c r="H68" s="140" t="s">
        <v>1987</v>
      </c>
      <c r="I68" s="256">
        <v>0.4</v>
      </c>
      <c r="J68" s="256"/>
      <c r="K68" s="256"/>
      <c r="L68" s="256"/>
      <c r="M68" s="256"/>
      <c r="N68" s="256"/>
      <c r="O68" s="140" t="s">
        <v>1987</v>
      </c>
      <c r="P68" s="256">
        <v>0.6</v>
      </c>
      <c r="Q68" s="256"/>
      <c r="R68" s="256"/>
      <c r="S68" s="256"/>
      <c r="T68" s="256"/>
      <c r="U68" s="256"/>
      <c r="V68" s="140" t="s">
        <v>1987</v>
      </c>
      <c r="W68" s="256">
        <v>0.8</v>
      </c>
      <c r="X68" s="256"/>
      <c r="Y68" s="256"/>
      <c r="Z68" s="256"/>
      <c r="AA68" s="256"/>
      <c r="AB68" s="256"/>
      <c r="AC68" s="140" t="s">
        <v>1987</v>
      </c>
      <c r="AD68" s="256">
        <v>1</v>
      </c>
      <c r="AE68" s="256"/>
      <c r="AF68" s="256"/>
      <c r="AG68" s="256"/>
      <c r="AH68" s="256"/>
      <c r="AI68" s="256"/>
      <c r="AJ68" s="140" t="s">
        <v>1987</v>
      </c>
      <c r="AK68" s="256">
        <v>1.5</v>
      </c>
      <c r="AL68" s="256"/>
      <c r="AM68" s="256"/>
      <c r="AN68" s="256"/>
      <c r="AO68" s="256"/>
      <c r="AP68" s="256"/>
      <c r="AQ68" s="140" t="s">
        <v>1987</v>
      </c>
      <c r="AR68" s="256">
        <v>5</v>
      </c>
      <c r="AS68" s="256"/>
      <c r="AT68" s="256"/>
      <c r="AU68" s="256"/>
      <c r="AV68" s="256"/>
      <c r="AW68" s="256"/>
    </row>
    <row r="69" spans="1:49">
      <c r="A69" s="141" t="s">
        <v>1516</v>
      </c>
      <c r="B69" s="142">
        <v>1.5634047481181235E-2</v>
      </c>
      <c r="C69" s="142">
        <v>8.0171031533939081E-3</v>
      </c>
      <c r="D69" s="142">
        <v>1.0139416983523442E-2</v>
      </c>
      <c r="E69" s="142">
        <v>4.5823786711101907E-3</v>
      </c>
      <c r="F69" s="142">
        <v>7.4473549049820205E-3</v>
      </c>
      <c r="G69" s="142">
        <v>2.7688047992616505E-3</v>
      </c>
      <c r="H69" s="141" t="s">
        <v>1516</v>
      </c>
      <c r="I69" s="142">
        <v>0.25593514765489289</v>
      </c>
      <c r="J69" s="142">
        <v>0.23837520042757884</v>
      </c>
      <c r="K69" s="142">
        <v>0.28179129700042249</v>
      </c>
      <c r="L69" s="142">
        <v>0.2668194126223703</v>
      </c>
      <c r="M69" s="142">
        <v>0.14381099126861838</v>
      </c>
      <c r="N69" s="142">
        <v>0.12044300876788186</v>
      </c>
      <c r="O69" s="141" t="s">
        <v>1516</v>
      </c>
      <c r="P69" s="142">
        <v>2.9716270990156346</v>
      </c>
      <c r="Q69" s="142">
        <v>2.910742918225548</v>
      </c>
      <c r="R69" s="142">
        <v>2.911702577101817</v>
      </c>
      <c r="S69" s="142">
        <v>2.9308477400541553</v>
      </c>
      <c r="T69" s="142">
        <v>2.4329738058551618</v>
      </c>
      <c r="U69" s="142">
        <v>2.1882787263497923</v>
      </c>
      <c r="V69" s="141" t="s">
        <v>1516</v>
      </c>
      <c r="W69" s="142">
        <v>5.7307469600463241</v>
      </c>
      <c r="X69" s="142">
        <v>5.313201496525922</v>
      </c>
      <c r="Y69" s="142">
        <v>5.2648922686945507</v>
      </c>
      <c r="Z69" s="142">
        <v>5.2866069568839817</v>
      </c>
      <c r="AA69" s="142">
        <v>4.3513097072419109</v>
      </c>
      <c r="AB69" s="142">
        <v>4.3640978311029075</v>
      </c>
      <c r="AC69" s="141" t="s">
        <v>1516</v>
      </c>
      <c r="AD69" s="142">
        <v>10.061957151129127</v>
      </c>
      <c r="AE69" s="142">
        <v>9.5088188134687339</v>
      </c>
      <c r="AF69" s="142">
        <v>8.8855090832277135</v>
      </c>
      <c r="AG69" s="142">
        <v>8.7317225578004578</v>
      </c>
      <c r="AH69" s="142">
        <v>7.463790446841295</v>
      </c>
      <c r="AI69" s="142">
        <v>8.0327641901245972</v>
      </c>
      <c r="AJ69" s="141" t="s">
        <v>1516</v>
      </c>
      <c r="AK69" s="142">
        <v>19.196294151708166</v>
      </c>
      <c r="AL69" s="142">
        <v>17.819882415820416</v>
      </c>
      <c r="AM69" s="142">
        <v>16.149978876214618</v>
      </c>
      <c r="AN69" s="142">
        <v>16.069777129764631</v>
      </c>
      <c r="AO69" s="142">
        <v>17.337955829481253</v>
      </c>
      <c r="AP69" s="142">
        <v>16.055376095985235</v>
      </c>
      <c r="AQ69" s="141" t="s">
        <v>1516</v>
      </c>
      <c r="AR69" s="142">
        <v>49.462651997683849</v>
      </c>
      <c r="AS69" s="142">
        <v>44.682522715125607</v>
      </c>
      <c r="AT69" s="142">
        <v>35.524714828897345</v>
      </c>
      <c r="AU69" s="142">
        <v>34.601333055613409</v>
      </c>
      <c r="AV69" s="142">
        <v>42.163328197226505</v>
      </c>
      <c r="AW69" s="142">
        <v>37.534379326257501</v>
      </c>
    </row>
    <row r="70" spans="1:49">
      <c r="A70" s="140" t="s">
        <v>1988</v>
      </c>
      <c r="B70" s="256" t="s">
        <v>1989</v>
      </c>
      <c r="C70" s="256" t="s">
        <v>1989</v>
      </c>
      <c r="D70" s="256" t="s">
        <v>1990</v>
      </c>
      <c r="E70" s="256" t="s">
        <v>1990</v>
      </c>
      <c r="F70" s="256" t="s">
        <v>1991</v>
      </c>
      <c r="G70" s="256" t="s">
        <v>1991</v>
      </c>
      <c r="H70" s="140" t="s">
        <v>1988</v>
      </c>
      <c r="I70" s="256" t="s">
        <v>1989</v>
      </c>
      <c r="J70" s="256" t="s">
        <v>1989</v>
      </c>
      <c r="K70" s="256" t="s">
        <v>1990</v>
      </c>
      <c r="L70" s="256" t="s">
        <v>1990</v>
      </c>
      <c r="M70" s="256" t="s">
        <v>1991</v>
      </c>
      <c r="N70" s="256" t="s">
        <v>1991</v>
      </c>
      <c r="O70" s="140" t="s">
        <v>1988</v>
      </c>
      <c r="P70" s="256" t="s">
        <v>1989</v>
      </c>
      <c r="Q70" s="256" t="s">
        <v>1989</v>
      </c>
      <c r="R70" s="256" t="s">
        <v>1990</v>
      </c>
      <c r="S70" s="256" t="s">
        <v>1990</v>
      </c>
      <c r="T70" s="256" t="s">
        <v>1991</v>
      </c>
      <c r="U70" s="256" t="s">
        <v>1991</v>
      </c>
      <c r="V70" s="140" t="s">
        <v>1988</v>
      </c>
      <c r="W70" s="256" t="s">
        <v>1989</v>
      </c>
      <c r="X70" s="256" t="s">
        <v>1989</v>
      </c>
      <c r="Y70" s="256" t="s">
        <v>1990</v>
      </c>
      <c r="Z70" s="256" t="s">
        <v>1990</v>
      </c>
      <c r="AA70" s="256" t="s">
        <v>1991</v>
      </c>
      <c r="AB70" s="256" t="s">
        <v>1991</v>
      </c>
      <c r="AC70" s="140" t="s">
        <v>1988</v>
      </c>
      <c r="AD70" s="256" t="s">
        <v>1989</v>
      </c>
      <c r="AE70" s="256" t="s">
        <v>1989</v>
      </c>
      <c r="AF70" s="256" t="s">
        <v>1990</v>
      </c>
      <c r="AG70" s="256" t="s">
        <v>1990</v>
      </c>
      <c r="AH70" s="256" t="s">
        <v>1991</v>
      </c>
      <c r="AI70" s="256" t="s">
        <v>1991</v>
      </c>
      <c r="AJ70" s="140" t="s">
        <v>1988</v>
      </c>
      <c r="AK70" s="256" t="s">
        <v>1989</v>
      </c>
      <c r="AL70" s="256" t="s">
        <v>1989</v>
      </c>
      <c r="AM70" s="256" t="s">
        <v>1990</v>
      </c>
      <c r="AN70" s="256" t="s">
        <v>1990</v>
      </c>
      <c r="AO70" s="256" t="s">
        <v>1991</v>
      </c>
      <c r="AP70" s="256" t="s">
        <v>1991</v>
      </c>
      <c r="AQ70" s="140" t="s">
        <v>1988</v>
      </c>
      <c r="AR70" s="256" t="s">
        <v>1989</v>
      </c>
      <c r="AS70" s="256" t="s">
        <v>1989</v>
      </c>
      <c r="AT70" s="256" t="s">
        <v>1990</v>
      </c>
      <c r="AU70" s="256" t="s">
        <v>1990</v>
      </c>
      <c r="AV70" s="256" t="s">
        <v>1991</v>
      </c>
      <c r="AW70" s="256" t="s">
        <v>1991</v>
      </c>
    </row>
    <row r="71" spans="1:49">
      <c r="A71" s="143" t="s">
        <v>1992</v>
      </c>
      <c r="B71" s="4">
        <f>B59/AVERAGE($B$67:$C$67)</f>
        <v>1.1254074887244423</v>
      </c>
      <c r="C71" s="4">
        <f>C59/AVERAGE($B$67:$C$67)</f>
        <v>1.0970277910199524</v>
      </c>
      <c r="D71" s="4">
        <f>D59/AVERAGE($D$67:$E$67)</f>
        <v>1.2528177974280292</v>
      </c>
      <c r="E71" s="4">
        <f>E59/AVERAGE($D$67:$E$67)</f>
        <v>1.198543463821546</v>
      </c>
      <c r="F71" s="4">
        <f>F59/AVERAGE($F$67:$G$67)</f>
        <v>1.0504509975418179</v>
      </c>
      <c r="G71" s="4">
        <f>G59/AVERAGE($F$67:$G$67)</f>
        <v>1.0488650851044019</v>
      </c>
      <c r="H71" s="143" t="s">
        <v>1992</v>
      </c>
      <c r="I71" s="4">
        <f>I59/AVERAGE($B$67:$C$67)</f>
        <v>1.1578140145764948</v>
      </c>
      <c r="J71" s="4">
        <f>J59/AVERAGE($B$67:$C$67)</f>
        <v>0.98312565603740187</v>
      </c>
      <c r="K71" s="4">
        <f>K59/AVERAGE($D$67:$E$67)</f>
        <v>1.1090687996454525</v>
      </c>
      <c r="L71" s="4">
        <f>L59/AVERAGE($D$67:$E$67)</f>
        <v>1.2082538428174776</v>
      </c>
      <c r="M71" s="4">
        <f>M59/AVERAGE($F$67:$G$67)</f>
        <v>1.095846943498503</v>
      </c>
      <c r="N71" s="4">
        <f>N59/AVERAGE($F$67:$G$67)</f>
        <v>1.0127862270204351</v>
      </c>
      <c r="O71" s="143" t="s">
        <v>1992</v>
      </c>
      <c r="P71" s="4">
        <f>P59/AVERAGE($B$67:$C$67)</f>
        <v>1.0916586868231999</v>
      </c>
      <c r="Q71" s="4">
        <f>Q59/AVERAGE($B$67:$C$67)</f>
        <v>1.1073825409542408</v>
      </c>
      <c r="R71" s="4">
        <f>R59/AVERAGE($D$67:$E$67)</f>
        <v>1.1921276186394167</v>
      </c>
      <c r="S71" s="4">
        <f>S59/AVERAGE($D$67:$E$67)</f>
        <v>1.2138026455801063</v>
      </c>
      <c r="T71" s="4">
        <f>T59/AVERAGE($F$67:$G$67)</f>
        <v>1.076419811534358</v>
      </c>
      <c r="U71" s="4">
        <f>U59/AVERAGE($F$67:$G$67)</f>
        <v>1.1117058315573005</v>
      </c>
      <c r="V71" s="143" t="s">
        <v>1992</v>
      </c>
      <c r="W71" s="4">
        <f>W59/AVERAGE($B$67:$C$67)</f>
        <v>1.0655800827578727</v>
      </c>
      <c r="X71" s="4">
        <f>X59/AVERAGE($B$67:$C$67)</f>
        <v>1.0953020565115503</v>
      </c>
      <c r="Y71" s="4">
        <f>Y59/AVERAGE($D$67:$E$67)</f>
        <v>1.1302236424763135</v>
      </c>
      <c r="Z71" s="4">
        <f>Z59/AVERAGE($D$67:$E$67)</f>
        <v>1.2193514483427348</v>
      </c>
      <c r="AA71" s="4">
        <f>AA59/AVERAGE($F$67:$G$67)</f>
        <v>1.0484686660738889</v>
      </c>
      <c r="AB71" s="4">
        <f>AB59/AVERAGE($F$67:$G$67)</f>
        <v>1.0669045732252267</v>
      </c>
      <c r="AC71" s="143" t="s">
        <v>1992</v>
      </c>
      <c r="AD71" s="4">
        <f>AD59/AVERAGE($B$67:$C$67)</f>
        <v>1.0611696818564702</v>
      </c>
      <c r="AE71" s="4">
        <f>AE59/AVERAGE($B$67:$C$67)</f>
        <v>1.1002877022490862</v>
      </c>
      <c r="AF71" s="4">
        <f>AF59/AVERAGE($D$67:$E$67)</f>
        <v>1.2309693413325036</v>
      </c>
      <c r="AG71" s="4">
        <f>AG59/AVERAGE($D$67:$E$67)</f>
        <v>1.2627016055787952</v>
      </c>
      <c r="AH71" s="4">
        <f>AH59/AVERAGE($F$67:$G$67)</f>
        <v>1.0815739678771215</v>
      </c>
      <c r="AI71" s="4">
        <f>AI59/AVERAGE($F$67:$G$67)</f>
        <v>1.0734462552536239</v>
      </c>
      <c r="AJ71" s="143" t="s">
        <v>1992</v>
      </c>
      <c r="AK71" s="4">
        <f>AK59/AVERAGE($B$67:$C$67)</f>
        <v>1.0901246243970937</v>
      </c>
      <c r="AL71" s="4">
        <f>AL59/AVERAGE($B$67:$C$67)</f>
        <v>1.0916586868231999</v>
      </c>
      <c r="AM71" s="4">
        <f>AM59/AVERAGE($D$67:$E$67)</f>
        <v>1.1957690107628918</v>
      </c>
      <c r="AN71" s="4">
        <f>AN59/AVERAGE($D$67:$E$67)</f>
        <v>1.2219524722465549</v>
      </c>
      <c r="AO71" s="4">
        <f>AO59/AVERAGE($F$67:$G$67)</f>
        <v>1.0827633431263417</v>
      </c>
      <c r="AP71" s="4">
        <f>AP59/AVERAGE($F$67:$G$67)</f>
        <v>1.097432855935919</v>
      </c>
      <c r="AQ71" s="143" t="s">
        <v>1992</v>
      </c>
      <c r="AR71" s="4">
        <f>AR59/AVERAGE($B$67:$C$67)</f>
        <v>0.99846593741460477</v>
      </c>
      <c r="AS71" s="4">
        <f>AS59/AVERAGE($B$67:$C$67)</f>
        <v>0.90565676075984547</v>
      </c>
      <c r="AT71" s="4">
        <f>AT59/AVERAGE($D$67:$E$67)</f>
        <v>7.5429163518009421E-2</v>
      </c>
      <c r="AU71" s="4">
        <f>AU59/AVERAGE($D$67:$E$67)</f>
        <v>7.7163170840998593E-2</v>
      </c>
      <c r="AV71" s="4">
        <f>AV59/AVERAGE($F$67:$G$67)</f>
        <v>0.9858261291362469</v>
      </c>
      <c r="AW71" s="4">
        <f>AW59/AVERAGE($F$67:$G$67)</f>
        <v>0.88651004649002685</v>
      </c>
    </row>
    <row r="72" spans="1:49">
      <c r="A72" s="144" t="s">
        <v>1993</v>
      </c>
      <c r="B72" s="4">
        <f t="shared" ref="B72:C72" si="0">B60/AVERAGE($B$67:$C$67)</f>
        <v>1.0203260412500734</v>
      </c>
      <c r="C72" s="4">
        <f t="shared" si="0"/>
        <v>1.0220517757584757</v>
      </c>
      <c r="D72" s="4">
        <f t="shared" ref="D72:E72" si="1">D60/AVERAGE($D$67:$E$67)</f>
        <v>1.2425871309675891</v>
      </c>
      <c r="E72" s="4">
        <f t="shared" si="1"/>
        <v>1.223686453730874</v>
      </c>
      <c r="F72" s="4">
        <f t="shared" ref="F72:G72" si="2">F60/AVERAGE($F$67:$G$67)</f>
        <v>1.0482703974797909</v>
      </c>
      <c r="G72" s="4">
        <f t="shared" si="2"/>
        <v>1.0462880660118634</v>
      </c>
      <c r="H72" s="144" t="s">
        <v>1993</v>
      </c>
      <c r="I72" s="4">
        <f t="shared" ref="I72:J72" si="3">I60/AVERAGE($B$67:$C$67)</f>
        <v>1.0358581090041954</v>
      </c>
      <c r="J72" s="4">
        <f t="shared" si="3"/>
        <v>1.0517737495121531</v>
      </c>
      <c r="K72" s="4">
        <f t="shared" ref="K72:L72" si="4">K60/AVERAGE($D$67:$E$67)</f>
        <v>1.2226460855112191</v>
      </c>
      <c r="L72" s="4">
        <f t="shared" si="4"/>
        <v>1.2458817681360717</v>
      </c>
      <c r="M72" s="4">
        <f t="shared" ref="M72:N72" si="5">M60/AVERAGE($F$67:$G$67)</f>
        <v>1.0752304362851377</v>
      </c>
      <c r="N72" s="4">
        <f t="shared" si="5"/>
        <v>1.0462880660118634</v>
      </c>
      <c r="O72" s="144" t="s">
        <v>1993</v>
      </c>
      <c r="P72" s="4">
        <f t="shared" ref="P72:Q72" si="6">P60/AVERAGE($B$67:$C$67)</f>
        <v>0.77507189690897238</v>
      </c>
      <c r="Q72" s="4">
        <f t="shared" si="6"/>
        <v>0.66078618917258214</v>
      </c>
      <c r="R72" s="4">
        <f t="shared" ref="R72:S72" si="7">R60/AVERAGE($D$67:$E$67)</f>
        <v>0.95526266791195313</v>
      </c>
      <c r="S72" s="4">
        <f t="shared" si="7"/>
        <v>0.93618866487508179</v>
      </c>
      <c r="T72" s="4">
        <f t="shared" ref="T72:U72" si="8">T60/AVERAGE($F$67:$G$67)</f>
        <v>0.76400037845906188</v>
      </c>
      <c r="U72" s="4">
        <f t="shared" si="8"/>
        <v>0.66785606160883471</v>
      </c>
      <c r="V72" s="144" t="s">
        <v>1993</v>
      </c>
      <c r="W72" s="4">
        <f t="shared" ref="W72:X72" si="9">W60/AVERAGE($B$67:$C$67)</f>
        <v>0.49549376297780634</v>
      </c>
      <c r="X72" s="4">
        <f t="shared" si="9"/>
        <v>0.48456376820738251</v>
      </c>
      <c r="Y72" s="4">
        <f t="shared" ref="Y72:Z72" si="10">Y60/AVERAGE($D$67:$E$67)</f>
        <v>0.54690480894344595</v>
      </c>
      <c r="Z72" s="4">
        <f t="shared" si="10"/>
        <v>0.53129876887521355</v>
      </c>
      <c r="AA72" s="4">
        <f t="shared" ref="AA72:AB72" si="11">AA60/AVERAGE($F$67:$G$67)</f>
        <v>0.43076616957630459</v>
      </c>
      <c r="AB72" s="4">
        <f t="shared" si="11"/>
        <v>0.44503914519768611</v>
      </c>
      <c r="AC72" s="144" t="s">
        <v>1993</v>
      </c>
      <c r="AD72" s="4">
        <f t="shared" ref="AD72:AE72" si="12">AD60/AVERAGE($B$67:$C$67)</f>
        <v>0.2262703789809285</v>
      </c>
      <c r="AE72" s="4">
        <f t="shared" si="12"/>
        <v>0.18868647816173031</v>
      </c>
      <c r="AF72" s="4">
        <f t="shared" ref="AF72:AG72" si="13">AF60/AVERAGE($D$67:$E$67)</f>
        <v>0.19646263694688945</v>
      </c>
      <c r="AG72" s="4">
        <f t="shared" si="13"/>
        <v>0.18484480855379812</v>
      </c>
      <c r="AH72" s="4">
        <f t="shared" ref="AH72:AI72" si="14">AH60/AVERAGE($F$67:$G$67)</f>
        <v>0.16374268245769297</v>
      </c>
      <c r="AI72" s="4">
        <f t="shared" si="14"/>
        <v>0.16850034592139035</v>
      </c>
      <c r="AJ72" s="144" t="s">
        <v>1993</v>
      </c>
      <c r="AK72" s="4">
        <f t="shared" ref="AK72:AL72" si="15">AK60/AVERAGE($B$67:$C$67)</f>
        <v>0.12559923240016618</v>
      </c>
      <c r="AL72" s="4">
        <f t="shared" si="15"/>
        <v>0.12617450580995629</v>
      </c>
      <c r="AM72" s="4">
        <f t="shared" ref="AM72:AN72" si="16">AM60/AVERAGE($D$67:$E$67)</f>
        <v>0.13559909360011782</v>
      </c>
      <c r="AN72" s="4">
        <f t="shared" si="16"/>
        <v>0.13317149885113522</v>
      </c>
      <c r="AO72" s="4">
        <f t="shared" ref="AO72:AP72" si="17">AO60/AVERAGE($F$67:$G$67)</f>
        <v>0.12885319962294706</v>
      </c>
      <c r="AP72" s="4">
        <f t="shared" si="17"/>
        <v>0.12449201426860376</v>
      </c>
      <c r="AQ72" s="144" t="s">
        <v>1993</v>
      </c>
      <c r="AR72" s="4">
        <f t="shared" ref="AR72:AS72" si="18">AR60/AVERAGE($B$67:$C$67)</f>
        <v>0.10469798901515359</v>
      </c>
      <c r="AS72" s="4">
        <f t="shared" si="18"/>
        <v>9.0316396646473382E-2</v>
      </c>
      <c r="AT72" s="4">
        <f t="shared" ref="AT72:AU72" si="19">AT60/AVERAGE($D$67:$E$67)</f>
        <v>0.10802843788546453</v>
      </c>
      <c r="AU72" s="4">
        <f t="shared" si="19"/>
        <v>8.7220388767599272E-2</v>
      </c>
      <c r="AV72" s="4">
        <f t="shared" ref="AV72:AW72" si="20">AV60/AVERAGE($F$67:$G$67)</f>
        <v>0.10050550220457125</v>
      </c>
      <c r="AW72" s="4">
        <f t="shared" si="20"/>
        <v>9.8324909527399723E-2</v>
      </c>
    </row>
    <row r="73" spans="1:49">
      <c r="A73" s="143" t="s">
        <v>1994</v>
      </c>
      <c r="B73" s="4">
        <f t="shared" ref="B73:C73" si="21">B61/AVERAGE($B$67:$C$67)</f>
        <v>1.0730584942168653</v>
      </c>
      <c r="C73" s="4">
        <f t="shared" si="21"/>
        <v>1.1102588794295367</v>
      </c>
      <c r="D73" s="4">
        <f t="shared" ref="D73:E73" si="22">D61/AVERAGE($D$67:$E$67)</f>
        <v>1.2125888482056151</v>
      </c>
      <c r="E73" s="4">
        <f t="shared" si="22"/>
        <v>1.207040045442985</v>
      </c>
      <c r="F73" s="4">
        <f t="shared" ref="F73:G73" si="23">F61/AVERAGE($F$67:$G$67)</f>
        <v>1.0419268658878091</v>
      </c>
      <c r="G73" s="4">
        <f t="shared" si="23"/>
        <v>1.0488650851044019</v>
      </c>
      <c r="H73" s="143" t="s">
        <v>1994</v>
      </c>
      <c r="I73" s="4">
        <f t="shared" ref="I73:J73" si="24">I61/AVERAGE($B$67:$C$67)</f>
        <v>1.1169702596754769</v>
      </c>
      <c r="J73" s="4">
        <f t="shared" si="24"/>
        <v>1.1302013480850592</v>
      </c>
      <c r="K73" s="4">
        <f t="shared" ref="K73:L73" si="25">K61/AVERAGE($D$67:$E$67)</f>
        <v>1.2231662696210457</v>
      </c>
      <c r="L73" s="4">
        <f t="shared" si="25"/>
        <v>1.2578463127261497</v>
      </c>
      <c r="M73" s="4">
        <f t="shared" ref="M73:N73" si="26">M61/AVERAGE($F$67:$G$67)</f>
        <v>1.099018768373335</v>
      </c>
      <c r="N73" s="4">
        <f t="shared" si="26"/>
        <v>1.125185850959975</v>
      </c>
      <c r="O73" s="143" t="s">
        <v>1994</v>
      </c>
      <c r="P73" s="4">
        <f t="shared" ref="P73:Q73" si="27">P61/AVERAGE($B$67:$C$67)</f>
        <v>1.1188878948554208</v>
      </c>
      <c r="Q73" s="4">
        <f t="shared" si="27"/>
        <v>1.1451581710030458</v>
      </c>
      <c r="R73" s="4">
        <f t="shared" ref="R73:S73" si="28">R61/AVERAGE($D$67:$E$67)</f>
        <v>1.2228195146660552</v>
      </c>
      <c r="S73" s="4">
        <f t="shared" si="28"/>
        <v>1.2438009283420801</v>
      </c>
      <c r="T73" s="4">
        <f t="shared" ref="T73:U73" si="29">T61/AVERAGE($F$67:$G$67)</f>
        <v>1.0720586114103055</v>
      </c>
      <c r="U73" s="4">
        <f t="shared" si="29"/>
        <v>1.1063534066204412</v>
      </c>
      <c r="V73" s="143" t="s">
        <v>1994</v>
      </c>
      <c r="W73" s="4">
        <f t="shared" ref="W73:X73" si="30">W61/AVERAGE($B$67:$C$67)</f>
        <v>1.1524449103797443</v>
      </c>
      <c r="X73" s="4">
        <f t="shared" si="30"/>
        <v>1.1349952074456764</v>
      </c>
      <c r="Y73" s="4">
        <f t="shared" ref="Y73:Z73" si="31">Y61/AVERAGE($D$67:$E$67)</f>
        <v>1.2548985338673391</v>
      </c>
      <c r="Z73" s="4">
        <f t="shared" si="31"/>
        <v>1.2668631818120968</v>
      </c>
      <c r="AA73" s="4">
        <f t="shared" ref="AA73:AB73" si="32">AA61/AVERAGE($F$67:$G$67)</f>
        <v>1.1212210698664318</v>
      </c>
      <c r="AB73" s="4">
        <f t="shared" si="32"/>
        <v>1.0902963681252282</v>
      </c>
      <c r="AC73" s="143" t="s">
        <v>1994</v>
      </c>
      <c r="AD73" s="4">
        <f t="shared" ref="AD73:AE73" si="33">AD61/AVERAGE($B$67:$C$67)</f>
        <v>1.1238734262983359</v>
      </c>
      <c r="AE73" s="4">
        <f t="shared" si="33"/>
        <v>1.1474592646422066</v>
      </c>
      <c r="AF73" s="4">
        <f t="shared" ref="AF73:AG73" si="34">AF61/AVERAGE($D$67:$E$67)</f>
        <v>1.267556795076761</v>
      </c>
      <c r="AG73" s="4">
        <f t="shared" si="34"/>
        <v>1.2739726402588902</v>
      </c>
      <c r="AH73" s="4">
        <f t="shared" ref="AH73:AI73" si="35">AH61/AVERAGE($F$67:$G$67)</f>
        <v>1.1107146067444935</v>
      </c>
      <c r="AI73" s="4">
        <f t="shared" si="35"/>
        <v>1.0976310063723322</v>
      </c>
      <c r="AJ73" s="143" t="s">
        <v>1994</v>
      </c>
      <c r="AK73" s="4">
        <f t="shared" ref="AK73:AL73" si="36">AK61/AVERAGE($B$67:$C$67)</f>
        <v>1.1231063950852815</v>
      </c>
      <c r="AL73" s="4">
        <f t="shared" si="36"/>
        <v>1.1365292698717848</v>
      </c>
      <c r="AM73" s="4">
        <f t="shared" ref="AM73:AN73" si="37">AM61/AVERAGE($D$67:$E$67)</f>
        <v>1.2406797203284339</v>
      </c>
      <c r="AN73" s="4">
        <f t="shared" si="37"/>
        <v>1.2548985338673391</v>
      </c>
      <c r="AO73" s="4">
        <f t="shared" ref="AO73:AP73" si="38">AO61/AVERAGE($F$67:$G$67)</f>
        <v>1.1002081436225555</v>
      </c>
      <c r="AP73" s="4">
        <f t="shared" si="38"/>
        <v>1.1017940560599735</v>
      </c>
      <c r="AQ73" s="143" t="s">
        <v>1994</v>
      </c>
      <c r="AR73" s="4">
        <f t="shared" ref="AR73:AS73" si="39">AR61/AVERAGE($B$67:$C$67)</f>
        <v>1.0214765309223424</v>
      </c>
      <c r="AS73" s="4">
        <f t="shared" si="39"/>
        <v>1.0412272132009459</v>
      </c>
      <c r="AT73" s="4">
        <f t="shared" ref="AT73:AU73" si="40">AT61/AVERAGE($D$67:$E$67)</f>
        <v>7.7856771186327167E-2</v>
      </c>
      <c r="AU73" s="4">
        <f t="shared" si="40"/>
        <v>7.8203571358991628E-2</v>
      </c>
      <c r="AV73" s="4">
        <f t="shared" ref="AV73:AW73" si="41">AV61/AVERAGE($F$67:$G$67)</f>
        <v>1.0980275435605302</v>
      </c>
      <c r="AW73" s="4">
        <f t="shared" si="41"/>
        <v>1.0096144021456028</v>
      </c>
    </row>
    <row r="74" spans="1:49">
      <c r="A74" s="144" t="s">
        <v>1995</v>
      </c>
      <c r="B74" s="4">
        <f t="shared" ref="B74:C74" si="42">B62/AVERAGE($B$67:$C$67)</f>
        <v>0.97564724457840946</v>
      </c>
      <c r="C74" s="4">
        <f t="shared" si="42"/>
        <v>1.0220517757584757</v>
      </c>
      <c r="D74" s="4">
        <f t="shared" ref="D74:E74" si="43">D62/AVERAGE($D$67:$E$67)</f>
        <v>1.2233396987758818</v>
      </c>
      <c r="E74" s="4">
        <f t="shared" si="43"/>
        <v>1.2079070878624854</v>
      </c>
      <c r="F74" s="4">
        <f t="shared" ref="F74:G74" si="44">F62/AVERAGE($F$67:$G$67)</f>
        <v>1.0205174024557371</v>
      </c>
      <c r="G74" s="4">
        <f t="shared" si="44"/>
        <v>1.0123896898322393</v>
      </c>
      <c r="H74" s="144" t="s">
        <v>1995</v>
      </c>
      <c r="I74" s="4">
        <f t="shared" ref="I74:J74" si="45">I62/AVERAGE($B$67:$C$67)</f>
        <v>1.0241610830207175</v>
      </c>
      <c r="J74" s="4">
        <f t="shared" si="45"/>
        <v>1.0630873170364143</v>
      </c>
      <c r="K74" s="4">
        <f t="shared" ref="K74:L74" si="46">K62/AVERAGE($D$67:$E$67)</f>
        <v>1.2519507550085287</v>
      </c>
      <c r="L74" s="4">
        <f t="shared" si="46"/>
        <v>1.2543783497575107</v>
      </c>
      <c r="M74" s="4">
        <f t="shared" ref="M74:N74" si="47">M62/AVERAGE($F$67:$G$67)</f>
        <v>1.0437109287616406</v>
      </c>
      <c r="N74" s="4">
        <f t="shared" si="47"/>
        <v>1.094855718685696</v>
      </c>
      <c r="O74" s="144" t="s">
        <v>1995</v>
      </c>
      <c r="P74" s="4">
        <f t="shared" ref="P74:Q74" si="48">P62/AVERAGE($B$67:$C$67)</f>
        <v>1.0011504895129801</v>
      </c>
      <c r="Q74" s="4">
        <f t="shared" si="48"/>
        <v>1.0391179059387041</v>
      </c>
      <c r="R74" s="4">
        <f t="shared" ref="R74:S74" si="49">R62/AVERAGE($D$67:$E$67)</f>
        <v>1.2389457388441143</v>
      </c>
      <c r="S74" s="4">
        <f t="shared" si="49"/>
        <v>1.2328767519716575</v>
      </c>
      <c r="T74" s="4">
        <f t="shared" ref="T74:U74" si="50">T62/AVERAGE($F$67:$G$67)</f>
        <v>1.0155615147070736</v>
      </c>
      <c r="U74" s="4">
        <f t="shared" si="50"/>
        <v>1.0456932602295679</v>
      </c>
      <c r="V74" s="144" t="s">
        <v>1995</v>
      </c>
      <c r="W74" s="4">
        <f t="shared" ref="W74:X74" si="51">W62/AVERAGE($B$67:$C$67)</f>
        <v>0.99309683321785247</v>
      </c>
      <c r="X74" s="4">
        <f t="shared" si="51"/>
        <v>0.99117931233252954</v>
      </c>
      <c r="Y74" s="4">
        <f t="shared" ref="Y74:Z74" si="52">Y62/AVERAGE($D$67:$E$67)</f>
        <v>1.1987167896217006</v>
      </c>
      <c r="Z74" s="4">
        <f t="shared" si="52"/>
        <v>1.2327033228168212</v>
      </c>
      <c r="AA74" s="4">
        <f t="shared" ref="AA74:AB74" si="53">AA62/AVERAGE($F$67:$G$67)</f>
        <v>1.0417285972937111</v>
      </c>
      <c r="AB74" s="4">
        <f t="shared" si="53"/>
        <v>1.0674992608498379</v>
      </c>
      <c r="AC74" s="144" t="s">
        <v>1995</v>
      </c>
      <c r="AD74" s="4">
        <f t="shared" ref="AD74:AE74" si="54">AD62/AVERAGE($B$67:$C$67)</f>
        <v>0.94400769279209851</v>
      </c>
      <c r="AE74" s="4">
        <f t="shared" si="54"/>
        <v>0.95148610425109081</v>
      </c>
      <c r="AF74" s="4">
        <f t="shared" ref="AF74:AG74" si="55">AF62/AVERAGE($D$67:$E$67)</f>
        <v>1.1794693574299948</v>
      </c>
      <c r="AG74" s="4">
        <f t="shared" si="55"/>
        <v>1.1491243197130285</v>
      </c>
      <c r="AH74" s="4">
        <f t="shared" ref="AH74:AI74" si="56">AH62/AVERAGE($F$67:$G$67)</f>
        <v>0.98503317291753778</v>
      </c>
      <c r="AI74" s="4">
        <f t="shared" si="56"/>
        <v>0.97631083174827227</v>
      </c>
      <c r="AJ74" s="144" t="s">
        <v>1995</v>
      </c>
      <c r="AK74" s="4">
        <f t="shared" ref="AK74:AL74" si="57">AK62/AVERAGE($B$67:$C$67)</f>
        <v>0.62837966332052952</v>
      </c>
      <c r="AL74" s="4">
        <f t="shared" si="57"/>
        <v>0.65215723089400857</v>
      </c>
      <c r="AM74" s="4">
        <f t="shared" ref="AM74:AN74" si="58">AM62/AVERAGE($D$67:$E$67)</f>
        <v>0.65059823498110503</v>
      </c>
      <c r="AN74" s="4">
        <f t="shared" si="58"/>
        <v>0.81290100001338483</v>
      </c>
      <c r="AO74" s="4">
        <f t="shared" ref="AO74:AP74" si="59">AO62/AVERAGE($F$67:$G$67)</f>
        <v>0.6807413933868981</v>
      </c>
      <c r="AP74" s="4">
        <f t="shared" si="59"/>
        <v>0.69283376894625237</v>
      </c>
      <c r="AQ74" s="144" t="s">
        <v>1995</v>
      </c>
      <c r="AR74" s="4">
        <f t="shared" ref="AR74:AS74" si="60">AR62/AVERAGE($B$67:$C$67)</f>
        <v>0.10527325528152993</v>
      </c>
      <c r="AS74" s="4">
        <f t="shared" si="60"/>
        <v>0.20057526194846925</v>
      </c>
      <c r="AT74" s="4">
        <f t="shared" ref="AT74:AU74" si="61">AT62/AVERAGE($D$67:$E$67)</f>
        <v>0.11253685304943589</v>
      </c>
      <c r="AU74" s="4">
        <f t="shared" si="61"/>
        <v>0.1446159239280608</v>
      </c>
      <c r="AV74" s="4">
        <f t="shared" ref="AV74:AW74" si="62">AV62/AVERAGE($F$67:$G$67)</f>
        <v>0.16156209716537648</v>
      </c>
      <c r="AW74" s="4">
        <f t="shared" si="62"/>
        <v>0.15502031174900635</v>
      </c>
    </row>
    <row r="75" spans="1:49">
      <c r="A75" s="143" t="s">
        <v>1996</v>
      </c>
      <c r="B75" s="4">
        <f t="shared" ref="B75:C75" si="63">B63/AVERAGE($B$67:$C$67)</f>
        <v>1.0452540413485105</v>
      </c>
      <c r="C75" s="4">
        <f t="shared" si="63"/>
        <v>1.035474650544979</v>
      </c>
      <c r="D75" s="4">
        <f t="shared" ref="D75:E75" si="64">D63/AVERAGE($D$67:$E$67)</f>
        <v>1.1857117734572877</v>
      </c>
      <c r="E75" s="4">
        <f t="shared" si="64"/>
        <v>1.1539795092109943</v>
      </c>
      <c r="F75" s="4">
        <f t="shared" ref="F75:G75" si="65">F63/AVERAGE($F$67:$G$67)</f>
        <v>1.0492615041349131</v>
      </c>
      <c r="G75" s="4">
        <f t="shared" si="65"/>
        <v>1.0629397921316854</v>
      </c>
      <c r="H75" s="143" t="s">
        <v>1996</v>
      </c>
      <c r="I75" s="4">
        <f t="shared" ref="I75:J75" si="66">I63/AVERAGE($B$67:$C$67)</f>
        <v>1.1110259106425893</v>
      </c>
      <c r="J75" s="4">
        <f t="shared" si="66"/>
        <v>1.0976030358560878</v>
      </c>
      <c r="K75" s="4">
        <f t="shared" ref="K75:L75" si="67">K63/AVERAGE($D$67:$E$67)</f>
        <v>1.2481359337302178</v>
      </c>
      <c r="L75" s="4">
        <f t="shared" si="67"/>
        <v>1.2354776725207957</v>
      </c>
      <c r="M75" s="4">
        <f t="shared" ref="M75:N75" si="68">M63/AVERAGE($F$67:$G$67)</f>
        <v>1.1323223387706658</v>
      </c>
      <c r="N75" s="4">
        <f t="shared" si="68"/>
        <v>1.1089305438706643</v>
      </c>
      <c r="O75" s="143" t="s">
        <v>1996</v>
      </c>
      <c r="P75" s="4">
        <f t="shared" ref="P75:Q75" si="69">P63/AVERAGE($B$67:$C$67)</f>
        <v>1.0573346400858243</v>
      </c>
      <c r="Q75" s="4">
        <f t="shared" si="69"/>
        <v>1.0828379993150201</v>
      </c>
      <c r="R75" s="4">
        <f t="shared" ref="R75:S75" si="70">R63/AVERAGE($D$67:$E$67)</f>
        <v>1.2340905493461503</v>
      </c>
      <c r="S75" s="4">
        <f t="shared" si="70"/>
        <v>1.2200450616073992</v>
      </c>
      <c r="T75" s="4">
        <f t="shared" ref="T75:U75" si="71">T63/AVERAGE($F$67:$G$67)</f>
        <v>1.0625433731011724</v>
      </c>
      <c r="U75" s="4">
        <f t="shared" si="71"/>
        <v>1.1047674941830232</v>
      </c>
      <c r="V75" s="143" t="s">
        <v>1996</v>
      </c>
      <c r="W75" s="4">
        <f t="shared" ref="W75:X75" si="72">W63/AVERAGE($B$67:$C$67)</f>
        <v>1.122531150249148</v>
      </c>
      <c r="X75" s="4">
        <f t="shared" si="72"/>
        <v>1.0972195773968711</v>
      </c>
      <c r="Y75" s="4">
        <f t="shared" ref="Y75:Z75" si="73">Y63/AVERAGE($D$67:$E$67)</f>
        <v>1.2453615840262433</v>
      </c>
      <c r="Z75" s="4">
        <f t="shared" si="73"/>
        <v>1.2585399259908123</v>
      </c>
      <c r="AA75" s="4">
        <f t="shared" ref="AA75:AB75" si="74">AA63/AVERAGE($F$67:$G$67)</f>
        <v>1.1123005191819115</v>
      </c>
      <c r="AB75" s="4">
        <f t="shared" si="74"/>
        <v>1.1000098750284575</v>
      </c>
      <c r="AC75" s="143" t="s">
        <v>1996</v>
      </c>
      <c r="AD75" s="4">
        <f t="shared" ref="AD75:AE75" si="75">AD63/AVERAGE($B$67:$C$67)</f>
        <v>1.1313518377573279</v>
      </c>
      <c r="AE75" s="4">
        <f t="shared" si="75"/>
        <v>1.1211888741999585</v>
      </c>
      <c r="AF75" s="4">
        <f t="shared" ref="AF75:AG75" si="76">AF63/AVERAGE($D$67:$E$67)</f>
        <v>1.2722385554198912</v>
      </c>
      <c r="AG75" s="4">
        <f t="shared" si="76"/>
        <v>1.2424137018127532</v>
      </c>
      <c r="AH75" s="4">
        <f t="shared" ref="AH75:AI75" si="77">AH63/AVERAGE($F$67:$G$67)</f>
        <v>1.124789313771777</v>
      </c>
      <c r="AI75" s="4">
        <f t="shared" si="77"/>
        <v>1.116463450711866</v>
      </c>
      <c r="AJ75" s="143" t="s">
        <v>1996</v>
      </c>
      <c r="AK75" s="4">
        <f t="shared" ref="AK75:AL75" si="78">AK63/AVERAGE($B$67:$C$67)</f>
        <v>1.0161074267255896</v>
      </c>
      <c r="AL75" s="4">
        <f t="shared" si="78"/>
        <v>1.0713327597084628</v>
      </c>
      <c r="AM75" s="4">
        <f t="shared" ref="AM75:AN75" si="79">AM63/AVERAGE($D$67:$E$67)</f>
        <v>1.2568059445064947</v>
      </c>
      <c r="AN75" s="4">
        <f t="shared" si="79"/>
        <v>1.2432807442322535</v>
      </c>
      <c r="AO75" s="4">
        <f t="shared" ref="AO75:AP75" si="80">AO63/AVERAGE($F$67:$G$67)</f>
        <v>0.98602433865150352</v>
      </c>
      <c r="AP75" s="4">
        <f t="shared" si="80"/>
        <v>1.1077410504637593</v>
      </c>
      <c r="AQ75" s="143" t="s">
        <v>1996</v>
      </c>
      <c r="AR75" s="4">
        <f t="shared" ref="AR75:AS75" si="81">AR63/AVERAGE($B$67:$C$67)</f>
        <v>0.98159159361129522</v>
      </c>
      <c r="AS75" s="4">
        <f t="shared" si="81"/>
        <v>0.95397892711985977</v>
      </c>
      <c r="AT75" s="4">
        <f t="shared" ref="AT75:AU75" si="82">AT63/AVERAGE($D$67:$E$67)</f>
        <v>7.5255766661510876E-2</v>
      </c>
      <c r="AU75" s="4">
        <f t="shared" si="82"/>
        <v>7.629616717950391E-2</v>
      </c>
      <c r="AV75" s="4">
        <f t="shared" ref="AV75:AW75" si="83">AV63/AVERAGE($F$67:$G$67)</f>
        <v>1.0236891091728864</v>
      </c>
      <c r="AW75" s="4">
        <f t="shared" si="83"/>
        <v>1.0165526213621958</v>
      </c>
    </row>
    <row r="76" spans="1:49">
      <c r="A76" s="144" t="s">
        <v>1997</v>
      </c>
      <c r="B76" s="4">
        <f t="shared" ref="B76:C76" si="84">B64/AVERAGE($B$67:$C$67)</f>
        <v>1.0235858381845839</v>
      </c>
      <c r="C76" s="4">
        <f t="shared" si="84"/>
        <v>1.0266538487421759</v>
      </c>
      <c r="D76" s="4">
        <f t="shared" ref="D76:E76" si="85">D64/AVERAGE($D$67:$E$67)</f>
        <v>1.1163516872470818</v>
      </c>
      <c r="E76" s="4">
        <f t="shared" si="85"/>
        <v>1.1343853220642963</v>
      </c>
      <c r="F76" s="4">
        <f t="shared" ref="F76:G76" si="86">F64/AVERAGE($F$67:$G$67)</f>
        <v>1.0464862164482767</v>
      </c>
      <c r="G76" s="4">
        <f t="shared" si="86"/>
        <v>1.0558033043209949</v>
      </c>
      <c r="H76" s="144" t="s">
        <v>1997</v>
      </c>
      <c r="I76" s="4">
        <f t="shared" ref="I76:J76" si="87">I64/AVERAGE($B$67:$C$67)</f>
        <v>0.97392139577538228</v>
      </c>
      <c r="J76" s="4">
        <f t="shared" si="87"/>
        <v>1.0502396870860464</v>
      </c>
      <c r="K76" s="4">
        <f t="shared" ref="K76:L76" si="88">K64/AVERAGE($D$67:$E$67)</f>
        <v>1.1808565839593219</v>
      </c>
      <c r="L76" s="4">
        <f t="shared" si="88"/>
        <v>1.2231662696210457</v>
      </c>
      <c r="M76" s="4">
        <f t="shared" ref="M76:N76" si="89">M64/AVERAGE($F$67:$G$67)</f>
        <v>0.97393196309214713</v>
      </c>
      <c r="N76" s="4">
        <f t="shared" si="89"/>
        <v>1.0334027342338004</v>
      </c>
      <c r="O76" s="144" t="s">
        <v>1997</v>
      </c>
      <c r="P76" s="4">
        <f t="shared" ref="P76:Q76" si="90">P64/AVERAGE($B$67:$C$67)</f>
        <v>1.0034515831521407</v>
      </c>
      <c r="Q76" s="4">
        <f t="shared" si="90"/>
        <v>1.0162990988078873</v>
      </c>
      <c r="R76" s="4">
        <f t="shared" ref="R76:S76" si="91">R64/AVERAGE($D$67:$E$67)</f>
        <v>1.1343853220642963</v>
      </c>
      <c r="S76" s="4">
        <f t="shared" si="91"/>
        <v>1.1650771147362533</v>
      </c>
      <c r="T76" s="4">
        <f t="shared" ref="T76:U76" si="92">T64/AVERAGE($F$67:$G$67)</f>
        <v>1.0437109287616406</v>
      </c>
      <c r="U76" s="4">
        <f t="shared" si="92"/>
        <v>1.0084250268963826</v>
      </c>
      <c r="V76" s="144" t="s">
        <v>1997</v>
      </c>
      <c r="W76" s="4">
        <f t="shared" ref="W76:X76" si="93">W64/AVERAGE($B$67:$C$67)</f>
        <v>0.99635663015236309</v>
      </c>
      <c r="X76" s="4">
        <f t="shared" si="93"/>
        <v>0.98619366659499341</v>
      </c>
      <c r="Y76" s="4">
        <f t="shared" ref="Y76:Z76" si="94">Y64/AVERAGE($D$67:$E$67)</f>
        <v>1.1392405115622624</v>
      </c>
      <c r="Z76" s="4">
        <f t="shared" si="94"/>
        <v>1.1364660585036066</v>
      </c>
      <c r="AA76" s="4">
        <f t="shared" ref="AA76:AB76" si="95">AA64/AVERAGE($F$67:$G$67)</f>
        <v>1.0486668165103041</v>
      </c>
      <c r="AB76" s="4">
        <f t="shared" si="95"/>
        <v>0.97373375357689251</v>
      </c>
      <c r="AC76" s="144" t="s">
        <v>1997</v>
      </c>
      <c r="AD76" s="4">
        <f t="shared" ref="AD76:AE76" si="96">AD64/AVERAGE($B$67:$C$67)</f>
        <v>0.95397892711985977</v>
      </c>
      <c r="AE76" s="4">
        <f t="shared" si="96"/>
        <v>0.95532120316904734</v>
      </c>
      <c r="AF76" s="4">
        <f t="shared" ref="AF76:AG76" si="97">AF64/AVERAGE($D$67:$E$67)</f>
        <v>1.0280908204454777</v>
      </c>
      <c r="AG76" s="4">
        <f t="shared" si="97"/>
        <v>1.0643315192347447</v>
      </c>
      <c r="AH76" s="4">
        <f t="shared" ref="AH76:AI76" si="98">AH64/AVERAGE($F$67:$G$67)</f>
        <v>1.0062444268343553</v>
      </c>
      <c r="AI76" s="4">
        <f t="shared" si="98"/>
        <v>0.97650904126352889</v>
      </c>
      <c r="AJ76" s="144" t="s">
        <v>1997</v>
      </c>
      <c r="AK76" s="4">
        <f t="shared" ref="AK76:AL76" si="99">AK64/AVERAGE($B$67:$C$67)</f>
        <v>0.88475553166166243</v>
      </c>
      <c r="AL76" s="4">
        <f t="shared" si="99"/>
        <v>0.82531164130161827</v>
      </c>
      <c r="AM76" s="4">
        <f t="shared" ref="AM76:AN76" si="100">AM64/AVERAGE($D$67:$E$67)</f>
        <v>0.94208422259270264</v>
      </c>
      <c r="AN76" s="4">
        <f t="shared" si="100"/>
        <v>0.95283507316296923</v>
      </c>
      <c r="AO76" s="4">
        <f t="shared" ref="AO76:AP76" si="101">AO64/AVERAGE($F$67:$G$67)</f>
        <v>0.96580430954749286</v>
      </c>
      <c r="AP76" s="4">
        <f t="shared" si="101"/>
        <v>0.92040836359080791</v>
      </c>
      <c r="AQ76" s="144" t="s">
        <v>1997</v>
      </c>
      <c r="AR76" s="4">
        <f t="shared" ref="AR76:AS76" si="102">AR64/AVERAGE($B$67:$C$67)</f>
        <v>0.48322149215819499</v>
      </c>
      <c r="AS76" s="4">
        <f t="shared" si="102"/>
        <v>0.55570468455090283</v>
      </c>
      <c r="AT76" s="4">
        <f t="shared" ref="AT76:AU76" si="103">AT64/AVERAGE($D$67:$E$67)</f>
        <v>0.61661175346332397</v>
      </c>
      <c r="AU76" s="4">
        <f t="shared" si="103"/>
        <v>0.74804924499147107</v>
      </c>
      <c r="AV76" s="4">
        <f t="shared" ref="AV76:AW76" si="104">AV64/AVERAGE($F$67:$G$67)</f>
        <v>0.52988404270726808</v>
      </c>
      <c r="AW76" s="4">
        <f t="shared" si="104"/>
        <v>0.55783524724657851</v>
      </c>
    </row>
  </sheetData>
  <mergeCells count="112">
    <mergeCell ref="AL1:AQ1"/>
    <mergeCell ref="B1:G1"/>
    <mergeCell ref="H1:M1"/>
    <mergeCell ref="N1:S1"/>
    <mergeCell ref="T1:Y1"/>
    <mergeCell ref="Z1:AE1"/>
    <mergeCell ref="AF1:AK1"/>
    <mergeCell ref="AF11:AK11"/>
    <mergeCell ref="AL11:AQ11"/>
    <mergeCell ref="B22:G22"/>
    <mergeCell ref="H22:M22"/>
    <mergeCell ref="N22:S22"/>
    <mergeCell ref="T22:Y22"/>
    <mergeCell ref="Z22:AE22"/>
    <mergeCell ref="AF22:AK22"/>
    <mergeCell ref="AL22:AQ22"/>
    <mergeCell ref="B11:G11"/>
    <mergeCell ref="H11:M11"/>
    <mergeCell ref="N11:S11"/>
    <mergeCell ref="T11:Y11"/>
    <mergeCell ref="Z11:AE11"/>
    <mergeCell ref="AF32:AK32"/>
    <mergeCell ref="AL32:AQ32"/>
    <mergeCell ref="B46:G46"/>
    <mergeCell ref="I46:N46"/>
    <mergeCell ref="P46:U46"/>
    <mergeCell ref="W46:AB46"/>
    <mergeCell ref="AD46:AI46"/>
    <mergeCell ref="AK46:AP46"/>
    <mergeCell ref="B32:G32"/>
    <mergeCell ref="H32:M32"/>
    <mergeCell ref="N32:S32"/>
    <mergeCell ref="T32:Y32"/>
    <mergeCell ref="Z32:AE32"/>
    <mergeCell ref="AR46:AW46"/>
    <mergeCell ref="B48:C48"/>
    <mergeCell ref="D48:E48"/>
    <mergeCell ref="F48:G48"/>
    <mergeCell ref="I48:J48"/>
    <mergeCell ref="K48:L48"/>
    <mergeCell ref="M48:N48"/>
    <mergeCell ref="P48:Q48"/>
    <mergeCell ref="R48:S48"/>
    <mergeCell ref="T48:U48"/>
    <mergeCell ref="W48:X48"/>
    <mergeCell ref="Y48:Z48"/>
    <mergeCell ref="AA48:AB48"/>
    <mergeCell ref="AD48:AE48"/>
    <mergeCell ref="AF48:AG48"/>
    <mergeCell ref="AH48:AI48"/>
    <mergeCell ref="F58:G58"/>
    <mergeCell ref="I58:J58"/>
    <mergeCell ref="K58:L58"/>
    <mergeCell ref="AV48:AW48"/>
    <mergeCell ref="B56:G56"/>
    <mergeCell ref="I56:N56"/>
    <mergeCell ref="P56:U56"/>
    <mergeCell ref="W56:AB56"/>
    <mergeCell ref="AD56:AI56"/>
    <mergeCell ref="AK56:AP56"/>
    <mergeCell ref="AR56:AW56"/>
    <mergeCell ref="AK48:AL48"/>
    <mergeCell ref="AM48:AN48"/>
    <mergeCell ref="AO48:AP48"/>
    <mergeCell ref="AR48:AS48"/>
    <mergeCell ref="AT48:AU48"/>
    <mergeCell ref="AV58:AW58"/>
    <mergeCell ref="B68:G68"/>
    <mergeCell ref="I68:N68"/>
    <mergeCell ref="P68:U68"/>
    <mergeCell ref="W68:AB68"/>
    <mergeCell ref="AD68:AI68"/>
    <mergeCell ref="AK68:AP68"/>
    <mergeCell ref="AR68:AW68"/>
    <mergeCell ref="AK58:AL58"/>
    <mergeCell ref="AM58:AN58"/>
    <mergeCell ref="AO58:AP58"/>
    <mergeCell ref="AR58:AS58"/>
    <mergeCell ref="AT58:AU58"/>
    <mergeCell ref="Y58:Z58"/>
    <mergeCell ref="AA58:AB58"/>
    <mergeCell ref="AD58:AE58"/>
    <mergeCell ref="AF58:AG58"/>
    <mergeCell ref="AH58:AI58"/>
    <mergeCell ref="M58:N58"/>
    <mergeCell ref="P58:Q58"/>
    <mergeCell ref="R58:S58"/>
    <mergeCell ref="T58:U58"/>
    <mergeCell ref="W58:X58"/>
    <mergeCell ref="B58:C58"/>
    <mergeCell ref="D58:E58"/>
    <mergeCell ref="M70:N70"/>
    <mergeCell ref="P70:Q70"/>
    <mergeCell ref="R70:S70"/>
    <mergeCell ref="T70:U70"/>
    <mergeCell ref="W70:X70"/>
    <mergeCell ref="B70:C70"/>
    <mergeCell ref="D70:E70"/>
    <mergeCell ref="F70:G70"/>
    <mergeCell ref="I70:J70"/>
    <mergeCell ref="K70:L70"/>
    <mergeCell ref="AV70:AW70"/>
    <mergeCell ref="AK70:AL70"/>
    <mergeCell ref="AM70:AN70"/>
    <mergeCell ref="AO70:AP70"/>
    <mergeCell ref="AR70:AS70"/>
    <mergeCell ref="AT70:AU70"/>
    <mergeCell ref="Y70:Z70"/>
    <mergeCell ref="AA70:AB70"/>
    <mergeCell ref="AD70:AE70"/>
    <mergeCell ref="AF70:AG70"/>
    <mergeCell ref="AH70:AI70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364F-8848-46DC-B09E-8FB3F039112F}">
  <dimension ref="A1:V37"/>
  <sheetViews>
    <sheetView workbookViewId="0">
      <selection activeCell="M17" sqref="M17"/>
    </sheetView>
  </sheetViews>
  <sheetFormatPr defaultRowHeight="14.25"/>
  <cols>
    <col min="1" max="1" width="26" style="4" customWidth="1"/>
    <col min="2" max="2" width="9" style="4"/>
    <col min="3" max="3" width="17.625" style="4" customWidth="1"/>
    <col min="4" max="4" width="9" style="4"/>
    <col min="5" max="5" width="9.75" style="4" customWidth="1"/>
    <col min="6" max="8" width="9" style="4"/>
    <col min="9" max="9" width="10.875" style="4" customWidth="1"/>
    <col min="10" max="10" width="11.875" style="4" customWidth="1"/>
    <col min="11" max="14" width="9" style="4"/>
    <col min="15" max="15" width="15.75" style="4" customWidth="1"/>
    <col min="16" max="16" width="10.625" style="4" customWidth="1"/>
    <col min="17" max="17" width="11.5" style="4" customWidth="1"/>
    <col min="18" max="18" width="12.875" style="4" customWidth="1"/>
    <col min="19" max="19" width="12" style="4" customWidth="1"/>
    <col min="20" max="20" width="12.75" style="4" customWidth="1"/>
    <col min="21" max="16384" width="9" style="4"/>
  </cols>
  <sheetData>
    <row r="1" spans="1:22" ht="15.75">
      <c r="A1" s="4" t="s">
        <v>1673</v>
      </c>
      <c r="B1" s="2" t="s">
        <v>1668</v>
      </c>
      <c r="C1" s="2" t="s">
        <v>1675</v>
      </c>
      <c r="D1" s="131"/>
      <c r="E1" s="131">
        <v>20230823</v>
      </c>
      <c r="F1" s="131"/>
      <c r="H1" s="218" t="s">
        <v>1668</v>
      </c>
      <c r="I1" s="218"/>
      <c r="J1" s="218"/>
    </row>
    <row r="2" spans="1:22">
      <c r="B2" s="131"/>
      <c r="C2" s="131" t="s">
        <v>1669</v>
      </c>
      <c r="D2" s="257">
        <v>0.6214511040377072</v>
      </c>
      <c r="E2" s="257"/>
      <c r="F2" s="257"/>
      <c r="G2" s="3" t="s">
        <v>1669</v>
      </c>
      <c r="H2" s="235" t="s">
        <v>1670</v>
      </c>
      <c r="I2" s="235"/>
      <c r="J2" s="235"/>
      <c r="L2" s="2"/>
      <c r="O2" s="2"/>
      <c r="P2" s="2"/>
      <c r="Q2" s="2"/>
      <c r="R2" s="2"/>
      <c r="S2" s="2"/>
      <c r="T2" s="2"/>
      <c r="U2" s="2"/>
      <c r="V2" s="2"/>
    </row>
    <row r="3" spans="1:22">
      <c r="B3" s="131"/>
      <c r="C3" s="131">
        <v>0</v>
      </c>
      <c r="D3" s="131">
        <v>1.5902106439818653</v>
      </c>
      <c r="E3" s="131">
        <v>1.5596825072189191</v>
      </c>
      <c r="F3" s="131">
        <v>1.5291543704559729</v>
      </c>
      <c r="G3" s="2">
        <v>0</v>
      </c>
      <c r="H3" s="2">
        <v>4.0734649999999997</v>
      </c>
      <c r="I3" s="2">
        <v>4.1099870000000003</v>
      </c>
      <c r="J3" s="2">
        <v>4.3740690000000004</v>
      </c>
      <c r="L3" s="2"/>
      <c r="N3" s="2"/>
      <c r="O3" s="2"/>
      <c r="P3" s="2"/>
      <c r="Q3" s="2"/>
      <c r="R3" s="2"/>
      <c r="S3" s="2"/>
      <c r="T3" s="2"/>
      <c r="U3" s="2"/>
      <c r="V3" s="2"/>
    </row>
    <row r="4" spans="1:22">
      <c r="B4" s="131"/>
      <c r="C4" s="131">
        <v>0.01</v>
      </c>
      <c r="D4" s="131">
        <v>1.5657881345715083</v>
      </c>
      <c r="E4" s="131">
        <v>1.5505240661900352</v>
      </c>
      <c r="F4" s="131">
        <v>1.4986262336930267</v>
      </c>
      <c r="G4" s="2">
        <v>0.01</v>
      </c>
      <c r="H4" s="2">
        <v>4.4162100000000004</v>
      </c>
      <c r="I4" s="2">
        <v>4.2925969999999998</v>
      </c>
      <c r="J4" s="2">
        <v>4.4021629999999998</v>
      </c>
      <c r="L4" s="2"/>
      <c r="N4" s="2"/>
      <c r="S4" s="2"/>
      <c r="T4" s="2"/>
      <c r="U4" s="2"/>
      <c r="V4" s="2"/>
    </row>
    <row r="5" spans="1:22">
      <c r="B5" s="131"/>
      <c r="C5" s="131">
        <v>0.1</v>
      </c>
      <c r="D5" s="131">
        <v>1.6054747123633384</v>
      </c>
      <c r="E5" s="131">
        <v>1.6421084764788736</v>
      </c>
      <c r="F5" s="131">
        <v>1.5535768798663299</v>
      </c>
      <c r="G5" s="2">
        <v>0.1</v>
      </c>
      <c r="H5" s="2">
        <v>4.2673129999999997</v>
      </c>
      <c r="I5" s="2">
        <v>4.2673129999999997</v>
      </c>
      <c r="J5" s="2">
        <v>4.4162100000000004</v>
      </c>
      <c r="L5" s="2"/>
      <c r="N5" s="2"/>
      <c r="O5" s="2"/>
      <c r="P5" s="2"/>
      <c r="Q5" s="2"/>
      <c r="R5" s="2"/>
      <c r="S5" s="2"/>
      <c r="T5" s="2"/>
      <c r="U5" s="2"/>
      <c r="V5" s="2"/>
    </row>
    <row r="6" spans="1:22">
      <c r="B6" s="131"/>
      <c r="C6" s="131">
        <v>1</v>
      </c>
      <c r="D6" s="131">
        <v>1.9260201483742729</v>
      </c>
      <c r="E6" s="131">
        <v>1.9199145210216837</v>
      </c>
      <c r="F6" s="131">
        <v>1.7550625825017745</v>
      </c>
      <c r="G6" s="2">
        <v>1</v>
      </c>
      <c r="H6" s="2">
        <v>4.3881160000000001</v>
      </c>
      <c r="I6" s="2">
        <v>4.6690550000000002</v>
      </c>
      <c r="J6" s="2">
        <v>4.4414949999999997</v>
      </c>
      <c r="L6" s="2"/>
      <c r="N6" s="2"/>
      <c r="S6" s="2"/>
      <c r="T6" s="2"/>
      <c r="U6" s="2"/>
      <c r="V6" s="2"/>
    </row>
    <row r="7" spans="1:22">
      <c r="B7" s="131"/>
      <c r="C7" s="131">
        <v>5</v>
      </c>
      <c r="D7" s="131">
        <v>1.8008547876461938</v>
      </c>
      <c r="E7" s="131">
        <v>1.7001119363284714</v>
      </c>
      <c r="F7" s="131">
        <v>1.6909534952995875</v>
      </c>
      <c r="G7" s="2">
        <v>5</v>
      </c>
      <c r="H7" s="2">
        <v>4.7280519999999999</v>
      </c>
      <c r="I7" s="2">
        <v>4.7420989999999996</v>
      </c>
      <c r="J7" s="2">
        <v>4.7701919999999998</v>
      </c>
      <c r="L7" s="2"/>
      <c r="N7" s="2"/>
      <c r="O7" s="2"/>
      <c r="P7" s="2"/>
      <c r="Q7" s="2"/>
      <c r="R7" s="2"/>
      <c r="S7" s="2"/>
      <c r="T7" s="2"/>
      <c r="U7" s="2"/>
      <c r="V7" s="2"/>
    </row>
    <row r="8" spans="1:22">
      <c r="B8" s="131"/>
      <c r="C8" s="131">
        <v>10</v>
      </c>
      <c r="D8" s="131">
        <v>2.0267629996919951</v>
      </c>
      <c r="E8" s="131">
        <v>1.9901292355764599</v>
      </c>
      <c r="F8" s="131">
        <v>1.9626539124898084</v>
      </c>
      <c r="G8" s="2">
        <v>10</v>
      </c>
      <c r="H8" s="2">
        <v>5.1382219999999998</v>
      </c>
      <c r="I8" s="2">
        <v>5.5680569999999996</v>
      </c>
      <c r="J8" s="2">
        <v>5.4163509999999997</v>
      </c>
      <c r="L8" s="2"/>
      <c r="N8" s="2"/>
      <c r="O8" s="2"/>
      <c r="P8" s="2"/>
      <c r="Q8" s="2"/>
      <c r="R8" s="2"/>
      <c r="S8" s="2"/>
      <c r="T8" s="2"/>
      <c r="U8" s="2"/>
      <c r="V8" s="2"/>
    </row>
    <row r="9" spans="1:22">
      <c r="B9" s="131"/>
      <c r="C9" s="131">
        <v>50</v>
      </c>
      <c r="D9" s="131">
        <v>3.4127404087297513</v>
      </c>
      <c r="E9" s="131">
        <v>3.4554798001978755</v>
      </c>
      <c r="F9" s="131">
        <v>3.4982191916660001</v>
      </c>
      <c r="G9" s="2">
        <v>50</v>
      </c>
      <c r="H9" s="2">
        <v>8.0852649999999997</v>
      </c>
      <c r="I9" s="2">
        <v>8.1611180000000001</v>
      </c>
      <c r="J9" s="2">
        <v>8.2116869999999995</v>
      </c>
      <c r="L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B10" s="131"/>
      <c r="C10" s="131">
        <v>100</v>
      </c>
      <c r="D10" s="131">
        <v>4.7773481220334446</v>
      </c>
      <c r="E10" s="131">
        <v>4.8658797186459886</v>
      </c>
      <c r="F10" s="131">
        <v>4.8200875135015693</v>
      </c>
      <c r="G10" s="2">
        <v>100</v>
      </c>
      <c r="H10" s="2">
        <v>10.69237</v>
      </c>
      <c r="I10" s="2">
        <v>11.231769999999999</v>
      </c>
      <c r="J10" s="2">
        <v>11.16154</v>
      </c>
      <c r="L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N11" s="2"/>
      <c r="O11" s="2"/>
      <c r="P11" s="2"/>
      <c r="Q11" s="2"/>
      <c r="R11" s="2"/>
    </row>
    <row r="12" spans="1:22" ht="15.75">
      <c r="B12" s="2" t="s">
        <v>1668</v>
      </c>
      <c r="C12" s="2" t="s">
        <v>1675</v>
      </c>
      <c r="N12" s="2"/>
      <c r="O12" s="2"/>
      <c r="P12" s="2"/>
      <c r="Q12" s="2"/>
      <c r="R12" s="2"/>
    </row>
    <row r="13" spans="1:22">
      <c r="C13" s="4" t="s">
        <v>1671</v>
      </c>
      <c r="D13" s="4">
        <v>0.57818346757410166</v>
      </c>
      <c r="G13" s="4" t="s">
        <v>1671</v>
      </c>
      <c r="H13" s="4">
        <v>1.7721963943587049</v>
      </c>
      <c r="L13" s="2"/>
    </row>
    <row r="14" spans="1:22">
      <c r="C14" s="4">
        <v>0</v>
      </c>
      <c r="D14" s="4">
        <v>1.5941716749805637</v>
      </c>
      <c r="E14" s="4">
        <v>1.6451978684328972</v>
      </c>
      <c r="G14" s="4">
        <v>0</v>
      </c>
      <c r="H14" s="4">
        <v>6.9281097638644891</v>
      </c>
      <c r="I14" s="4">
        <v>7.3227123265625345</v>
      </c>
      <c r="L14" s="2"/>
    </row>
    <row r="15" spans="1:22">
      <c r="C15" s="4">
        <v>10</v>
      </c>
      <c r="D15" s="4">
        <v>1.7438485091074085</v>
      </c>
      <c r="E15" s="4">
        <v>1.7166345392661639</v>
      </c>
      <c r="G15" s="4">
        <v>10</v>
      </c>
      <c r="H15" s="4">
        <v>7.1015988216024226</v>
      </c>
      <c r="I15" s="4">
        <v>7.2546774019594231</v>
      </c>
      <c r="L15" s="2"/>
    </row>
    <row r="16" spans="1:22">
      <c r="C16" s="4">
        <v>100</v>
      </c>
      <c r="D16" s="4">
        <v>2.0568091622817204</v>
      </c>
      <c r="E16" s="4">
        <v>1.9751672527579869</v>
      </c>
      <c r="G16" s="4">
        <v>100</v>
      </c>
      <c r="H16" s="4">
        <v>7.434969952157668</v>
      </c>
      <c r="I16" s="4">
        <v>7.9316249017603804</v>
      </c>
      <c r="L16" s="2"/>
    </row>
    <row r="17" spans="1:22">
      <c r="C17" s="4">
        <v>500</v>
      </c>
      <c r="D17" s="4">
        <v>2.8358090489873446</v>
      </c>
      <c r="E17" s="4">
        <v>2.7303549158525224</v>
      </c>
      <c r="G17" s="4">
        <v>500</v>
      </c>
      <c r="H17" s="4">
        <v>8.2547907936251583</v>
      </c>
      <c r="I17" s="4">
        <v>8.513323507116981</v>
      </c>
      <c r="L17" s="2"/>
    </row>
    <row r="18" spans="1:22">
      <c r="C18" s="4">
        <v>1000</v>
      </c>
      <c r="D18" s="4">
        <v>3.4821408327169019</v>
      </c>
      <c r="E18" s="4">
        <v>3.6046036970025019</v>
      </c>
      <c r="G18" s="4">
        <v>1000</v>
      </c>
      <c r="H18" s="4">
        <v>9.5100351525525628</v>
      </c>
      <c r="I18" s="4">
        <v>9.7447556424332955</v>
      </c>
      <c r="L18" s="2"/>
    </row>
    <row r="19" spans="1:22">
      <c r="C19" s="4">
        <v>5000</v>
      </c>
      <c r="D19" s="4">
        <v>5.4279396763658845</v>
      </c>
      <c r="E19" s="4">
        <v>5.3803152291437071</v>
      </c>
      <c r="G19" s="4">
        <v>5000</v>
      </c>
      <c r="H19" s="4">
        <v>13.003628530922327</v>
      </c>
      <c r="I19" s="4">
        <v>14.126204786873663</v>
      </c>
      <c r="L19" s="2"/>
    </row>
    <row r="20" spans="1:22">
      <c r="C20" s="4">
        <v>10000</v>
      </c>
      <c r="D20" s="4">
        <v>6.9485202412454221</v>
      </c>
      <c r="E20" s="4">
        <v>7.1220092989833557</v>
      </c>
      <c r="G20" s="4">
        <v>10000</v>
      </c>
      <c r="H20" s="4">
        <v>15.531125979927912</v>
      </c>
      <c r="I20" s="4">
        <v>17.024492574966203</v>
      </c>
      <c r="L20" s="2"/>
    </row>
    <row r="21" spans="1:22">
      <c r="C21" s="4">
        <v>100000</v>
      </c>
      <c r="D21" s="4">
        <v>9.3637600646558727</v>
      </c>
      <c r="E21" s="4">
        <v>9.4794194364811624</v>
      </c>
      <c r="G21" s="4">
        <v>100000</v>
      </c>
      <c r="H21" s="4">
        <v>17.024492574966203</v>
      </c>
      <c r="I21" s="4">
        <v>18.436217260480763</v>
      </c>
      <c r="L21" s="2"/>
    </row>
    <row r="22" spans="1:22">
      <c r="O22" s="2"/>
      <c r="P22" s="2"/>
      <c r="Q22" s="2"/>
      <c r="R22" s="2"/>
      <c r="S22" s="235"/>
      <c r="T22" s="235"/>
      <c r="U22" s="235"/>
      <c r="V22" s="235"/>
    </row>
    <row r="23" spans="1:22" ht="18.75">
      <c r="A23" s="4" t="s">
        <v>1674</v>
      </c>
      <c r="B23" s="4" t="s">
        <v>3411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5.75">
      <c r="C24" s="3" t="s">
        <v>729</v>
      </c>
      <c r="D24" s="235" t="s">
        <v>1676</v>
      </c>
      <c r="E24" s="235"/>
      <c r="F24" s="3" t="s">
        <v>1672</v>
      </c>
      <c r="G24" s="235" t="s">
        <v>1677</v>
      </c>
      <c r="H24" s="235"/>
      <c r="I24" s="3" t="s">
        <v>729</v>
      </c>
      <c r="J24" s="235" t="s">
        <v>1678</v>
      </c>
      <c r="K24" s="235"/>
      <c r="L24" s="2"/>
      <c r="S24" s="2"/>
      <c r="T24" s="2"/>
      <c r="U24" s="2"/>
      <c r="V24" s="2"/>
    </row>
    <row r="25" spans="1:22" ht="15">
      <c r="C25" s="2">
        <v>0.1</v>
      </c>
      <c r="D25" s="2">
        <v>2.5730629999999999</v>
      </c>
      <c r="E25" s="2">
        <v>2.3468369999999998</v>
      </c>
      <c r="F25" s="2">
        <v>0</v>
      </c>
      <c r="G25" s="2">
        <v>0.50557399999999997</v>
      </c>
      <c r="H25" s="2">
        <v>0.46679599999999999</v>
      </c>
      <c r="I25" s="2">
        <v>0.1</v>
      </c>
      <c r="J25" s="113">
        <v>4.3860999999999997E-2</v>
      </c>
      <c r="K25" s="113">
        <v>3.6985999999999998E-2</v>
      </c>
      <c r="L25" s="2"/>
      <c r="S25" s="2"/>
      <c r="T25" s="2"/>
      <c r="U25" s="2"/>
      <c r="V25" s="2"/>
    </row>
    <row r="26" spans="1:22" ht="15">
      <c r="C26" s="2">
        <v>1</v>
      </c>
      <c r="D26" s="2">
        <v>2.7493089999999998</v>
      </c>
      <c r="E26" s="2">
        <v>2.4941469999999999</v>
      </c>
      <c r="F26" s="2">
        <v>1</v>
      </c>
      <c r="G26" s="2">
        <v>0.46033299999999999</v>
      </c>
      <c r="H26" s="2">
        <v>0.46033299999999999</v>
      </c>
      <c r="I26" s="2">
        <v>1</v>
      </c>
      <c r="J26" s="113">
        <v>3.2861000000000001E-2</v>
      </c>
      <c r="K26" s="113">
        <v>3.8911000000000001E-2</v>
      </c>
      <c r="L26" s="2"/>
      <c r="S26" s="2"/>
      <c r="T26" s="2"/>
      <c r="U26" s="2"/>
      <c r="V26" s="2"/>
    </row>
    <row r="27" spans="1:22" ht="15">
      <c r="C27" s="2">
        <v>5</v>
      </c>
      <c r="D27" s="2">
        <v>3.28857</v>
      </c>
      <c r="E27" s="2">
        <v>3.4464030000000001</v>
      </c>
      <c r="F27" s="2">
        <v>5</v>
      </c>
      <c r="G27" s="2">
        <v>0.47325899999999999</v>
      </c>
      <c r="H27" s="2">
        <v>0.47002699999999997</v>
      </c>
      <c r="I27" s="2">
        <v>5</v>
      </c>
      <c r="J27" s="113">
        <v>3.6436000000000003E-2</v>
      </c>
      <c r="K27" s="113">
        <v>3.5610999999999997E-2</v>
      </c>
      <c r="L27" s="2"/>
      <c r="S27" s="2"/>
      <c r="T27" s="2"/>
      <c r="U27" s="2"/>
      <c r="V27" s="2"/>
    </row>
    <row r="28" spans="1:22" ht="15">
      <c r="C28" s="2">
        <v>10</v>
      </c>
      <c r="D28" s="2">
        <v>5.4955939999999996</v>
      </c>
      <c r="E28" s="2">
        <v>5.6665789999999996</v>
      </c>
      <c r="F28" s="2">
        <v>10</v>
      </c>
      <c r="G28" s="2">
        <v>0.55404799999999998</v>
      </c>
      <c r="H28" s="2">
        <v>0.66715100000000005</v>
      </c>
      <c r="I28" s="2">
        <v>10</v>
      </c>
      <c r="J28" s="113">
        <v>4.5511000000000003E-2</v>
      </c>
      <c r="K28" s="113">
        <v>4.3860999999999997E-2</v>
      </c>
      <c r="L28" s="2"/>
      <c r="S28" s="2"/>
      <c r="T28" s="2"/>
      <c r="U28" s="2"/>
      <c r="V28" s="2"/>
    </row>
    <row r="29" spans="1:22" ht="15">
      <c r="C29" s="2">
        <v>20</v>
      </c>
      <c r="D29" s="2">
        <v>7.9840850000000003</v>
      </c>
      <c r="E29" s="2">
        <v>8.2076809999999991</v>
      </c>
      <c r="F29" s="2">
        <v>20</v>
      </c>
      <c r="G29" s="2">
        <v>1.0678620000000001</v>
      </c>
      <c r="H29" s="2">
        <v>1.484731</v>
      </c>
      <c r="I29" s="2">
        <v>20</v>
      </c>
      <c r="J29" s="113">
        <v>4.4685999999999997E-2</v>
      </c>
      <c r="K29" s="113">
        <v>4.8260999999999998E-2</v>
      </c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">
      <c r="C30" s="2">
        <v>50</v>
      </c>
      <c r="D30" s="2">
        <v>14.09483</v>
      </c>
      <c r="E30" s="2">
        <v>14.4026</v>
      </c>
      <c r="F30" s="2">
        <v>50</v>
      </c>
      <c r="G30" s="2">
        <v>3.6595569999999999</v>
      </c>
      <c r="H30" s="2">
        <v>4.2250769999999997</v>
      </c>
      <c r="I30" s="2">
        <v>50</v>
      </c>
      <c r="J30" s="113">
        <v>8.7308999999999998E-2</v>
      </c>
      <c r="K30" s="113">
        <v>9.1983999999999996E-2</v>
      </c>
      <c r="L30" s="2"/>
      <c r="N30" s="2"/>
      <c r="O30" s="2"/>
      <c r="P30" s="2"/>
      <c r="Q30" s="2"/>
      <c r="R30" s="2"/>
    </row>
    <row r="31" spans="1:22" ht="15">
      <c r="C31" s="2">
        <v>100</v>
      </c>
      <c r="D31" s="2">
        <v>19.148099999999999</v>
      </c>
      <c r="E31" s="2">
        <v>19.38485</v>
      </c>
      <c r="F31" s="2">
        <v>100</v>
      </c>
      <c r="G31" s="2">
        <v>6.3805139999999998</v>
      </c>
      <c r="H31" s="2">
        <v>6.5420910000000001</v>
      </c>
      <c r="I31" s="2">
        <v>100</v>
      </c>
      <c r="J31" s="113">
        <v>0.27265200000000001</v>
      </c>
      <c r="K31" s="113">
        <v>0.294651</v>
      </c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B32" s="2"/>
      <c r="C32" s="2"/>
      <c r="D32" s="2"/>
      <c r="E32" s="2"/>
      <c r="F32" s="2"/>
      <c r="H32" s="2"/>
      <c r="I32" s="2"/>
      <c r="J32" s="2"/>
      <c r="K32" s="2"/>
      <c r="L32" s="2"/>
      <c r="N32" s="2"/>
      <c r="O32" s="2"/>
      <c r="P32" s="2"/>
      <c r="Q32" s="2"/>
      <c r="R32" s="2"/>
    </row>
    <row r="33" spans="14:18">
      <c r="N33" s="2"/>
      <c r="O33" s="2"/>
      <c r="P33" s="2"/>
      <c r="Q33" s="2"/>
      <c r="R33" s="2"/>
    </row>
    <row r="34" spans="14:18">
      <c r="N34" s="2"/>
      <c r="O34" s="2"/>
      <c r="P34" s="2"/>
    </row>
    <row r="35" spans="14:18">
      <c r="N35" s="2"/>
    </row>
    <row r="36" spans="14:18">
      <c r="N36" s="2"/>
    </row>
    <row r="37" spans="14:18">
      <c r="N37" s="2"/>
      <c r="O37" s="2"/>
      <c r="P37" s="2"/>
    </row>
  </sheetData>
  <mergeCells count="8">
    <mergeCell ref="D24:E24"/>
    <mergeCell ref="J24:K24"/>
    <mergeCell ref="G24:H24"/>
    <mergeCell ref="S22:T22"/>
    <mergeCell ref="U22:V22"/>
    <mergeCell ref="D2:F2"/>
    <mergeCell ref="H2:J2"/>
    <mergeCell ref="H1:J1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694C-EE41-486C-97D6-3388827BF8E6}">
  <dimension ref="A2:BB482"/>
  <sheetViews>
    <sheetView topLeftCell="AD1" zoomScale="110" zoomScaleNormal="110" workbookViewId="0">
      <selection activeCell="AO36" sqref="AO36"/>
    </sheetView>
  </sheetViews>
  <sheetFormatPr defaultRowHeight="14.25"/>
  <cols>
    <col min="12" max="12" width="13.875" customWidth="1"/>
    <col min="23" max="23" width="15.125" customWidth="1"/>
    <col min="28" max="28" width="18.125" customWidth="1"/>
    <col min="29" max="29" width="19.25" customWidth="1"/>
    <col min="32" max="32" width="13.25" customWidth="1"/>
    <col min="33" max="33" width="9.125" bestFit="1" customWidth="1"/>
    <col min="35" max="35" width="11.625" customWidth="1"/>
    <col min="36" max="36" width="15.875" customWidth="1"/>
    <col min="37" max="37" width="9.125" bestFit="1" customWidth="1"/>
    <col min="38" max="38" width="19" customWidth="1"/>
    <col min="39" max="39" width="10.25" bestFit="1" customWidth="1"/>
    <col min="40" max="40" width="9.625" bestFit="1" customWidth="1"/>
    <col min="41" max="41" width="12.875" customWidth="1"/>
    <col min="42" max="42" width="17" customWidth="1"/>
    <col min="43" max="43" width="14.5" customWidth="1"/>
    <col min="44" max="44" width="12.375" customWidth="1"/>
    <col min="46" max="46" width="18.25" customWidth="1"/>
    <col min="47" max="47" width="9.375" bestFit="1" customWidth="1"/>
    <col min="48" max="48" width="12.125" bestFit="1" customWidth="1"/>
  </cols>
  <sheetData>
    <row r="2" spans="1:54">
      <c r="B2" s="49"/>
      <c r="G2" s="48"/>
      <c r="H2" s="48"/>
      <c r="I2" s="48"/>
      <c r="J2" s="48"/>
      <c r="K2" s="48"/>
      <c r="AC2" s="218" t="s">
        <v>1435</v>
      </c>
      <c r="AD2" s="218"/>
      <c r="AE2" s="218"/>
      <c r="AF2" s="218"/>
      <c r="AG2" s="218"/>
      <c r="AH2" s="218"/>
      <c r="AI2" s="218"/>
      <c r="AJ2" s="218"/>
      <c r="AK2" s="218"/>
      <c r="AL2" s="218"/>
      <c r="AM2" s="218"/>
    </row>
    <row r="3" spans="1:54" ht="30">
      <c r="C3" s="224" t="s">
        <v>785</v>
      </c>
      <c r="D3" s="224"/>
      <c r="E3" s="224"/>
      <c r="F3" s="224"/>
      <c r="G3" s="224"/>
      <c r="H3" s="224"/>
      <c r="I3" s="224"/>
      <c r="J3" s="224"/>
      <c r="K3" s="224"/>
      <c r="AB3" s="4" t="s">
        <v>1694</v>
      </c>
      <c r="AC3" s="107" t="s">
        <v>1341</v>
      </c>
      <c r="AD3" s="111" t="s">
        <v>252</v>
      </c>
      <c r="AE3" s="111" t="s">
        <v>1277</v>
      </c>
      <c r="AF3" s="111" t="s">
        <v>1342</v>
      </c>
      <c r="AG3" s="111" t="s">
        <v>1343</v>
      </c>
      <c r="AH3" s="111" t="s">
        <v>1344</v>
      </c>
      <c r="AI3" s="111" t="s">
        <v>1345</v>
      </c>
      <c r="AJ3" s="111" t="s">
        <v>1346</v>
      </c>
      <c r="AK3" s="111" t="s">
        <v>1347</v>
      </c>
      <c r="AL3" s="111" t="s">
        <v>1348</v>
      </c>
      <c r="AM3" s="111" t="s">
        <v>1330</v>
      </c>
      <c r="AP3" s="4" t="s">
        <v>1695</v>
      </c>
      <c r="AQ3" s="4"/>
      <c r="AR3" s="4"/>
      <c r="AT3" s="4" t="s">
        <v>1696</v>
      </c>
      <c r="AU3" s="4"/>
      <c r="AV3" s="4"/>
    </row>
    <row r="4" spans="1:54">
      <c r="A4" s="50" t="s">
        <v>786</v>
      </c>
      <c r="B4" s="51"/>
      <c r="C4" s="48">
        <v>1.4566296728971966E-2</v>
      </c>
      <c r="D4" s="48">
        <v>1.3647739715313627E-2</v>
      </c>
      <c r="E4" s="48">
        <v>1.4850434905593665E-2</v>
      </c>
      <c r="F4" s="48">
        <v>0.50441357354750016</v>
      </c>
      <c r="G4" s="48">
        <v>0.47348653874758295</v>
      </c>
      <c r="H4" s="48">
        <v>0.46238017154389505</v>
      </c>
      <c r="I4" s="48">
        <v>3.4532262710643815</v>
      </c>
      <c r="J4" s="48">
        <v>3.1536521318499067</v>
      </c>
      <c r="K4" s="48">
        <v>3.3410637184351692</v>
      </c>
      <c r="AC4" s="108" t="s">
        <v>1349</v>
      </c>
      <c r="AD4" s="108" t="s">
        <v>1266</v>
      </c>
      <c r="AE4" s="108" t="s">
        <v>211</v>
      </c>
      <c r="AF4" s="110">
        <v>100</v>
      </c>
      <c r="AG4" s="108">
        <v>18</v>
      </c>
      <c r="AH4" s="110">
        <v>0.61820877639622507</v>
      </c>
      <c r="AI4" s="110">
        <v>0.7536746072124112</v>
      </c>
      <c r="AJ4" s="109">
        <v>42.908470866927523</v>
      </c>
      <c r="AK4" s="109">
        <v>3.6269848394999999</v>
      </c>
      <c r="AL4" s="109">
        <v>6.0265772719999999</v>
      </c>
      <c r="AM4" s="109">
        <v>5.3650682999999998E-2</v>
      </c>
      <c r="AP4" s="4" t="s">
        <v>1447</v>
      </c>
      <c r="AQ4" s="4" t="s">
        <v>1448</v>
      </c>
      <c r="AR4" s="4" t="s">
        <v>1449</v>
      </c>
      <c r="AT4" s="4" t="s">
        <v>1450</v>
      </c>
      <c r="AU4" s="4" t="s">
        <v>1451</v>
      </c>
      <c r="AV4" s="4" t="s">
        <v>1452</v>
      </c>
    </row>
    <row r="5" spans="1:54" ht="18.75">
      <c r="A5" s="52" t="s">
        <v>787</v>
      </c>
      <c r="B5" s="53"/>
      <c r="C5" s="226">
        <v>0</v>
      </c>
      <c r="D5" s="226"/>
      <c r="E5" s="226"/>
      <c r="F5" s="226">
        <v>20</v>
      </c>
      <c r="G5" s="226"/>
      <c r="H5" s="226"/>
      <c r="I5" s="226">
        <v>500</v>
      </c>
      <c r="J5" s="226"/>
      <c r="K5" s="226"/>
      <c r="T5" t="s">
        <v>1103</v>
      </c>
      <c r="U5" s="67"/>
      <c r="AC5" s="108" t="s">
        <v>1350</v>
      </c>
      <c r="AD5" s="108" t="s">
        <v>236</v>
      </c>
      <c r="AE5" s="108" t="s">
        <v>205</v>
      </c>
      <c r="AF5" s="110">
        <v>10</v>
      </c>
      <c r="AG5" s="108">
        <v>18</v>
      </c>
      <c r="AH5" s="110">
        <v>0.97875106926219646</v>
      </c>
      <c r="AI5" s="110">
        <v>0.88048289863315521</v>
      </c>
      <c r="AJ5" s="109">
        <v>3.9311947872727417</v>
      </c>
      <c r="AK5" s="109">
        <v>3.360208469611111</v>
      </c>
      <c r="AL5" s="109">
        <v>7.7896779650000001</v>
      </c>
      <c r="AM5" s="109">
        <v>9.1099950999999998E-2</v>
      </c>
      <c r="AO5" s="78" t="s">
        <v>2205</v>
      </c>
      <c r="AP5" s="4" t="s">
        <v>1384</v>
      </c>
      <c r="AQ5" s="4">
        <v>4.3052869999999999</v>
      </c>
      <c r="AR5">
        <v>4.0152793741844963</v>
      </c>
      <c r="AT5" s="4" t="s">
        <v>1371</v>
      </c>
      <c r="AU5" s="106">
        <v>13730620000</v>
      </c>
      <c r="AV5" s="106">
        <v>14506619803.545744</v>
      </c>
      <c r="AX5" s="189"/>
      <c r="AY5" s="189"/>
      <c r="AZ5" s="190"/>
      <c r="BA5" s="190"/>
      <c r="BB5" s="190"/>
    </row>
    <row r="6" spans="1:54" ht="18.75">
      <c r="A6" s="225" t="s">
        <v>788</v>
      </c>
      <c r="B6" s="49">
        <v>0</v>
      </c>
      <c r="C6" s="48">
        <v>0.56840286150630981</v>
      </c>
      <c r="D6" s="48">
        <v>0.57315227779547628</v>
      </c>
      <c r="E6" s="48">
        <v>0.54549455825864279</v>
      </c>
      <c r="F6" s="48">
        <v>0.61098279706913028</v>
      </c>
      <c r="G6" s="48">
        <v>0.57823672600030429</v>
      </c>
      <c r="H6" s="48">
        <v>0.60246028073422797</v>
      </c>
      <c r="I6" s="48">
        <v>0.57295926094199612</v>
      </c>
      <c r="J6" s="48">
        <v>0.61627993455302699</v>
      </c>
      <c r="K6" s="48">
        <v>0.66593660401401722</v>
      </c>
      <c r="AC6" s="108" t="s">
        <v>1351</v>
      </c>
      <c r="AD6" s="108" t="s">
        <v>137</v>
      </c>
      <c r="AE6" s="108" t="s">
        <v>216</v>
      </c>
      <c r="AF6" s="110">
        <v>10</v>
      </c>
      <c r="AG6" s="108">
        <v>18</v>
      </c>
      <c r="AH6" s="110">
        <v>0.97827760974194411</v>
      </c>
      <c r="AI6" s="110">
        <v>0.86725547879425047</v>
      </c>
      <c r="AJ6" s="109">
        <v>2.1736717660584279</v>
      </c>
      <c r="AK6" s="109">
        <v>1.360539811722222</v>
      </c>
      <c r="AL6" s="109">
        <v>6.677274927</v>
      </c>
      <c r="AM6" s="109">
        <v>5.3000561000000002E-2</v>
      </c>
      <c r="AO6" s="78" t="s">
        <v>2206</v>
      </c>
      <c r="AP6" s="4" t="s">
        <v>1453</v>
      </c>
      <c r="AQ6" s="4">
        <v>9.15</v>
      </c>
      <c r="AR6" s="4">
        <v>9.15</v>
      </c>
      <c r="AT6" s="4" t="s">
        <v>1364</v>
      </c>
      <c r="AU6" s="106">
        <v>4.2535720000000001</v>
      </c>
      <c r="AV6" s="4">
        <v>236.09934850500116</v>
      </c>
      <c r="AX6" s="191"/>
      <c r="AY6" s="191"/>
      <c r="AZ6" s="191"/>
      <c r="BA6" s="191"/>
      <c r="BB6" s="191"/>
    </row>
    <row r="7" spans="1:54" ht="18.75">
      <c r="A7" s="225"/>
      <c r="B7" s="54">
        <v>1E-3</v>
      </c>
      <c r="C7" s="48">
        <v>0.51899490283529792</v>
      </c>
      <c r="D7" s="48">
        <v>0.58373451187751557</v>
      </c>
      <c r="E7" s="48">
        <v>0.56049585484123265</v>
      </c>
      <c r="F7" s="48">
        <v>0.56527374126148777</v>
      </c>
      <c r="G7" s="48">
        <v>0.58407684269753235</v>
      </c>
      <c r="H7" s="48">
        <v>0.59740731766416288</v>
      </c>
      <c r="I7" s="48">
        <v>0.69032535585796972</v>
      </c>
      <c r="J7" s="48">
        <v>0.75902360018509951</v>
      </c>
      <c r="K7" s="48">
        <v>0.7187742135440881</v>
      </c>
      <c r="AC7" s="108" t="s">
        <v>1227</v>
      </c>
      <c r="AD7" s="108" t="s">
        <v>235</v>
      </c>
      <c r="AE7" s="108" t="s">
        <v>1182</v>
      </c>
      <c r="AF7" s="110">
        <v>10000</v>
      </c>
      <c r="AG7" s="108">
        <v>18</v>
      </c>
      <c r="AH7" s="110">
        <v>0.99153974464611905</v>
      </c>
      <c r="AI7" s="110">
        <v>0.78217999614226974</v>
      </c>
      <c r="AJ7" s="109">
        <v>2.3991458311906309</v>
      </c>
      <c r="AK7" s="109">
        <v>2.9664811520000001</v>
      </c>
      <c r="AL7" s="109">
        <v>9.4047015770000009</v>
      </c>
      <c r="AM7" s="109">
        <v>0.11648093399999999</v>
      </c>
      <c r="AO7" s="78" t="s">
        <v>2207</v>
      </c>
      <c r="AP7" s="4" t="s">
        <v>1454</v>
      </c>
      <c r="AQ7" s="106">
        <v>1.012117E-4</v>
      </c>
      <c r="AR7">
        <v>0.1452003393977303</v>
      </c>
      <c r="AT7" s="4" t="s">
        <v>1372</v>
      </c>
      <c r="AU7" s="106">
        <v>10.51285</v>
      </c>
      <c r="AV7" s="4">
        <v>2309416737.3024731</v>
      </c>
      <c r="AX7" s="191"/>
      <c r="AY7" s="191"/>
      <c r="AZ7" s="191"/>
      <c r="BA7" s="191"/>
      <c r="BB7" s="191"/>
    </row>
    <row r="8" spans="1:54" ht="18.75">
      <c r="A8" s="225"/>
      <c r="B8" s="54">
        <v>5.0000000000000001E-3</v>
      </c>
      <c r="C8" s="48">
        <v>0.4404940415121143</v>
      </c>
      <c r="D8" s="48">
        <v>0.61671734955185664</v>
      </c>
      <c r="E8" s="48">
        <v>0.54782574382448113</v>
      </c>
      <c r="F8" s="48">
        <v>0.68691192349221042</v>
      </c>
      <c r="G8" s="48">
        <v>0.65125091679569724</v>
      </c>
      <c r="H8" s="48">
        <v>0.69715693401179224</v>
      </c>
      <c r="I8" s="48">
        <v>1.1881354606600971</v>
      </c>
      <c r="J8" s="48">
        <v>1.1772459381968781</v>
      </c>
      <c r="K8" s="48">
        <v>1.2033088797187836</v>
      </c>
      <c r="AC8" s="108" t="s">
        <v>1352</v>
      </c>
      <c r="AD8" s="108" t="s">
        <v>233</v>
      </c>
      <c r="AE8" s="108" t="s">
        <v>209</v>
      </c>
      <c r="AF8" s="110">
        <v>10</v>
      </c>
      <c r="AG8" s="108">
        <v>18</v>
      </c>
      <c r="AH8" s="110">
        <v>0.97041234768509887</v>
      </c>
      <c r="AI8" s="110">
        <v>0.80511903615913505</v>
      </c>
      <c r="AJ8" s="109">
        <v>8.0640170794030575E-2</v>
      </c>
      <c r="AK8" s="109">
        <v>0.22522176300000002</v>
      </c>
      <c r="AL8" s="109">
        <v>1.1411060200000001</v>
      </c>
      <c r="AM8" s="109">
        <v>1.2935696E-2</v>
      </c>
      <c r="AO8" s="78" t="s">
        <v>2208</v>
      </c>
      <c r="AP8" s="4" t="s">
        <v>1386</v>
      </c>
      <c r="AQ8" s="4">
        <v>48.566940000000002</v>
      </c>
      <c r="AR8">
        <v>366.83435949800997</v>
      </c>
      <c r="AT8" s="4" t="s">
        <v>1368</v>
      </c>
      <c r="AU8" s="106">
        <v>2.1523859999999999E-4</v>
      </c>
      <c r="AV8" s="4">
        <v>2.0086406664832617E-2</v>
      </c>
      <c r="AX8" s="191"/>
      <c r="AY8" s="191"/>
      <c r="AZ8" s="191"/>
      <c r="BA8" s="191"/>
      <c r="BB8" s="191"/>
    </row>
    <row r="9" spans="1:54" ht="18.75">
      <c r="A9" s="225"/>
      <c r="B9" s="54">
        <v>0.01</v>
      </c>
      <c r="C9" s="48">
        <v>0.51920862125699241</v>
      </c>
      <c r="D9" s="48">
        <v>0.55284326218540936</v>
      </c>
      <c r="E9" s="48">
        <v>0.52633066795896943</v>
      </c>
      <c r="F9" s="48">
        <v>0.86179404602937726</v>
      </c>
      <c r="G9" s="48">
        <v>0.8850298028427328</v>
      </c>
      <c r="H9" s="48">
        <v>0.81375600213409216</v>
      </c>
      <c r="I9" s="48">
        <v>1.7421247917613207</v>
      </c>
      <c r="J9" s="48">
        <v>1.7192272096251737</v>
      </c>
      <c r="K9" s="48">
        <v>1.7905676384389946</v>
      </c>
      <c r="AC9" s="108" t="s">
        <v>1353</v>
      </c>
      <c r="AD9" s="108" t="s">
        <v>197</v>
      </c>
      <c r="AE9" s="108" t="s">
        <v>216</v>
      </c>
      <c r="AF9" s="110">
        <v>10</v>
      </c>
      <c r="AG9" s="108">
        <v>18</v>
      </c>
      <c r="AH9" s="110">
        <v>0.98061718320047808</v>
      </c>
      <c r="AI9" s="110">
        <v>-4.110657471940379</v>
      </c>
      <c r="AJ9" s="109">
        <v>2.6401641146050201</v>
      </c>
      <c r="AK9" s="109">
        <v>1.9874918054999999</v>
      </c>
      <c r="AL9" s="109">
        <v>6.5473311589999996</v>
      </c>
      <c r="AM9" s="109">
        <v>4.3622426999999998E-2</v>
      </c>
      <c r="AO9" s="78" t="s">
        <v>2209</v>
      </c>
      <c r="AP9" s="4" t="s">
        <v>1455</v>
      </c>
      <c r="AQ9" s="4">
        <v>44.054639999999999</v>
      </c>
      <c r="AR9">
        <v>3.4383087557657395</v>
      </c>
      <c r="AT9" s="4" t="s">
        <v>251</v>
      </c>
      <c r="AU9" s="106">
        <v>325882.40000000002</v>
      </c>
      <c r="AV9" s="4">
        <v>5.408990833322455E+17</v>
      </c>
      <c r="AX9" s="191"/>
      <c r="AY9" s="191"/>
      <c r="AZ9" s="191"/>
      <c r="BA9" s="191"/>
      <c r="BB9" s="191"/>
    </row>
    <row r="10" spans="1:54" ht="18.75">
      <c r="A10" s="225"/>
      <c r="B10" s="54">
        <v>0.1</v>
      </c>
      <c r="C10" s="48">
        <v>0.5307758485843892</v>
      </c>
      <c r="D10" s="48">
        <v>0.55581132380260079</v>
      </c>
      <c r="E10" s="48">
        <v>0.56045300292005373</v>
      </c>
      <c r="F10" s="48">
        <v>4.329515656331945</v>
      </c>
      <c r="G10" s="48">
        <v>4.231607115935474</v>
      </c>
      <c r="H10" s="48">
        <v>4.5573475201072391</v>
      </c>
      <c r="I10" s="48">
        <v>5.3464954481533562</v>
      </c>
      <c r="J10" s="48">
        <v>5.519022962629446</v>
      </c>
      <c r="K10" s="48">
        <v>5.54418446160836</v>
      </c>
      <c r="L10" t="s">
        <v>1166</v>
      </c>
      <c r="M10">
        <f>C11-C6</f>
        <v>0.33390712960910907</v>
      </c>
      <c r="N10">
        <f t="shared" ref="N10:U10" si="0">D11-D6</f>
        <v>0.49811052630183505</v>
      </c>
      <c r="O10">
        <f t="shared" si="0"/>
        <v>0.47804000688949366</v>
      </c>
      <c r="P10">
        <f t="shared" si="0"/>
        <v>8.8602184579734509</v>
      </c>
      <c r="Q10">
        <f t="shared" si="0"/>
        <v>8.7739062428719006</v>
      </c>
      <c r="R10">
        <f t="shared" si="0"/>
        <v>9.6217938461777823</v>
      </c>
      <c r="S10">
        <f t="shared" si="0"/>
        <v>6.3395236235856167</v>
      </c>
      <c r="T10">
        <f t="shared" si="0"/>
        <v>6.4212031811606156</v>
      </c>
      <c r="U10">
        <f t="shared" si="0"/>
        <v>6.4994806305763211</v>
      </c>
      <c r="AC10" s="108" t="s">
        <v>1354</v>
      </c>
      <c r="AD10" s="108" t="s">
        <v>134</v>
      </c>
      <c r="AE10" s="108" t="s">
        <v>208</v>
      </c>
      <c r="AF10" s="110">
        <v>100</v>
      </c>
      <c r="AG10" s="108">
        <v>18</v>
      </c>
      <c r="AH10" s="110">
        <v>0.98567975514672068</v>
      </c>
      <c r="AI10" s="110">
        <v>0.80795425414998245</v>
      </c>
      <c r="AJ10" s="109">
        <v>1.0110332815316638</v>
      </c>
      <c r="AK10" s="109">
        <v>1.3457347254444447</v>
      </c>
      <c r="AL10" s="109">
        <v>6.0384519040000004</v>
      </c>
      <c r="AM10" s="109">
        <v>6.9665694E-2</v>
      </c>
      <c r="AO10" s="78" t="s">
        <v>2210</v>
      </c>
      <c r="AP10" s="4" t="s">
        <v>1456</v>
      </c>
      <c r="AQ10" s="4">
        <v>37.141129999999997</v>
      </c>
      <c r="AR10">
        <v>19.330042467103294</v>
      </c>
      <c r="AT10" s="4" t="s">
        <v>1365</v>
      </c>
      <c r="AU10" s="106">
        <v>5.9027809999999998E-5</v>
      </c>
      <c r="AV10" s="4">
        <v>4.3754893038413687E-4</v>
      </c>
      <c r="AX10" s="191"/>
      <c r="AY10" s="191"/>
      <c r="AZ10" s="191"/>
      <c r="BA10" s="191"/>
      <c r="BB10" s="191"/>
    </row>
    <row r="11" spans="1:54" ht="18.75">
      <c r="A11" s="225"/>
      <c r="B11" s="54">
        <v>2</v>
      </c>
      <c r="C11" s="48">
        <v>0.90230999111541887</v>
      </c>
      <c r="D11" s="48">
        <v>1.0712628040973113</v>
      </c>
      <c r="E11" s="48">
        <v>1.0235345651481365</v>
      </c>
      <c r="F11" s="48">
        <v>9.4712012550425815</v>
      </c>
      <c r="G11" s="48">
        <v>9.3521429688722044</v>
      </c>
      <c r="H11" s="48">
        <v>10.22425412691201</v>
      </c>
      <c r="I11" s="48">
        <v>6.9124828845276127</v>
      </c>
      <c r="J11" s="48">
        <v>7.037483115713643</v>
      </c>
      <c r="K11" s="48">
        <v>7.165417234590338</v>
      </c>
      <c r="L11" t="s">
        <v>1167</v>
      </c>
      <c r="M11">
        <f>C11/C6</f>
        <v>1.5874480095406811</v>
      </c>
      <c r="N11">
        <f t="shared" ref="N11:U11" si="1">D11/D6</f>
        <v>1.8690718777524964</v>
      </c>
      <c r="O11">
        <f t="shared" si="1"/>
        <v>1.876342393617122</v>
      </c>
      <c r="P11">
        <f t="shared" si="1"/>
        <v>15.501584169760106</v>
      </c>
      <c r="Q11">
        <f t="shared" si="1"/>
        <v>16.173554097059</v>
      </c>
      <c r="R11">
        <f t="shared" si="1"/>
        <v>16.970835180124318</v>
      </c>
      <c r="S11">
        <f t="shared" si="1"/>
        <v>12.064527717316018</v>
      </c>
      <c r="T11">
        <f t="shared" si="1"/>
        <v>11.419296201518812</v>
      </c>
      <c r="U11">
        <f t="shared" si="1"/>
        <v>10.759908963405643</v>
      </c>
      <c r="V11">
        <f>AVERAGE(M11:O11)</f>
        <v>1.7776207603034333</v>
      </c>
      <c r="W11">
        <f>AVERAGE(P11:R11)</f>
        <v>16.215324482314475</v>
      </c>
      <c r="X11">
        <f>AVERAGE(S11:U11)</f>
        <v>11.414577627413491</v>
      </c>
      <c r="AC11" s="108" t="s">
        <v>1355</v>
      </c>
      <c r="AD11" s="108" t="s">
        <v>234</v>
      </c>
      <c r="AE11" s="108" t="s">
        <v>214</v>
      </c>
      <c r="AF11" s="110">
        <v>100</v>
      </c>
      <c r="AG11" s="108">
        <v>18</v>
      </c>
      <c r="AH11" s="110">
        <v>0.999344505386629</v>
      </c>
      <c r="AI11" s="110">
        <v>0.96832931591445492</v>
      </c>
      <c r="AJ11" s="109">
        <v>2.6715433253958993E-2</v>
      </c>
      <c r="AK11" s="109">
        <v>0.99600312861111107</v>
      </c>
      <c r="AL11" s="109">
        <v>4.0408478280000004</v>
      </c>
      <c r="AM11" s="109">
        <v>1.5745133000000001E-2</v>
      </c>
      <c r="AO11" s="78" t="s">
        <v>1264</v>
      </c>
      <c r="AP11" s="4" t="s">
        <v>1392</v>
      </c>
      <c r="AQ11" s="172">
        <v>13.158029687219203</v>
      </c>
      <c r="AR11">
        <v>4.3533372870528178</v>
      </c>
      <c r="AT11" s="4" t="s">
        <v>1374</v>
      </c>
      <c r="AU11" s="106">
        <v>24.090520000000001</v>
      </c>
      <c r="AV11" s="4">
        <v>7362030.4131213399</v>
      </c>
      <c r="AX11" s="191"/>
      <c r="AY11" s="191"/>
      <c r="AZ11" s="191"/>
      <c r="BA11" s="191"/>
      <c r="BB11" s="191"/>
    </row>
    <row r="12" spans="1:54" ht="18.75">
      <c r="AC12" s="108" t="s">
        <v>1356</v>
      </c>
      <c r="AD12" s="108" t="s">
        <v>135</v>
      </c>
      <c r="AE12" s="108" t="s">
        <v>206</v>
      </c>
      <c r="AF12" s="110">
        <v>200</v>
      </c>
      <c r="AG12" s="108">
        <v>18</v>
      </c>
      <c r="AH12" s="110">
        <v>0.99766243164702295</v>
      </c>
      <c r="AI12" s="110">
        <v>0.86736129715461774</v>
      </c>
      <c r="AJ12" s="109">
        <v>0.44879745212013539</v>
      </c>
      <c r="AK12" s="109">
        <v>2.5520595624444447</v>
      </c>
      <c r="AL12" s="109">
        <v>7.3854166670000003</v>
      </c>
      <c r="AM12" s="109">
        <v>9.4542882999999994E-2</v>
      </c>
      <c r="AO12" s="78" t="s">
        <v>2211</v>
      </c>
      <c r="AP12" s="4" t="s">
        <v>1495</v>
      </c>
      <c r="AQ12" s="173">
        <v>87628.294370049392</v>
      </c>
      <c r="AR12">
        <v>3652.626357255022</v>
      </c>
      <c r="AT12" s="4" t="s">
        <v>1366</v>
      </c>
      <c r="AU12" s="106">
        <v>8.9101819999999998E-2</v>
      </c>
      <c r="AV12" s="4">
        <v>11.929569339777965</v>
      </c>
      <c r="AX12" s="191"/>
      <c r="AY12" s="191"/>
      <c r="AZ12" s="191"/>
      <c r="BA12" s="191"/>
      <c r="BB12" s="191"/>
    </row>
    <row r="13" spans="1:54" ht="18.75">
      <c r="B13" s="49"/>
      <c r="G13" s="48"/>
      <c r="H13" s="48"/>
      <c r="I13" s="48"/>
      <c r="J13" s="48"/>
      <c r="K13" s="48"/>
      <c r="L13" t="s">
        <v>1168</v>
      </c>
      <c r="M13">
        <f>M10+M11</f>
        <v>1.9213551391497901</v>
      </c>
      <c r="N13">
        <f t="shared" ref="N13:U13" si="2">N10+N11</f>
        <v>2.3671824040543314</v>
      </c>
      <c r="O13">
        <f t="shared" si="2"/>
        <v>2.3543824005066156</v>
      </c>
      <c r="P13" s="67">
        <f t="shared" si="2"/>
        <v>24.361802627733557</v>
      </c>
      <c r="Q13" s="67">
        <f t="shared" si="2"/>
        <v>24.947460339930899</v>
      </c>
      <c r="R13" s="67">
        <f t="shared" si="2"/>
        <v>26.592629026302099</v>
      </c>
      <c r="S13">
        <f t="shared" si="2"/>
        <v>18.404051340901635</v>
      </c>
      <c r="T13">
        <f t="shared" si="2"/>
        <v>17.840499382679425</v>
      </c>
      <c r="U13">
        <f t="shared" si="2"/>
        <v>17.259389593981965</v>
      </c>
      <c r="AC13" s="108" t="s">
        <v>1357</v>
      </c>
      <c r="AD13" s="108" t="s">
        <v>136</v>
      </c>
      <c r="AE13" s="108" t="s">
        <v>215</v>
      </c>
      <c r="AF13" s="110">
        <v>0.1</v>
      </c>
      <c r="AG13" s="108">
        <v>18</v>
      </c>
      <c r="AH13" s="110">
        <v>0.99932266160639238</v>
      </c>
      <c r="AI13" s="110">
        <v>0.97596118982655977</v>
      </c>
      <c r="AJ13" s="109">
        <v>1.5604139083476135E-2</v>
      </c>
      <c r="AK13" s="109">
        <v>0.57448933150000003</v>
      </c>
      <c r="AL13" s="109">
        <v>3.161030394</v>
      </c>
      <c r="AM13" s="109">
        <v>1.9545131E-2</v>
      </c>
      <c r="AO13" s="78" t="s">
        <v>2212</v>
      </c>
      <c r="AP13" s="4" t="s">
        <v>1524</v>
      </c>
      <c r="AQ13" s="172">
        <v>3.9637958776992597</v>
      </c>
      <c r="AR13">
        <v>317.85952776097798</v>
      </c>
      <c r="AT13" s="4" t="s">
        <v>1369</v>
      </c>
      <c r="AU13" s="106">
        <v>1.015703E-4</v>
      </c>
      <c r="AV13" s="4">
        <v>1.0191848192367172E-2</v>
      </c>
      <c r="AX13" s="191"/>
      <c r="AY13" s="191"/>
      <c r="AZ13" s="191"/>
      <c r="BA13" s="191"/>
      <c r="BB13" s="191"/>
    </row>
    <row r="14" spans="1:54" ht="18.75">
      <c r="C14" s="224" t="s">
        <v>1679</v>
      </c>
      <c r="D14" s="224"/>
      <c r="E14" s="224"/>
      <c r="F14" s="224"/>
      <c r="G14" s="224"/>
      <c r="H14" s="224"/>
      <c r="I14" s="224"/>
      <c r="J14" s="224"/>
      <c r="K14" s="224"/>
      <c r="AC14" s="108" t="s">
        <v>1107</v>
      </c>
      <c r="AD14" s="108" t="s">
        <v>133</v>
      </c>
      <c r="AE14" s="108" t="s">
        <v>213</v>
      </c>
      <c r="AF14" s="110">
        <v>0.01</v>
      </c>
      <c r="AG14" s="108">
        <v>18</v>
      </c>
      <c r="AH14" s="110">
        <v>0.95941811095836926</v>
      </c>
      <c r="AI14" s="110">
        <v>0.69148188117792242</v>
      </c>
      <c r="AJ14" s="109">
        <v>7.9072082730517375</v>
      </c>
      <c r="AK14" s="109">
        <v>2.7540208957777779</v>
      </c>
      <c r="AL14" s="109">
        <v>8.3104782260000007</v>
      </c>
      <c r="AM14" s="109">
        <v>7.8355471999999995E-2</v>
      </c>
      <c r="AO14" s="78" t="s">
        <v>2213</v>
      </c>
      <c r="AP14" s="4" t="s">
        <v>1385</v>
      </c>
      <c r="AQ14" s="172">
        <v>2.3264549904632874</v>
      </c>
      <c r="AR14">
        <v>18.162215572326005</v>
      </c>
      <c r="AT14" s="4" t="s">
        <v>1367</v>
      </c>
      <c r="AU14" s="106">
        <v>0.89997590000000005</v>
      </c>
      <c r="AV14" s="4">
        <v>4.5865452962893674</v>
      </c>
      <c r="AX14" s="191"/>
      <c r="AY14" s="191"/>
      <c r="AZ14" s="191"/>
      <c r="BA14" s="191"/>
      <c r="BB14" s="191"/>
    </row>
    <row r="15" spans="1:54" ht="18.75">
      <c r="A15" s="50" t="s">
        <v>786</v>
      </c>
      <c r="B15" s="51"/>
      <c r="C15" s="48">
        <v>1.4566296728971966E-2</v>
      </c>
      <c r="D15" s="48">
        <v>1.3647739715313627E-2</v>
      </c>
      <c r="E15" s="48">
        <v>1.4850434905593665E-2</v>
      </c>
      <c r="F15" s="48">
        <v>0.50441357354750016</v>
      </c>
      <c r="G15" s="48">
        <v>0.47348653874758295</v>
      </c>
      <c r="H15" s="48">
        <v>0.46238017154389505</v>
      </c>
      <c r="I15" s="48">
        <v>3.4532262710643815</v>
      </c>
      <c r="J15" s="48">
        <v>3.1536521318499067</v>
      </c>
      <c r="K15" s="48">
        <v>3.3410637184351692</v>
      </c>
      <c r="AC15" s="108" t="s">
        <v>1358</v>
      </c>
      <c r="AD15" s="108" t="s">
        <v>1331</v>
      </c>
      <c r="AE15" s="108" t="s">
        <v>213</v>
      </c>
      <c r="AF15" s="110">
        <v>0.01</v>
      </c>
      <c r="AG15" s="108">
        <v>18</v>
      </c>
      <c r="AH15" s="110">
        <v>0.89735317599936182</v>
      </c>
      <c r="AI15" s="110">
        <v>0.85856965744060598</v>
      </c>
      <c r="AJ15" s="109">
        <v>42.242562919950622</v>
      </c>
      <c r="AK15" s="109">
        <v>3.6912971304444446</v>
      </c>
      <c r="AL15" s="109">
        <v>11.32413837</v>
      </c>
      <c r="AM15" s="109">
        <v>4.2682422999999997E-2</v>
      </c>
      <c r="AO15" s="78" t="s">
        <v>2214</v>
      </c>
      <c r="AP15" s="4" t="s">
        <v>1387</v>
      </c>
      <c r="AQ15" s="172">
        <v>1.7621562345558946E-5</v>
      </c>
      <c r="AR15">
        <v>2.6742878050715325E-2</v>
      </c>
      <c r="AT15" s="4" t="s">
        <v>250</v>
      </c>
      <c r="AU15" s="106">
        <v>14.521739999999999</v>
      </c>
      <c r="AV15" s="4">
        <v>5558.0149171872554</v>
      </c>
      <c r="AX15" s="191"/>
      <c r="AY15" s="191"/>
      <c r="AZ15" s="191"/>
      <c r="BA15" s="191"/>
      <c r="BB15" s="191"/>
    </row>
    <row r="16" spans="1:54" ht="18.75">
      <c r="A16" s="52" t="s">
        <v>787</v>
      </c>
      <c r="B16" s="53"/>
      <c r="C16" s="226">
        <v>0</v>
      </c>
      <c r="D16" s="226"/>
      <c r="E16" s="226"/>
      <c r="F16" s="226">
        <v>20</v>
      </c>
      <c r="G16" s="226"/>
      <c r="H16" s="226"/>
      <c r="I16" s="226">
        <v>500</v>
      </c>
      <c r="J16" s="226"/>
      <c r="K16" s="226"/>
      <c r="AC16" s="108" t="s">
        <v>1244</v>
      </c>
      <c r="AD16" s="108" t="s">
        <v>236</v>
      </c>
      <c r="AE16" s="108" t="s">
        <v>213</v>
      </c>
      <c r="AF16" s="110">
        <v>0.5</v>
      </c>
      <c r="AG16" s="108">
        <v>18</v>
      </c>
      <c r="AH16" s="110">
        <v>0.97767823128096554</v>
      </c>
      <c r="AI16" s="110">
        <v>0.95825746679296797</v>
      </c>
      <c r="AJ16" s="109">
        <v>3.093621278457011</v>
      </c>
      <c r="AK16" s="109">
        <v>2.0316305817777778</v>
      </c>
      <c r="AL16" s="109">
        <v>6.283169665</v>
      </c>
      <c r="AM16" s="109">
        <v>5.6022519999999999E-2</v>
      </c>
      <c r="AO16" s="78" t="s">
        <v>2215</v>
      </c>
      <c r="AT16" s="4" t="s">
        <v>1373</v>
      </c>
      <c r="AU16" s="106">
        <v>5464.9960000000001</v>
      </c>
      <c r="AV16" s="4">
        <v>923610.77582906873</v>
      </c>
      <c r="AX16" s="191"/>
      <c r="AY16" s="191"/>
      <c r="AZ16" s="191"/>
      <c r="BA16" s="191"/>
      <c r="BB16" s="191"/>
    </row>
    <row r="17" spans="1:54" ht="18.75">
      <c r="A17" s="225" t="s">
        <v>789</v>
      </c>
      <c r="B17" s="49">
        <v>0</v>
      </c>
      <c r="C17" s="48">
        <v>7.8355472251650238E-2</v>
      </c>
      <c r="D17" s="48">
        <v>8.8940733464309113E-2</v>
      </c>
      <c r="E17" s="48">
        <v>9.0171950126314085E-2</v>
      </c>
      <c r="F17" s="48">
        <v>8.8147006328086988E-2</v>
      </c>
      <c r="G17" s="48">
        <v>0.1046412422148281</v>
      </c>
      <c r="H17" s="48">
        <v>9.2455212690395402E-2</v>
      </c>
      <c r="I17" s="48">
        <v>8.6439829872404311E-2</v>
      </c>
      <c r="J17" s="48">
        <v>0.10149966487935658</v>
      </c>
      <c r="K17" s="48">
        <v>9.1392179133538878E-2</v>
      </c>
      <c r="AC17" s="108" t="s">
        <v>1105</v>
      </c>
      <c r="AD17" s="108" t="s">
        <v>137</v>
      </c>
      <c r="AE17" s="108" t="s">
        <v>206</v>
      </c>
      <c r="AF17" s="110">
        <v>200</v>
      </c>
      <c r="AG17" s="108">
        <v>18</v>
      </c>
      <c r="AH17" s="110">
        <v>0.97665991450736711</v>
      </c>
      <c r="AI17" s="110">
        <v>-3.1390892388252434E-2</v>
      </c>
      <c r="AJ17" s="109">
        <v>8.8660146452810373</v>
      </c>
      <c r="AK17" s="109">
        <v>3.9181954225555558</v>
      </c>
      <c r="AL17" s="109">
        <v>11.05318027</v>
      </c>
      <c r="AM17" s="109">
        <v>0.42900411900000002</v>
      </c>
      <c r="AT17" s="4" t="s">
        <v>1397</v>
      </c>
      <c r="AU17" s="106">
        <v>7.4615319999999998E-5</v>
      </c>
      <c r="AV17" s="4">
        <v>3.5007165689799804E-5</v>
      </c>
      <c r="AX17" s="191"/>
      <c r="AY17" s="191"/>
      <c r="AZ17" s="191"/>
      <c r="BA17" s="191"/>
      <c r="BB17" s="191"/>
    </row>
    <row r="18" spans="1:54" ht="15">
      <c r="A18" s="225"/>
      <c r="B18" s="54">
        <v>0.01</v>
      </c>
      <c r="C18" s="48">
        <v>6.9081616096057119E-2</v>
      </c>
      <c r="D18" s="48">
        <v>6.5724064868388887E-2</v>
      </c>
      <c r="E18" s="48">
        <v>6.8126241785113867E-2</v>
      </c>
      <c r="F18" s="48">
        <v>0.10027461432840644</v>
      </c>
      <c r="G18" s="48">
        <v>9.4164456233421762E-2</v>
      </c>
      <c r="H18" s="48">
        <v>9.7034096216721169E-2</v>
      </c>
      <c r="I18" s="48">
        <v>0.14481694604286549</v>
      </c>
      <c r="J18" s="48">
        <v>0.15930404738400791</v>
      </c>
      <c r="K18" s="48">
        <v>0.14376600512163895</v>
      </c>
      <c r="AC18" s="108" t="s">
        <v>1104</v>
      </c>
      <c r="AD18" s="108" t="s">
        <v>235</v>
      </c>
      <c r="AE18" s="108" t="s">
        <v>206</v>
      </c>
      <c r="AF18" s="110">
        <v>200</v>
      </c>
      <c r="AG18" s="108">
        <v>18</v>
      </c>
      <c r="AH18" s="110">
        <v>0.97227317689349069</v>
      </c>
      <c r="AI18" s="110">
        <v>0.7552402612537753</v>
      </c>
      <c r="AJ18" s="109">
        <v>13.935390308261715</v>
      </c>
      <c r="AK18" s="109">
        <v>4.1264379908333337</v>
      </c>
      <c r="AL18" s="109">
        <v>11.98227634</v>
      </c>
      <c r="AM18" s="109">
        <v>0.12612066899999999</v>
      </c>
      <c r="AX18" s="191"/>
      <c r="AY18" s="191"/>
      <c r="AZ18" s="191"/>
      <c r="BA18" s="191"/>
      <c r="BB18" s="191"/>
    </row>
    <row r="19" spans="1:54">
      <c r="A19" s="225"/>
      <c r="B19" s="54">
        <v>0.05</v>
      </c>
      <c r="C19" s="48">
        <v>7.9222781113094276E-2</v>
      </c>
      <c r="D19" s="48">
        <v>7.4615258677144733E-2</v>
      </c>
      <c r="E19" s="48">
        <v>8.2258559803469994E-2</v>
      </c>
      <c r="F19" s="48">
        <v>0.18387044665212829</v>
      </c>
      <c r="G19" s="48">
        <v>0.20313523248199086</v>
      </c>
      <c r="H19" s="48">
        <v>0.18469419677772567</v>
      </c>
      <c r="I19" s="48">
        <v>1.817325253196082</v>
      </c>
      <c r="J19" s="48">
        <v>2.0526730865017435</v>
      </c>
      <c r="K19" s="48">
        <v>2.0515307793058288</v>
      </c>
      <c r="AC19" s="108" t="s">
        <v>1109</v>
      </c>
      <c r="AD19" s="108" t="s">
        <v>137</v>
      </c>
      <c r="AE19" s="108" t="s">
        <v>214</v>
      </c>
      <c r="AF19" s="110">
        <v>100</v>
      </c>
      <c r="AG19" s="108">
        <v>18</v>
      </c>
      <c r="AH19" s="110">
        <v>0.95066192286509688</v>
      </c>
      <c r="AI19" s="110">
        <v>0.87690451203050268</v>
      </c>
      <c r="AJ19" s="109">
        <v>12.196454198571899</v>
      </c>
      <c r="AK19" s="109">
        <v>2.7872235267222223</v>
      </c>
      <c r="AL19" s="109">
        <v>8.8207023309999997</v>
      </c>
      <c r="AM19" s="109">
        <v>9.6810180999999995E-2</v>
      </c>
    </row>
    <row r="20" spans="1:54">
      <c r="A20" s="225"/>
      <c r="B20" s="54">
        <v>0.1</v>
      </c>
      <c r="C20" s="48">
        <v>7.3343469910371328E-2</v>
      </c>
      <c r="D20" s="48">
        <v>7.8411487911731304E-2</v>
      </c>
      <c r="E20" s="48">
        <v>7.4500232450023254E-2</v>
      </c>
      <c r="F20" s="48">
        <v>0.39156578528193692</v>
      </c>
      <c r="G20" s="48">
        <v>0.43838548964658258</v>
      </c>
      <c r="H20" s="48">
        <v>0.46282286412960416</v>
      </c>
      <c r="I20" s="48">
        <v>5.0966913861950944</v>
      </c>
      <c r="J20" s="48">
        <v>4.9388690572772997</v>
      </c>
      <c r="K20" s="48">
        <v>5.2550364171703086</v>
      </c>
      <c r="AC20" s="108" t="s">
        <v>1108</v>
      </c>
      <c r="AD20" s="108" t="s">
        <v>233</v>
      </c>
      <c r="AE20" s="108" t="s">
        <v>214</v>
      </c>
      <c r="AF20" s="110">
        <v>100</v>
      </c>
      <c r="AG20" s="108">
        <v>18</v>
      </c>
      <c r="AH20" s="110">
        <v>0.99993432616858335</v>
      </c>
      <c r="AI20" s="110">
        <v>0.98011487732097458</v>
      </c>
      <c r="AJ20" s="109">
        <v>7.8866319105237396E-3</v>
      </c>
      <c r="AK20" s="109">
        <v>1.8441236099444442</v>
      </c>
      <c r="AL20" s="109">
        <v>5.858100071</v>
      </c>
      <c r="AM20" s="109">
        <v>1.8044535E-2</v>
      </c>
    </row>
    <row r="21" spans="1:54">
      <c r="A21" s="225"/>
      <c r="B21" s="54">
        <v>0.5</v>
      </c>
      <c r="C21" s="48">
        <v>9.0199157094455015E-2</v>
      </c>
      <c r="D21" s="48">
        <v>9.5080222658808139E-2</v>
      </c>
      <c r="E21" s="48">
        <v>9.8201774871555361E-2</v>
      </c>
      <c r="F21" s="48">
        <v>6.2385712010194334</v>
      </c>
      <c r="G21" s="48">
        <v>6.6436350722121382</v>
      </c>
      <c r="H21" s="48">
        <v>6.728116007875208</v>
      </c>
      <c r="I21" s="48">
        <v>7.0484209676116629</v>
      </c>
      <c r="J21" s="48">
        <v>6.8835030078667288</v>
      </c>
      <c r="K21" s="48">
        <v>7.0373151053339313</v>
      </c>
      <c r="L21" t="s">
        <v>1102</v>
      </c>
      <c r="M21">
        <f t="shared" ref="M21:U21" si="3">C22-C17</f>
        <v>1.580669071983217</v>
      </c>
      <c r="N21">
        <f t="shared" si="3"/>
        <v>1.6778738391653034</v>
      </c>
      <c r="O21">
        <f t="shared" si="3"/>
        <v>1.5977143758197137</v>
      </c>
      <c r="P21">
        <f t="shared" si="3"/>
        <v>7.9672690898228344</v>
      </c>
      <c r="Q21">
        <f t="shared" si="3"/>
        <v>8.1334486115466671</v>
      </c>
      <c r="R21">
        <f t="shared" si="3"/>
        <v>8.2180230129377811</v>
      </c>
      <c r="S21">
        <f t="shared" si="3"/>
        <v>6.2710099676649893</v>
      </c>
      <c r="T21">
        <f t="shared" si="3"/>
        <v>6.1943135140913839</v>
      </c>
      <c r="U21">
        <f t="shared" si="3"/>
        <v>6.287968058626511</v>
      </c>
      <c r="AC21" s="108" t="s">
        <v>1359</v>
      </c>
      <c r="AD21" s="108" t="s">
        <v>236</v>
      </c>
      <c r="AE21" s="108" t="s">
        <v>215</v>
      </c>
      <c r="AF21" s="110">
        <v>0.1</v>
      </c>
      <c r="AG21" s="108">
        <v>18</v>
      </c>
      <c r="AH21" s="110">
        <v>0.99546579252368694</v>
      </c>
      <c r="AI21" s="110">
        <v>0.98439529843248796</v>
      </c>
      <c r="AJ21" s="109">
        <v>0.39345758377026852</v>
      </c>
      <c r="AK21" s="109">
        <v>1.3399125434444443</v>
      </c>
      <c r="AL21" s="109">
        <v>6.1641950970000003</v>
      </c>
      <c r="AM21" s="109">
        <v>3.4719300000000002E-2</v>
      </c>
      <c r="AT21" s="4"/>
      <c r="AU21" s="4"/>
    </row>
    <row r="22" spans="1:54">
      <c r="A22" s="225"/>
      <c r="B22" s="54">
        <v>10</v>
      </c>
      <c r="C22" s="48">
        <v>1.6590245442348672</v>
      </c>
      <c r="D22" s="48">
        <v>1.7668145726296125</v>
      </c>
      <c r="E22" s="48">
        <v>1.6878863259460277</v>
      </c>
      <c r="F22" s="48">
        <v>8.0554160961509211</v>
      </c>
      <c r="G22" s="48">
        <v>8.2380898537614957</v>
      </c>
      <c r="H22" s="48">
        <v>8.3104782256281773</v>
      </c>
      <c r="I22" s="48">
        <v>6.3574497975373934</v>
      </c>
      <c r="J22" s="48">
        <v>6.2958131789707403</v>
      </c>
      <c r="K22" s="48">
        <v>6.37936023776005</v>
      </c>
      <c r="L22" t="s">
        <v>1101</v>
      </c>
      <c r="M22">
        <f t="shared" ref="M22:U22" si="4">C22/C17</f>
        <v>21.173052711706763</v>
      </c>
      <c r="N22">
        <f t="shared" si="4"/>
        <v>19.86507760629852</v>
      </c>
      <c r="O22">
        <f t="shared" si="4"/>
        <v>18.718529693342706</v>
      </c>
      <c r="P22">
        <f t="shared" si="4"/>
        <v>91.386156282702473</v>
      </c>
      <c r="Q22">
        <f t="shared" si="4"/>
        <v>78.72698832118914</v>
      </c>
      <c r="R22">
        <f t="shared" si="4"/>
        <v>89.886529745569462</v>
      </c>
      <c r="S22">
        <f t="shared" si="4"/>
        <v>73.547689843001322</v>
      </c>
      <c r="T22">
        <f t="shared" si="4"/>
        <v>62.027920845393936</v>
      </c>
      <c r="U22">
        <f t="shared" si="4"/>
        <v>69.802036653910662</v>
      </c>
      <c r="V22">
        <f>AVERAGE(M22:O22)</f>
        <v>19.918886670449329</v>
      </c>
      <c r="W22">
        <f>AVERAGE(P22:R22)</f>
        <v>86.666558116487025</v>
      </c>
      <c r="X22">
        <f>AVERAGE(S22:U22)</f>
        <v>68.459215780768645</v>
      </c>
      <c r="AC22" s="108" t="s">
        <v>1251</v>
      </c>
      <c r="AD22" s="108" t="s">
        <v>1331</v>
      </c>
      <c r="AE22" s="108" t="s">
        <v>217</v>
      </c>
      <c r="AF22" s="110">
        <v>1</v>
      </c>
      <c r="AG22" s="108">
        <v>18</v>
      </c>
      <c r="AH22" s="110">
        <v>0.62799797836191718</v>
      </c>
      <c r="AI22" s="110">
        <v>6.438868881599169E-3</v>
      </c>
      <c r="AJ22" s="109">
        <v>15.388888250165024</v>
      </c>
      <c r="AK22" s="109">
        <v>1.1678775068888889</v>
      </c>
      <c r="AL22" s="109">
        <v>4.2207328430000004</v>
      </c>
      <c r="AM22" s="109">
        <v>6.2385853999999998E-2</v>
      </c>
      <c r="AT22" s="4"/>
      <c r="AU22" s="106"/>
    </row>
    <row r="23" spans="1:54">
      <c r="AC23" s="108" t="s">
        <v>1254</v>
      </c>
      <c r="AD23" s="108" t="s">
        <v>236</v>
      </c>
      <c r="AE23" s="108" t="s">
        <v>217</v>
      </c>
      <c r="AF23" s="110">
        <v>1</v>
      </c>
      <c r="AG23" s="108">
        <v>18</v>
      </c>
      <c r="AH23" s="110">
        <v>-0.3800986664573851</v>
      </c>
      <c r="AI23" s="110">
        <v>-2.0461151227799395</v>
      </c>
      <c r="AJ23" s="109">
        <v>2.7810344007989847</v>
      </c>
      <c r="AK23" s="109">
        <v>0.24102996900000001</v>
      </c>
      <c r="AL23" s="109">
        <v>1.0528919329999999</v>
      </c>
      <c r="AM23" s="109">
        <v>6.4736289000000002E-2</v>
      </c>
      <c r="AT23" s="4"/>
      <c r="AU23" s="106"/>
    </row>
    <row r="24" spans="1:54">
      <c r="B24" s="49"/>
      <c r="G24" s="48"/>
      <c r="H24" s="48"/>
      <c r="I24" s="48"/>
      <c r="J24" s="48"/>
      <c r="K24" s="48"/>
      <c r="L24" t="s">
        <v>1168</v>
      </c>
      <c r="M24">
        <f>M21+M22</f>
        <v>22.753721783689979</v>
      </c>
      <c r="N24">
        <f t="shared" ref="N24:U24" si="5">N21+N22</f>
        <v>21.542951445463824</v>
      </c>
      <c r="O24">
        <f t="shared" si="5"/>
        <v>20.316244069162419</v>
      </c>
      <c r="P24" s="67">
        <f t="shared" si="5"/>
        <v>99.353425372525308</v>
      </c>
      <c r="Q24" s="67">
        <f t="shared" si="5"/>
        <v>86.860436932735809</v>
      </c>
      <c r="R24" s="67">
        <f t="shared" si="5"/>
        <v>98.104552758507239</v>
      </c>
      <c r="S24">
        <f t="shared" si="5"/>
        <v>79.818699810666317</v>
      </c>
      <c r="T24">
        <f t="shared" si="5"/>
        <v>68.222234359485327</v>
      </c>
      <c r="U24">
        <f t="shared" si="5"/>
        <v>76.090004712537166</v>
      </c>
      <c r="AC24" s="108" t="s">
        <v>1255</v>
      </c>
      <c r="AD24" s="108" t="s">
        <v>233</v>
      </c>
      <c r="AE24" s="108" t="s">
        <v>210</v>
      </c>
      <c r="AF24" s="110">
        <v>2000</v>
      </c>
      <c r="AG24" s="108">
        <v>18</v>
      </c>
      <c r="AH24" s="110">
        <v>0.99935190629638171</v>
      </c>
      <c r="AI24" s="110">
        <v>0.8876874830264071</v>
      </c>
      <c r="AJ24" s="109">
        <v>2.7472995268932689E-2</v>
      </c>
      <c r="AK24" s="109">
        <v>0.77211363094444452</v>
      </c>
      <c r="AL24" s="109">
        <v>4.2338089400000003</v>
      </c>
      <c r="AM24" s="109">
        <v>1.4828258E-2</v>
      </c>
      <c r="AT24" s="4"/>
      <c r="AU24" s="106"/>
    </row>
    <row r="25" spans="1:54" ht="17.25">
      <c r="C25" s="224" t="s">
        <v>1680</v>
      </c>
      <c r="D25" s="224"/>
      <c r="E25" s="224"/>
      <c r="F25" s="224"/>
      <c r="G25" s="224"/>
      <c r="H25" s="224"/>
      <c r="I25" s="224"/>
      <c r="J25" s="224"/>
      <c r="K25" s="55"/>
      <c r="AC25" s="108" t="s">
        <v>1258</v>
      </c>
      <c r="AD25" s="108" t="s">
        <v>235</v>
      </c>
      <c r="AE25" s="108" t="s">
        <v>207</v>
      </c>
      <c r="AF25" s="110">
        <v>10000</v>
      </c>
      <c r="AG25" s="108">
        <v>18</v>
      </c>
      <c r="AH25" s="110">
        <v>0.90268787248711702</v>
      </c>
      <c r="AI25" s="110">
        <v>0.98932156948681094</v>
      </c>
      <c r="AJ25" s="109">
        <v>15.100858641223549</v>
      </c>
      <c r="AK25" s="109">
        <v>1.9986097027777778</v>
      </c>
      <c r="AL25" s="109">
        <v>7.8238236240000001</v>
      </c>
      <c r="AM25" s="109">
        <v>3.3090588999999997E-2</v>
      </c>
      <c r="AT25" s="188"/>
      <c r="AU25" s="188"/>
      <c r="AV25" s="188"/>
      <c r="AW25" s="188"/>
      <c r="AX25" s="188"/>
      <c r="AY25" s="188"/>
      <c r="AZ25" s="188"/>
      <c r="BA25" s="188"/>
    </row>
    <row r="26" spans="1:54">
      <c r="A26" s="50" t="s">
        <v>786</v>
      </c>
      <c r="B26" s="51"/>
      <c r="C26" s="48">
        <v>1.4566296728971966E-2</v>
      </c>
      <c r="D26" s="48">
        <v>1.3647739715313627E-2</v>
      </c>
      <c r="E26" s="48">
        <v>1.4850434905593665E-2</v>
      </c>
      <c r="F26" s="48">
        <v>0.50441357354750016</v>
      </c>
      <c r="G26" s="48">
        <v>0.47348653874758295</v>
      </c>
      <c r="H26" s="48">
        <v>0.46238017154389505</v>
      </c>
      <c r="I26" s="48">
        <v>3.4532262710643815</v>
      </c>
      <c r="J26" s="48">
        <v>3.1536521318499067</v>
      </c>
      <c r="K26" s="48">
        <v>3.3410637184351692</v>
      </c>
      <c r="AC26" s="108" t="s">
        <v>1261</v>
      </c>
      <c r="AD26" s="108" t="s">
        <v>1331</v>
      </c>
      <c r="AE26" s="108" t="s">
        <v>210</v>
      </c>
      <c r="AF26" s="110">
        <v>2000</v>
      </c>
      <c r="AG26" s="108">
        <v>18</v>
      </c>
      <c r="AH26" s="110">
        <v>0.71777204743202727</v>
      </c>
      <c r="AI26" s="110">
        <v>0.55023049914294653</v>
      </c>
      <c r="AJ26" s="109">
        <v>8.2285385669956064</v>
      </c>
      <c r="AK26" s="109">
        <v>0.87168435294444446</v>
      </c>
      <c r="AL26" s="109">
        <v>3.3866886690000002</v>
      </c>
      <c r="AM26" s="109">
        <v>1.1805127E-2</v>
      </c>
      <c r="AT26" s="179"/>
      <c r="AU26" s="179"/>
      <c r="AV26" s="180"/>
      <c r="AW26" s="180"/>
      <c r="AX26" s="180"/>
      <c r="AY26" s="180"/>
      <c r="AZ26" s="181"/>
      <c r="BA26" s="181"/>
    </row>
    <row r="27" spans="1:54">
      <c r="A27" s="52" t="s">
        <v>787</v>
      </c>
      <c r="B27" s="53"/>
      <c r="C27" s="56">
        <v>0</v>
      </c>
      <c r="D27" s="56"/>
      <c r="E27" s="56"/>
      <c r="F27" s="56">
        <v>20</v>
      </c>
      <c r="G27" s="56"/>
      <c r="H27" s="56"/>
      <c r="I27" s="56">
        <v>500</v>
      </c>
      <c r="J27" s="56"/>
      <c r="K27" s="56"/>
      <c r="AC27" s="108" t="s">
        <v>1262</v>
      </c>
      <c r="AD27" s="108" t="s">
        <v>133</v>
      </c>
      <c r="AE27" s="108" t="s">
        <v>210</v>
      </c>
      <c r="AF27" s="110">
        <v>2000</v>
      </c>
      <c r="AG27" s="108">
        <v>18</v>
      </c>
      <c r="AH27" s="110">
        <v>0.73856880047718831</v>
      </c>
      <c r="AI27" s="110">
        <v>0.88820643599137017</v>
      </c>
      <c r="AJ27" s="109">
        <v>0.86894984744532189</v>
      </c>
      <c r="AK27" s="109">
        <v>0.22541571844444444</v>
      </c>
      <c r="AL27" s="109">
        <v>1.279156094</v>
      </c>
      <c r="AM27" s="109">
        <v>1.3825469E-2</v>
      </c>
      <c r="AT27" s="182"/>
      <c r="AU27" s="182"/>
      <c r="AV27" s="183"/>
      <c r="AW27" s="183"/>
      <c r="AX27" s="183"/>
      <c r="AY27" s="183"/>
      <c r="AZ27" s="184"/>
      <c r="BA27" s="184"/>
    </row>
    <row r="28" spans="1:54">
      <c r="A28" s="225" t="s">
        <v>789</v>
      </c>
      <c r="B28" s="49">
        <v>0</v>
      </c>
      <c r="C28" s="48">
        <v>4.6534891165172856E-2</v>
      </c>
      <c r="D28" s="48">
        <v>4.2682422940252873E-2</v>
      </c>
      <c r="E28" s="48">
        <v>4.3917812704649645E-2</v>
      </c>
      <c r="F28" s="48">
        <v>6.7459029693331174E-2</v>
      </c>
      <c r="G28" s="48">
        <v>6.3140969928732846E-2</v>
      </c>
      <c r="H28" s="48">
        <v>5.9061886051080557E-2</v>
      </c>
      <c r="I28" s="48">
        <v>0.13619592288534269</v>
      </c>
      <c r="J28" s="48">
        <v>0.12804057086437484</v>
      </c>
      <c r="K28" s="48">
        <v>0.13567004757203124</v>
      </c>
      <c r="AC28" s="108" t="s">
        <v>1110</v>
      </c>
      <c r="AD28" s="108" t="s">
        <v>133</v>
      </c>
      <c r="AE28" s="108" t="s">
        <v>208</v>
      </c>
      <c r="AF28" s="110">
        <v>20</v>
      </c>
      <c r="AG28" s="108">
        <v>18</v>
      </c>
      <c r="AH28" s="110">
        <v>0.99681312776096953</v>
      </c>
      <c r="AI28" s="110">
        <v>0.80675224290701064</v>
      </c>
      <c r="AJ28" s="109">
        <v>0.13603254413267099</v>
      </c>
      <c r="AK28" s="109">
        <v>0.77384942127777778</v>
      </c>
      <c r="AL28" s="109">
        <v>4.2476868019999996</v>
      </c>
      <c r="AM28" s="109">
        <v>2.8217928999999999E-2</v>
      </c>
      <c r="AT28" s="182"/>
      <c r="AU28" s="182"/>
      <c r="AV28" s="183"/>
      <c r="AW28" s="183"/>
      <c r="AX28" s="183"/>
      <c r="AY28" s="183"/>
      <c r="AZ28" s="184"/>
      <c r="BA28" s="184"/>
    </row>
    <row r="29" spans="1:54">
      <c r="A29" s="225"/>
      <c r="B29" s="54">
        <v>0.01</v>
      </c>
      <c r="C29" s="48">
        <v>3.5405598287209579E-2</v>
      </c>
      <c r="D29" s="48">
        <v>3.9646320593268683E-2</v>
      </c>
      <c r="E29" s="48">
        <v>3.5045294027329955E-2</v>
      </c>
      <c r="F29" s="48">
        <v>5.8652586771447295E-2</v>
      </c>
      <c r="G29" s="48">
        <v>5.7491743438206164E-2</v>
      </c>
      <c r="H29" s="48">
        <v>5.9199421268386794E-2</v>
      </c>
      <c r="I29" s="48">
        <v>0.19565217391304349</v>
      </c>
      <c r="J29" s="48">
        <v>0.17189613199891807</v>
      </c>
      <c r="K29" s="48">
        <v>0.19134286466099468</v>
      </c>
      <c r="AT29" s="182"/>
      <c r="AU29" s="182"/>
      <c r="AV29" s="183"/>
      <c r="AW29" s="183"/>
      <c r="AX29" s="183"/>
      <c r="AY29" s="183"/>
      <c r="AZ29" s="184"/>
      <c r="BA29" s="184"/>
    </row>
    <row r="30" spans="1:54">
      <c r="A30" s="225"/>
      <c r="B30" s="54">
        <v>0.05</v>
      </c>
      <c r="C30" s="48">
        <v>3.7095088819226754E-2</v>
      </c>
      <c r="D30" s="48">
        <v>3.7846827843582675E-2</v>
      </c>
      <c r="E30" s="48">
        <v>4.06434184675835E-2</v>
      </c>
      <c r="F30" s="48">
        <v>0.11291137109670904</v>
      </c>
      <c r="G30" s="48">
        <v>0.11047691527143583</v>
      </c>
      <c r="H30" s="48">
        <v>0.11431728880157173</v>
      </c>
      <c r="I30" s="48">
        <v>1.6481016066780363</v>
      </c>
      <c r="J30" s="48">
        <v>1.5390625000000002</v>
      </c>
      <c r="K30" s="48">
        <v>1.5878764610528113</v>
      </c>
      <c r="AT30" s="182"/>
      <c r="AU30" s="182"/>
      <c r="AV30" s="183"/>
      <c r="AW30" s="183"/>
      <c r="AX30" s="183"/>
      <c r="AY30" s="183"/>
      <c r="AZ30" s="184"/>
      <c r="BA30" s="184"/>
    </row>
    <row r="31" spans="1:54">
      <c r="A31" s="225"/>
      <c r="B31" s="54">
        <v>0.1</v>
      </c>
      <c r="C31" s="48">
        <v>3.5857356060010996E-2</v>
      </c>
      <c r="D31" s="48">
        <v>3.6193029490616618E-2</v>
      </c>
      <c r="E31" s="48">
        <v>3.7732074263764404E-2</v>
      </c>
      <c r="F31" s="48">
        <v>0.27648136349155783</v>
      </c>
      <c r="G31" s="48">
        <v>0.29917967505575022</v>
      </c>
      <c r="H31" s="48">
        <v>0.26180377720870679</v>
      </c>
      <c r="I31" s="48">
        <v>3.8774868659030228</v>
      </c>
      <c r="J31" s="48">
        <v>3.8927904211956523</v>
      </c>
      <c r="K31" s="48">
        <v>3.9128715452807232</v>
      </c>
      <c r="AT31" s="182"/>
      <c r="AU31" s="182"/>
      <c r="AV31" s="183"/>
      <c r="AW31" s="183"/>
      <c r="AX31" s="183"/>
      <c r="AY31" s="183"/>
      <c r="AZ31" s="184"/>
      <c r="BA31" s="184"/>
    </row>
    <row r="32" spans="1:54">
      <c r="A32" s="225"/>
      <c r="B32" s="54">
        <v>0.5</v>
      </c>
      <c r="C32" s="48">
        <v>4.2900625205659758E-2</v>
      </c>
      <c r="D32" s="48">
        <v>5.8637013219006801E-2</v>
      </c>
      <c r="E32" s="48">
        <v>4.5987934881414762E-2</v>
      </c>
      <c r="F32" s="48">
        <v>5.5799850572804255</v>
      </c>
      <c r="G32" s="48">
        <v>5.7091577879249114</v>
      </c>
      <c r="H32" s="48">
        <v>5.5525805669978192</v>
      </c>
      <c r="I32" s="48">
        <v>7.0414935754999517</v>
      </c>
      <c r="J32" s="48">
        <v>7.1062089903045731</v>
      </c>
      <c r="K32" s="48">
        <v>6.9442168445121952</v>
      </c>
      <c r="L32" t="s">
        <v>1166</v>
      </c>
      <c r="M32">
        <f t="shared" ref="M32:U32" si="6">C33-C28</f>
        <v>0.99570447866040412</v>
      </c>
      <c r="N32">
        <f t="shared" si="6"/>
        <v>0.96749930673685247</v>
      </c>
      <c r="O32">
        <f t="shared" si="6"/>
        <v>1.0909072668046644</v>
      </c>
      <c r="P32">
        <f t="shared" si="6"/>
        <v>10.522660703420645</v>
      </c>
      <c r="Q32">
        <f t="shared" si="6"/>
        <v>10.06441903377806</v>
      </c>
      <c r="R32">
        <f t="shared" si="6"/>
        <v>10.341857047621925</v>
      </c>
      <c r="S32">
        <f t="shared" si="6"/>
        <v>10.344273306939003</v>
      </c>
      <c r="T32">
        <f t="shared" si="6"/>
        <v>11.196097803621221</v>
      </c>
      <c r="U32">
        <f t="shared" si="6"/>
        <v>9.474522305231158</v>
      </c>
      <c r="AC32" s="4" t="s">
        <v>1341</v>
      </c>
      <c r="AD32" s="4" t="s">
        <v>252</v>
      </c>
      <c r="AE32" s="4" t="s">
        <v>1277</v>
      </c>
      <c r="AF32" s="4" t="s">
        <v>1436</v>
      </c>
      <c r="AG32" s="4" t="s">
        <v>1437</v>
      </c>
      <c r="AH32" s="4" t="s">
        <v>1438</v>
      </c>
      <c r="AI32" s="4" t="s">
        <v>1439</v>
      </c>
      <c r="AJ32" s="4" t="s">
        <v>1440</v>
      </c>
      <c r="AK32" s="4" t="s">
        <v>1441</v>
      </c>
      <c r="AL32" s="4" t="s">
        <v>1442</v>
      </c>
      <c r="AM32" s="4" t="s">
        <v>1443</v>
      </c>
      <c r="AN32" s="4" t="s">
        <v>1444</v>
      </c>
      <c r="AT32" s="182"/>
      <c r="AU32" s="182"/>
      <c r="AV32" s="183"/>
      <c r="AW32" s="183"/>
      <c r="AX32" s="183"/>
      <c r="AY32" s="183"/>
      <c r="AZ32" s="184"/>
      <c r="BA32" s="184"/>
    </row>
    <row r="33" spans="1:53">
      <c r="A33" s="225"/>
      <c r="B33" s="54">
        <v>10</v>
      </c>
      <c r="C33" s="48">
        <v>1.042239369825577</v>
      </c>
      <c r="D33" s="48">
        <v>1.0101817296771054</v>
      </c>
      <c r="E33" s="48">
        <v>1.134825079509314</v>
      </c>
      <c r="F33" s="48">
        <v>10.590119733113976</v>
      </c>
      <c r="G33" s="48">
        <v>10.127560003706794</v>
      </c>
      <c r="H33" s="48">
        <v>10.400918933673006</v>
      </c>
      <c r="I33" s="48">
        <v>10.480469229824346</v>
      </c>
      <c r="J33" s="48">
        <v>11.324138374485596</v>
      </c>
      <c r="K33" s="48">
        <v>9.610192352803189</v>
      </c>
      <c r="L33" t="s">
        <v>1167</v>
      </c>
      <c r="M33">
        <f t="shared" ref="M33:U33" si="7">C33/C28</f>
        <v>22.396944394394513</v>
      </c>
      <c r="N33">
        <f t="shared" si="7"/>
        <v>23.667394212628562</v>
      </c>
      <c r="O33">
        <f t="shared" si="7"/>
        <v>25.839744960458113</v>
      </c>
      <c r="P33">
        <f t="shared" si="7"/>
        <v>156.98594808221631</v>
      </c>
      <c r="Q33">
        <f t="shared" si="7"/>
        <v>160.3960156953205</v>
      </c>
      <c r="R33">
        <f t="shared" si="7"/>
        <v>176.10204531358201</v>
      </c>
      <c r="S33">
        <f t="shared" si="7"/>
        <v>76.951416810379769</v>
      </c>
      <c r="T33">
        <f t="shared" si="7"/>
        <v>88.441798548996857</v>
      </c>
      <c r="U33">
        <f t="shared" si="7"/>
        <v>70.83503341222648</v>
      </c>
      <c r="V33">
        <f>AVERAGE(M33:O33)</f>
        <v>23.968027855827064</v>
      </c>
      <c r="W33">
        <f>AVERAGE(P33:R33)</f>
        <v>164.49466969703963</v>
      </c>
      <c r="X33">
        <f>AVERAGE(S33:U33)</f>
        <v>78.742749590534359</v>
      </c>
      <c r="AC33" s="4" t="s">
        <v>1459</v>
      </c>
      <c r="AD33" s="4" t="s">
        <v>1266</v>
      </c>
      <c r="AE33" s="4" t="s">
        <v>211</v>
      </c>
      <c r="AF33" s="4">
        <v>0</v>
      </c>
      <c r="AG33" s="4">
        <v>0.01</v>
      </c>
      <c r="AH33" s="4" t="s">
        <v>1445</v>
      </c>
      <c r="AI33" s="4">
        <v>0</v>
      </c>
      <c r="AJ33" s="4">
        <v>1</v>
      </c>
      <c r="AK33" s="4">
        <v>5.8028902E-2</v>
      </c>
      <c r="AL33" s="4">
        <v>2.3128759147978E-2</v>
      </c>
      <c r="AM33" s="4">
        <v>-3.49001428520219E-2</v>
      </c>
      <c r="AN33" s="4">
        <v>1.4443765082410101E-3</v>
      </c>
      <c r="AT33" s="182"/>
      <c r="AU33" s="182"/>
      <c r="AV33" s="183"/>
      <c r="AW33" s="183"/>
      <c r="AX33" s="183"/>
      <c r="AY33" s="183"/>
      <c r="AZ33" s="184"/>
      <c r="BA33" s="184"/>
    </row>
    <row r="34" spans="1:53" ht="15" thickBot="1">
      <c r="AC34" s="4" t="s">
        <v>1349</v>
      </c>
      <c r="AD34" s="4" t="s">
        <v>1266</v>
      </c>
      <c r="AE34" s="4" t="s">
        <v>211</v>
      </c>
      <c r="AF34" s="4">
        <v>0</v>
      </c>
      <c r="AG34" s="4">
        <v>0.01</v>
      </c>
      <c r="AH34" s="4" t="s">
        <v>1445</v>
      </c>
      <c r="AI34" s="4">
        <v>0</v>
      </c>
      <c r="AJ34" s="4">
        <v>2</v>
      </c>
      <c r="AK34" s="4">
        <v>5.5123953000000003E-2</v>
      </c>
      <c r="AL34" s="4">
        <v>2.3128759147978E-2</v>
      </c>
      <c r="AM34" s="4">
        <v>-3.1995193852021903E-2</v>
      </c>
      <c r="AN34" s="4">
        <v>1.4443765082410101E-3</v>
      </c>
      <c r="AT34" s="182"/>
      <c r="AU34" s="182"/>
      <c r="AV34" s="183"/>
      <c r="AW34" s="183"/>
      <c r="AX34" s="183"/>
      <c r="AY34" s="183"/>
      <c r="AZ34" s="184"/>
      <c r="BA34" s="184"/>
    </row>
    <row r="35" spans="1:53" ht="15" thickBot="1">
      <c r="B35" s="49"/>
      <c r="G35" s="48"/>
      <c r="H35" s="48"/>
      <c r="I35" s="48"/>
      <c r="J35" s="48"/>
      <c r="K35" s="48"/>
      <c r="L35" t="s">
        <v>1168</v>
      </c>
      <c r="M35">
        <f>M32+M33</f>
        <v>23.392648873054917</v>
      </c>
      <c r="N35">
        <f t="shared" ref="N35:U35" si="8">N32+N33</f>
        <v>24.634893519365413</v>
      </c>
      <c r="O35">
        <f t="shared" si="8"/>
        <v>26.930652227262776</v>
      </c>
      <c r="P35" s="88">
        <f t="shared" si="8"/>
        <v>167.50860878563697</v>
      </c>
      <c r="Q35" s="89">
        <f t="shared" si="8"/>
        <v>170.46043472909855</v>
      </c>
      <c r="R35" s="90">
        <f t="shared" si="8"/>
        <v>186.44390236120393</v>
      </c>
      <c r="S35">
        <f t="shared" si="8"/>
        <v>87.29569011731877</v>
      </c>
      <c r="T35">
        <f t="shared" si="8"/>
        <v>99.637896352618071</v>
      </c>
      <c r="U35">
        <f t="shared" si="8"/>
        <v>80.309555717457641</v>
      </c>
      <c r="AC35" s="4" t="s">
        <v>1349</v>
      </c>
      <c r="AD35" s="4" t="s">
        <v>1266</v>
      </c>
      <c r="AE35" s="4" t="s">
        <v>211</v>
      </c>
      <c r="AF35" s="4">
        <v>0</v>
      </c>
      <c r="AG35" s="4">
        <v>0.01</v>
      </c>
      <c r="AH35" s="4" t="s">
        <v>1445</v>
      </c>
      <c r="AI35" s="4">
        <v>0</v>
      </c>
      <c r="AJ35" s="4">
        <v>3</v>
      </c>
      <c r="AK35" s="4">
        <v>5.3650682999999998E-2</v>
      </c>
      <c r="AL35" s="4">
        <v>2.3128759147978E-2</v>
      </c>
      <c r="AM35" s="4">
        <v>-3.05219238520219E-2</v>
      </c>
      <c r="AN35" s="4">
        <v>1.4443765082410101E-3</v>
      </c>
      <c r="AT35" s="182"/>
      <c r="AU35" s="182"/>
      <c r="AV35" s="183"/>
      <c r="AW35" s="183"/>
      <c r="AX35" s="183"/>
      <c r="AY35" s="183"/>
      <c r="AZ35" s="184"/>
      <c r="BA35" s="184"/>
    </row>
    <row r="36" spans="1:53" ht="17.25">
      <c r="C36" s="224" t="s">
        <v>1681</v>
      </c>
      <c r="D36" s="224"/>
      <c r="E36" s="224"/>
      <c r="F36" s="224"/>
      <c r="G36" s="224"/>
      <c r="H36" s="224"/>
      <c r="I36" s="224"/>
      <c r="J36" s="224"/>
      <c r="K36" s="224"/>
      <c r="AC36" s="4" t="s">
        <v>1349</v>
      </c>
      <c r="AD36" s="4" t="s">
        <v>1266</v>
      </c>
      <c r="AE36" s="4" t="s">
        <v>211</v>
      </c>
      <c r="AF36" s="4">
        <v>0</v>
      </c>
      <c r="AG36" s="4">
        <v>0.01</v>
      </c>
      <c r="AH36" s="4" t="s">
        <v>1446</v>
      </c>
      <c r="AI36" s="4">
        <v>100</v>
      </c>
      <c r="AJ36" s="4">
        <v>1</v>
      </c>
      <c r="AK36" s="4">
        <v>0.17648365299999999</v>
      </c>
      <c r="AL36" s="4">
        <v>2.33064973919563E-2</v>
      </c>
      <c r="AM36" s="4">
        <v>-0.15317715560804299</v>
      </c>
      <c r="AN36" s="4">
        <v>1.46702415190843E-3</v>
      </c>
      <c r="AT36" s="182"/>
      <c r="AU36" s="182"/>
      <c r="AV36" s="183"/>
      <c r="AW36" s="183"/>
      <c r="AX36" s="183"/>
      <c r="AY36" s="183"/>
      <c r="AZ36" s="184"/>
      <c r="BA36" s="184"/>
    </row>
    <row r="37" spans="1:53">
      <c r="A37" s="50" t="s">
        <v>786</v>
      </c>
      <c r="B37" s="51"/>
      <c r="C37" s="48">
        <v>1.4566296728971966E-2</v>
      </c>
      <c r="D37" s="48">
        <v>1.3647739715313627E-2</v>
      </c>
      <c r="E37" s="48">
        <v>1.4850434905593665E-2</v>
      </c>
      <c r="F37" s="48">
        <v>0.50441357354750016</v>
      </c>
      <c r="G37" s="48">
        <v>0.47348653874758295</v>
      </c>
      <c r="H37" s="48">
        <v>0.46238017154389505</v>
      </c>
      <c r="I37" s="48">
        <v>3.4532262710643815</v>
      </c>
      <c r="J37" s="48">
        <v>3.1536521318499067</v>
      </c>
      <c r="K37" s="48">
        <v>3.3410637184351692</v>
      </c>
      <c r="AC37" s="4" t="s">
        <v>1349</v>
      </c>
      <c r="AD37" s="4" t="s">
        <v>1266</v>
      </c>
      <c r="AE37" s="4" t="s">
        <v>211</v>
      </c>
      <c r="AF37" s="4">
        <v>0</v>
      </c>
      <c r="AG37" s="4">
        <v>0.01</v>
      </c>
      <c r="AH37" s="4" t="s">
        <v>1446</v>
      </c>
      <c r="AI37" s="4">
        <v>100</v>
      </c>
      <c r="AJ37" s="4">
        <v>2</v>
      </c>
      <c r="AK37" s="4">
        <v>0.176864575</v>
      </c>
      <c r="AL37" s="4">
        <v>2.33064973919563E-2</v>
      </c>
      <c r="AM37" s="4">
        <v>-0.15355807760804299</v>
      </c>
      <c r="AN37" s="4">
        <v>1.46702415190843E-3</v>
      </c>
      <c r="AT37" s="182"/>
      <c r="AU37" s="182"/>
      <c r="AV37" s="183"/>
      <c r="AW37" s="183"/>
      <c r="AX37" s="183"/>
      <c r="AY37" s="183"/>
      <c r="AZ37" s="184"/>
      <c r="BA37" s="184"/>
    </row>
    <row r="38" spans="1:53">
      <c r="A38" s="52" t="s">
        <v>787</v>
      </c>
      <c r="B38" s="53"/>
      <c r="C38" s="226">
        <v>0</v>
      </c>
      <c r="D38" s="226"/>
      <c r="E38" s="226"/>
      <c r="F38" s="226">
        <v>20</v>
      </c>
      <c r="G38" s="226"/>
      <c r="H38" s="226"/>
      <c r="I38" s="226">
        <v>500</v>
      </c>
      <c r="J38" s="226"/>
      <c r="K38" s="226"/>
      <c r="AC38" s="4" t="s">
        <v>1349</v>
      </c>
      <c r="AD38" s="4" t="s">
        <v>1266</v>
      </c>
      <c r="AE38" s="4" t="s">
        <v>211</v>
      </c>
      <c r="AF38" s="4">
        <v>0</v>
      </c>
      <c r="AG38" s="4">
        <v>0.01</v>
      </c>
      <c r="AH38" s="4" t="s">
        <v>1446</v>
      </c>
      <c r="AI38" s="4">
        <v>100</v>
      </c>
      <c r="AJ38" s="4">
        <v>3</v>
      </c>
      <c r="AK38" s="4">
        <v>0.19563345100000001</v>
      </c>
      <c r="AL38" s="4">
        <v>2.33064973919563E-2</v>
      </c>
      <c r="AM38" s="4">
        <v>-0.17232695360804301</v>
      </c>
      <c r="AN38" s="4">
        <v>1.46702415190843E-3</v>
      </c>
      <c r="AT38" s="185"/>
      <c r="AU38" s="185"/>
      <c r="AV38" s="186"/>
      <c r="AW38" s="186"/>
      <c r="AX38" s="186"/>
      <c r="AY38" s="186"/>
      <c r="AZ38" s="187"/>
      <c r="BA38" s="187"/>
    </row>
    <row r="39" spans="1:53">
      <c r="A39" s="225" t="s">
        <v>789</v>
      </c>
      <c r="B39" s="49">
        <v>0</v>
      </c>
      <c r="C39" s="48">
        <v>5.7933981233243975E-2</v>
      </c>
      <c r="D39" s="48">
        <v>5.602252002220285E-2</v>
      </c>
      <c r="E39" s="48">
        <v>6.3123625909014047E-2</v>
      </c>
      <c r="F39" s="48">
        <v>5.9453647658489976E-2</v>
      </c>
      <c r="G39" s="48">
        <v>7.4458975556593504E-2</v>
      </c>
      <c r="H39" s="48">
        <v>7.114671296661669E-2</v>
      </c>
      <c r="I39" s="48">
        <v>5.7833988212180755E-2</v>
      </c>
      <c r="J39" s="48">
        <v>5.8797164045310088E-2</v>
      </c>
      <c r="K39" s="48">
        <v>5.6788039546660243E-2</v>
      </c>
      <c r="AC39" s="4" t="s">
        <v>1349</v>
      </c>
      <c r="AD39" s="4" t="s">
        <v>1266</v>
      </c>
      <c r="AE39" s="4" t="s">
        <v>211</v>
      </c>
      <c r="AF39" s="4">
        <v>20</v>
      </c>
      <c r="AG39" s="4">
        <v>0.4</v>
      </c>
      <c r="AH39" s="4" t="s">
        <v>1445</v>
      </c>
      <c r="AI39" s="4">
        <v>0</v>
      </c>
      <c r="AJ39" s="4">
        <v>1</v>
      </c>
      <c r="AK39" s="4">
        <v>5.8032747059999998</v>
      </c>
      <c r="AL39" s="4">
        <v>5.4918904946584002</v>
      </c>
      <c r="AM39" s="4">
        <v>-0.311384211341594</v>
      </c>
      <c r="AN39" s="4">
        <v>0.69828127731089495</v>
      </c>
    </row>
    <row r="40" spans="1:53">
      <c r="A40" s="225"/>
      <c r="B40" s="54">
        <v>0.1</v>
      </c>
      <c r="C40" s="48">
        <v>5.1336427656850203E-2</v>
      </c>
      <c r="D40" s="48">
        <v>4.9100031857279389E-2</v>
      </c>
      <c r="E40" s="48">
        <v>5.9976777420507332E-2</v>
      </c>
      <c r="F40" s="48">
        <v>5.8797874871144247E-2</v>
      </c>
      <c r="G40" s="48">
        <v>5.3530751708428255E-2</v>
      </c>
      <c r="H40" s="48">
        <v>6.0446831698583225E-2</v>
      </c>
      <c r="I40" s="48">
        <v>6.1374330683108887E-2</v>
      </c>
      <c r="J40" s="48">
        <v>7.3433310991957115E-2</v>
      </c>
      <c r="K40" s="48">
        <v>6.9487262696738605E-2</v>
      </c>
      <c r="AC40" s="4" t="s">
        <v>1349</v>
      </c>
      <c r="AD40" s="4" t="s">
        <v>1266</v>
      </c>
      <c r="AE40" s="4" t="s">
        <v>211</v>
      </c>
      <c r="AF40" s="4">
        <v>20</v>
      </c>
      <c r="AG40" s="4">
        <v>0.4</v>
      </c>
      <c r="AH40" s="4" t="s">
        <v>1445</v>
      </c>
      <c r="AI40" s="4">
        <v>0</v>
      </c>
      <c r="AJ40" s="4">
        <v>2</v>
      </c>
      <c r="AK40" s="4">
        <v>5.3917008879999999</v>
      </c>
      <c r="AL40" s="4">
        <v>5.4918904946584002</v>
      </c>
      <c r="AM40" s="4">
        <v>0.100189606658405</v>
      </c>
      <c r="AN40" s="4">
        <v>0.69828127731089495</v>
      </c>
    </row>
    <row r="41" spans="1:53">
      <c r="A41" s="225"/>
      <c r="B41" s="54">
        <v>0.5</v>
      </c>
      <c r="C41" s="48">
        <v>5.6386142593039153E-2</v>
      </c>
      <c r="D41" s="48">
        <v>5.6418999286337333E-2</v>
      </c>
      <c r="E41" s="48">
        <v>5.7860783689072964E-2</v>
      </c>
      <c r="F41" s="48">
        <v>0.16360607469394081</v>
      </c>
      <c r="G41" s="48">
        <v>0.14318216874903594</v>
      </c>
      <c r="H41" s="48">
        <v>0.15485822009268715</v>
      </c>
      <c r="I41" s="48">
        <v>2.1264372373324876</v>
      </c>
      <c r="J41" s="48">
        <v>2.3173814716097247</v>
      </c>
      <c r="K41" s="48">
        <v>2.2136124420705365</v>
      </c>
      <c r="AC41" s="4" t="s">
        <v>1349</v>
      </c>
      <c r="AD41" s="4" t="s">
        <v>1266</v>
      </c>
      <c r="AE41" s="4" t="s">
        <v>211</v>
      </c>
      <c r="AF41" s="4">
        <v>20</v>
      </c>
      <c r="AG41" s="4">
        <v>0.4</v>
      </c>
      <c r="AH41" s="4" t="s">
        <v>1445</v>
      </c>
      <c r="AI41" s="4">
        <v>0</v>
      </c>
      <c r="AJ41" s="4">
        <v>3</v>
      </c>
      <c r="AK41" s="4">
        <v>5.5940561420000003</v>
      </c>
      <c r="AL41" s="4">
        <v>5.4918904946584002</v>
      </c>
      <c r="AM41" s="4">
        <v>-0.102165647341594</v>
      </c>
      <c r="AN41" s="4">
        <v>0.69828127731089495</v>
      </c>
    </row>
    <row r="42" spans="1:53">
      <c r="A42" s="225"/>
      <c r="B42" s="54">
        <v>5</v>
      </c>
      <c r="C42" s="48">
        <v>6.2012699943734435E-2</v>
      </c>
      <c r="D42" s="48">
        <v>5.0162621966474856E-2</v>
      </c>
      <c r="E42" s="48">
        <v>5.6672688712591318E-2</v>
      </c>
      <c r="F42" s="48">
        <v>3.885090110555808</v>
      </c>
      <c r="G42" s="48">
        <v>4.1004447459671338</v>
      </c>
      <c r="H42" s="48">
        <v>3.9734121671872678</v>
      </c>
      <c r="I42" s="48">
        <v>6.0913040303738315</v>
      </c>
      <c r="J42" s="48">
        <v>6.288598839803659</v>
      </c>
      <c r="K42" s="48">
        <v>6.2607095046854084</v>
      </c>
      <c r="AC42" s="4" t="s">
        <v>1349</v>
      </c>
      <c r="AD42" s="4" t="s">
        <v>1266</v>
      </c>
      <c r="AE42" s="4" t="s">
        <v>211</v>
      </c>
      <c r="AF42" s="4">
        <v>20</v>
      </c>
      <c r="AG42" s="4">
        <v>0.4</v>
      </c>
      <c r="AH42" s="4" t="s">
        <v>1446</v>
      </c>
      <c r="AI42" s="4">
        <v>100</v>
      </c>
      <c r="AJ42" s="4">
        <v>1</v>
      </c>
      <c r="AK42" s="4">
        <v>5.2837902149999998</v>
      </c>
      <c r="AL42" s="4">
        <v>5.5175728336191296</v>
      </c>
      <c r="AM42" s="4">
        <v>0.23378261861913399</v>
      </c>
      <c r="AN42" s="4">
        <v>0.70155375513170604</v>
      </c>
    </row>
    <row r="43" spans="1:53">
      <c r="A43" s="225"/>
      <c r="B43" s="54">
        <v>50</v>
      </c>
      <c r="C43" s="48">
        <v>7.8145006402048661E-2</v>
      </c>
      <c r="D43" s="48">
        <v>9.66655849423982E-2</v>
      </c>
      <c r="E43" s="48">
        <v>8.2593668996936626E-2</v>
      </c>
      <c r="F43" s="48">
        <v>6.0661512027491407</v>
      </c>
      <c r="G43" s="48">
        <v>6.2604307369052981</v>
      </c>
      <c r="H43" s="48">
        <v>6.2565583896519152</v>
      </c>
      <c r="I43" s="48">
        <v>5.8766118930071478</v>
      </c>
      <c r="J43" s="48">
        <v>5.7993714978040289</v>
      </c>
      <c r="K43" s="48">
        <v>6.1212628290941549</v>
      </c>
      <c r="L43" t="s">
        <v>1166</v>
      </c>
      <c r="M43">
        <f t="shared" ref="M43:U43" si="9">C44-C39</f>
        <v>4.2683882054727257E-2</v>
      </c>
      <c r="N43">
        <f t="shared" si="9"/>
        <v>4.853093708407117E-2</v>
      </c>
      <c r="O43">
        <f t="shared" si="9"/>
        <v>5.1181082365661393E-2</v>
      </c>
      <c r="P43">
        <f t="shared" si="9"/>
        <v>5.9767593615304255</v>
      </c>
      <c r="Q43">
        <f t="shared" si="9"/>
        <v>6.1815902826891218</v>
      </c>
      <c r="R43">
        <f t="shared" si="9"/>
        <v>6.2120229522903543</v>
      </c>
      <c r="S43">
        <f t="shared" si="9"/>
        <v>5.5840515482902431</v>
      </c>
      <c r="T43">
        <f t="shared" si="9"/>
        <v>5.4861745614628665</v>
      </c>
      <c r="U43">
        <f t="shared" si="9"/>
        <v>5.8752385537591625</v>
      </c>
      <c r="AC43" s="4" t="s">
        <v>1349</v>
      </c>
      <c r="AD43" s="4" t="s">
        <v>1266</v>
      </c>
      <c r="AE43" s="4" t="s">
        <v>211</v>
      </c>
      <c r="AF43" s="4">
        <v>20</v>
      </c>
      <c r="AG43" s="4">
        <v>0.4</v>
      </c>
      <c r="AH43" s="4" t="s">
        <v>1446</v>
      </c>
      <c r="AI43" s="4">
        <v>100</v>
      </c>
      <c r="AJ43" s="4">
        <v>2</v>
      </c>
      <c r="AK43" s="4">
        <v>5.4833826759999997</v>
      </c>
      <c r="AL43" s="4">
        <v>5.5175728336191296</v>
      </c>
      <c r="AM43" s="4">
        <v>3.4190157619134298E-2</v>
      </c>
      <c r="AN43" s="4">
        <v>0.70155375513170604</v>
      </c>
    </row>
    <row r="44" spans="1:53">
      <c r="A44" s="225"/>
      <c r="B44" s="54">
        <v>500</v>
      </c>
      <c r="C44" s="48">
        <v>0.10061786328797123</v>
      </c>
      <c r="D44" s="48">
        <v>0.10455345710627402</v>
      </c>
      <c r="E44" s="48">
        <v>0.11430470827467544</v>
      </c>
      <c r="F44" s="48">
        <v>6.0362130091889155</v>
      </c>
      <c r="G44" s="48">
        <v>6.2560492582457154</v>
      </c>
      <c r="H44" s="48">
        <v>6.2831696652569713</v>
      </c>
      <c r="I44" s="48">
        <v>5.6418855365024241</v>
      </c>
      <c r="J44" s="48">
        <v>5.5449717255081765</v>
      </c>
      <c r="K44" s="48">
        <v>5.9320265933058227</v>
      </c>
      <c r="L44" t="s">
        <v>1167</v>
      </c>
      <c r="M44">
        <f t="shared" ref="M44:U44" si="10">C44/C39</f>
        <v>1.7367676300870925</v>
      </c>
      <c r="N44">
        <f t="shared" si="10"/>
        <v>1.8662755096492871</v>
      </c>
      <c r="O44">
        <f t="shared" si="10"/>
        <v>1.8108070730828019</v>
      </c>
      <c r="P44">
        <f t="shared" si="10"/>
        <v>101.52805163211789</v>
      </c>
      <c r="Q44">
        <f t="shared" si="10"/>
        <v>84.020082353815425</v>
      </c>
      <c r="R44">
        <f t="shared" si="10"/>
        <v>88.312859488043344</v>
      </c>
      <c r="S44">
        <f t="shared" si="10"/>
        <v>97.553112121604528</v>
      </c>
      <c r="T44">
        <f t="shared" si="10"/>
        <v>94.306788695371893</v>
      </c>
      <c r="U44">
        <f t="shared" si="10"/>
        <v>104.45908400186515</v>
      </c>
      <c r="V44">
        <f>AVERAGE(M44:O44)</f>
        <v>1.8046167376063937</v>
      </c>
      <c r="W44">
        <f>AVERAGE(P44:R44)</f>
        <v>91.286997824658883</v>
      </c>
      <c r="X44">
        <f>AVERAGE(S44:U44)</f>
        <v>98.772994939613852</v>
      </c>
      <c r="AC44" s="4" t="s">
        <v>1349</v>
      </c>
      <c r="AD44" s="4" t="s">
        <v>1266</v>
      </c>
      <c r="AE44" s="4" t="s">
        <v>211</v>
      </c>
      <c r="AF44" s="4">
        <v>20</v>
      </c>
      <c r="AG44" s="4">
        <v>0.4</v>
      </c>
      <c r="AH44" s="4" t="s">
        <v>1446</v>
      </c>
      <c r="AI44" s="4">
        <v>100</v>
      </c>
      <c r="AJ44" s="4">
        <v>3</v>
      </c>
      <c r="AK44" s="4">
        <v>6.0265772719999999</v>
      </c>
      <c r="AL44" s="4">
        <v>5.5175728336191296</v>
      </c>
      <c r="AM44" s="4">
        <v>-0.50900443838086495</v>
      </c>
      <c r="AN44" s="4">
        <v>0.70155375513170604</v>
      </c>
    </row>
    <row r="45" spans="1:53">
      <c r="AC45" s="4" t="s">
        <v>1349</v>
      </c>
      <c r="AD45" s="4" t="s">
        <v>1266</v>
      </c>
      <c r="AE45" s="4" t="s">
        <v>211</v>
      </c>
      <c r="AF45" s="4">
        <v>500</v>
      </c>
      <c r="AG45" s="4">
        <v>3.02</v>
      </c>
      <c r="AH45" s="4" t="s">
        <v>1445</v>
      </c>
      <c r="AI45" s="4">
        <v>0</v>
      </c>
      <c r="AJ45" s="4">
        <v>1</v>
      </c>
      <c r="AK45" s="4">
        <v>4.7857478560000004</v>
      </c>
      <c r="AL45" s="4">
        <v>7.8007315135619404</v>
      </c>
      <c r="AM45" s="4">
        <v>3.01498365756194</v>
      </c>
      <c r="AN45" s="4">
        <v>0.99247687365801196</v>
      </c>
    </row>
    <row r="46" spans="1:53">
      <c r="B46" s="49"/>
      <c r="G46" s="48"/>
      <c r="H46" s="48"/>
      <c r="I46" s="48"/>
      <c r="J46" s="48"/>
      <c r="K46" s="48"/>
      <c r="L46" t="s">
        <v>1168</v>
      </c>
      <c r="M46">
        <f>M43+M44</f>
        <v>1.7794515121418197</v>
      </c>
      <c r="N46">
        <f t="shared" ref="N46:U46" si="11">N43+N44</f>
        <v>1.9148064467333583</v>
      </c>
      <c r="O46">
        <f t="shared" si="11"/>
        <v>1.8619881554484632</v>
      </c>
      <c r="P46">
        <f t="shared" si="11"/>
        <v>107.50481099364832</v>
      </c>
      <c r="Q46">
        <f t="shared" si="11"/>
        <v>90.201672636504554</v>
      </c>
      <c r="R46">
        <f t="shared" si="11"/>
        <v>94.524882440333698</v>
      </c>
      <c r="S46" s="67">
        <f t="shared" si="11"/>
        <v>103.13716366989478</v>
      </c>
      <c r="T46" s="67">
        <f t="shared" si="11"/>
        <v>99.792963256834753</v>
      </c>
      <c r="U46" s="67">
        <f t="shared" si="11"/>
        <v>110.33432255562431</v>
      </c>
      <c r="AC46" s="4" t="s">
        <v>1349</v>
      </c>
      <c r="AD46" s="4" t="s">
        <v>1266</v>
      </c>
      <c r="AE46" s="4" t="s">
        <v>211</v>
      </c>
      <c r="AF46" s="4">
        <v>500</v>
      </c>
      <c r="AG46" s="4">
        <v>3.02</v>
      </c>
      <c r="AH46" s="4" t="s">
        <v>1445</v>
      </c>
      <c r="AI46" s="4">
        <v>0</v>
      </c>
      <c r="AJ46" s="4">
        <v>2</v>
      </c>
      <c r="AK46" s="4">
        <v>4.854189012</v>
      </c>
      <c r="AL46" s="4">
        <v>7.8007315135619404</v>
      </c>
      <c r="AM46" s="4">
        <v>2.94654250156194</v>
      </c>
      <c r="AN46" s="4">
        <v>0.99247687365801196</v>
      </c>
    </row>
    <row r="47" spans="1:53" ht="17.25">
      <c r="C47" s="224" t="s">
        <v>1682</v>
      </c>
      <c r="D47" s="224"/>
      <c r="E47" s="224"/>
      <c r="F47" s="224"/>
      <c r="G47" s="224"/>
      <c r="H47" s="224"/>
      <c r="I47" s="224"/>
      <c r="J47" s="224"/>
      <c r="K47" s="224"/>
      <c r="AC47" s="4" t="s">
        <v>1349</v>
      </c>
      <c r="AD47" s="4" t="s">
        <v>1266</v>
      </c>
      <c r="AE47" s="4" t="s">
        <v>211</v>
      </c>
      <c r="AF47" s="4">
        <v>500</v>
      </c>
      <c r="AG47" s="4">
        <v>3.02</v>
      </c>
      <c r="AH47" s="4" t="s">
        <v>1445</v>
      </c>
      <c r="AI47" s="4">
        <v>0</v>
      </c>
      <c r="AJ47" s="4">
        <v>3</v>
      </c>
      <c r="AK47" s="4">
        <v>4.9012912980000003</v>
      </c>
      <c r="AL47" s="4">
        <v>7.8007315135619404</v>
      </c>
      <c r="AM47" s="4">
        <v>2.8994402155619401</v>
      </c>
      <c r="AN47" s="4">
        <v>0.99247687365801196</v>
      </c>
    </row>
    <row r="48" spans="1:53">
      <c r="A48" s="50" t="s">
        <v>786</v>
      </c>
      <c r="B48" s="51"/>
      <c r="C48" s="48">
        <v>1.4566296728971966E-2</v>
      </c>
      <c r="D48" s="48">
        <v>1.3647739715313627E-2</v>
      </c>
      <c r="E48" s="48">
        <v>1.4850434905593665E-2</v>
      </c>
      <c r="F48" s="48">
        <v>0.50441357354750016</v>
      </c>
      <c r="G48" s="48">
        <v>0.47348653874758295</v>
      </c>
      <c r="H48" s="48">
        <v>0.46238017154389505</v>
      </c>
      <c r="I48" s="48">
        <v>3.4532262710643815</v>
      </c>
      <c r="J48" s="48">
        <v>3.1536521318499067</v>
      </c>
      <c r="K48" s="48">
        <v>3.3410637184351692</v>
      </c>
      <c r="AC48" s="4" t="s">
        <v>1349</v>
      </c>
      <c r="AD48" s="4" t="s">
        <v>1266</v>
      </c>
      <c r="AE48" s="4" t="s">
        <v>211</v>
      </c>
      <c r="AF48" s="4">
        <v>500</v>
      </c>
      <c r="AG48" s="4">
        <v>3.02</v>
      </c>
      <c r="AH48" s="4" t="s">
        <v>1446</v>
      </c>
      <c r="AI48" s="4">
        <v>100</v>
      </c>
      <c r="AJ48" s="4">
        <v>1</v>
      </c>
      <c r="AK48" s="4">
        <v>5.2856870960000002</v>
      </c>
      <c r="AL48" s="4">
        <v>7.8016375394890796</v>
      </c>
      <c r="AM48" s="4">
        <v>2.51595044348907</v>
      </c>
      <c r="AN48" s="4">
        <v>0.99259232068782399</v>
      </c>
    </row>
    <row r="49" spans="1:40">
      <c r="A49" s="52" t="s">
        <v>787</v>
      </c>
      <c r="B49" s="53"/>
      <c r="C49" s="226">
        <v>0</v>
      </c>
      <c r="D49" s="226"/>
      <c r="E49" s="226"/>
      <c r="F49" s="226">
        <v>20</v>
      </c>
      <c r="G49" s="226"/>
      <c r="H49" s="226"/>
      <c r="I49" s="226">
        <v>500</v>
      </c>
      <c r="J49" s="226"/>
      <c r="K49" s="226"/>
      <c r="AC49" s="4" t="s">
        <v>1349</v>
      </c>
      <c r="AD49" s="4" t="s">
        <v>1266</v>
      </c>
      <c r="AE49" s="4" t="s">
        <v>211</v>
      </c>
      <c r="AF49" s="4">
        <v>500</v>
      </c>
      <c r="AG49" s="4">
        <v>3.02</v>
      </c>
      <c r="AH49" s="4" t="s">
        <v>1446</v>
      </c>
      <c r="AI49" s="4">
        <v>100</v>
      </c>
      <c r="AJ49" s="4">
        <v>2</v>
      </c>
      <c r="AK49" s="4">
        <v>5.6721937179999999</v>
      </c>
      <c r="AL49" s="4">
        <v>7.8016375394890796</v>
      </c>
      <c r="AM49" s="4">
        <v>2.1294438214890699</v>
      </c>
      <c r="AN49" s="4">
        <v>0.99259232068782399</v>
      </c>
    </row>
    <row r="50" spans="1:40">
      <c r="A50" s="225" t="s">
        <v>788</v>
      </c>
      <c r="B50" s="49">
        <v>0</v>
      </c>
      <c r="C50" s="48">
        <v>0.45687320802803444</v>
      </c>
      <c r="D50" s="48">
        <v>0.42900411921492609</v>
      </c>
      <c r="E50" s="48">
        <v>0.46523574386747374</v>
      </c>
      <c r="F50" s="48">
        <v>0.69074103713188229</v>
      </c>
      <c r="G50" s="48">
        <v>0.70273348519362189</v>
      </c>
      <c r="H50" s="48">
        <v>0.79825590489597997</v>
      </c>
      <c r="I50" s="48">
        <v>0.69038934263738005</v>
      </c>
      <c r="J50" s="48">
        <v>0.72552010010949475</v>
      </c>
      <c r="K50" s="48">
        <v>0.65089152462493127</v>
      </c>
      <c r="AC50" s="4" t="s">
        <v>1349</v>
      </c>
      <c r="AD50" s="4" t="s">
        <v>1266</v>
      </c>
      <c r="AE50" s="4" t="s">
        <v>211</v>
      </c>
      <c r="AF50" s="4">
        <v>500</v>
      </c>
      <c r="AG50" s="4">
        <v>3.02</v>
      </c>
      <c r="AH50" s="4" t="s">
        <v>1446</v>
      </c>
      <c r="AI50" s="4">
        <v>100</v>
      </c>
      <c r="AJ50" s="4">
        <v>3</v>
      </c>
      <c r="AK50" s="4">
        <v>5.4880510149999999</v>
      </c>
      <c r="AL50" s="4">
        <v>7.8016375394890796</v>
      </c>
      <c r="AM50" s="4">
        <v>2.3135865244890699</v>
      </c>
      <c r="AN50" s="4">
        <v>0.99259232068782399</v>
      </c>
    </row>
    <row r="51" spans="1:40">
      <c r="A51" s="225"/>
      <c r="B51" s="54">
        <v>0.1</v>
      </c>
      <c r="C51" s="48">
        <v>0.39511482913740037</v>
      </c>
      <c r="D51" s="48">
        <v>0.35089160018770532</v>
      </c>
      <c r="E51" s="48">
        <v>0.39664476771468793</v>
      </c>
      <c r="F51" s="48">
        <v>0.65674139810057608</v>
      </c>
      <c r="G51" s="48">
        <v>0.68692261093442375</v>
      </c>
      <c r="H51" s="48">
        <v>0.71867802855826812</v>
      </c>
      <c r="I51" s="48">
        <v>0.84608805592741343</v>
      </c>
      <c r="J51" s="48">
        <v>1.0092935369427736</v>
      </c>
      <c r="K51" s="48">
        <v>0.93448249267314532</v>
      </c>
      <c r="AC51" s="4" t="s">
        <v>1350</v>
      </c>
      <c r="AD51" s="4" t="s">
        <v>236</v>
      </c>
      <c r="AE51" s="4" t="s">
        <v>205</v>
      </c>
      <c r="AF51" s="4">
        <v>0</v>
      </c>
      <c r="AG51" s="4">
        <v>0.01</v>
      </c>
      <c r="AH51" s="4" t="s">
        <v>1445</v>
      </c>
      <c r="AI51" s="4">
        <v>0</v>
      </c>
      <c r="AJ51" s="4">
        <v>1</v>
      </c>
      <c r="AK51" s="4">
        <v>0.111972185</v>
      </c>
      <c r="AL51" s="4">
        <v>3.4856240740352797E-2</v>
      </c>
      <c r="AM51" s="4">
        <v>-7.7115944259647101E-2</v>
      </c>
      <c r="AN51" s="106">
        <v>2.5712397419232299E-5</v>
      </c>
    </row>
    <row r="52" spans="1:40">
      <c r="A52" s="225"/>
      <c r="B52" s="54">
        <v>5</v>
      </c>
      <c r="C52" s="48">
        <v>0.49350907932462568</v>
      </c>
      <c r="D52" s="48">
        <v>0.49123864641106024</v>
      </c>
      <c r="E52" s="48">
        <v>0.5578116408766004</v>
      </c>
      <c r="F52" s="48">
        <v>3.5366261871399658</v>
      </c>
      <c r="G52" s="48">
        <v>3.6335435154912035</v>
      </c>
      <c r="H52" s="48">
        <v>3.7483878397052051</v>
      </c>
      <c r="I52" s="48">
        <v>4.4923575544174135</v>
      </c>
      <c r="J52" s="48">
        <v>4.2377556841333224</v>
      </c>
      <c r="K52" s="48">
        <v>4.849060344144001</v>
      </c>
      <c r="AC52" s="4" t="s">
        <v>1350</v>
      </c>
      <c r="AD52" s="4" t="s">
        <v>236</v>
      </c>
      <c r="AE52" s="4" t="s">
        <v>205</v>
      </c>
      <c r="AF52" s="4">
        <v>0</v>
      </c>
      <c r="AG52" s="4">
        <v>0.01</v>
      </c>
      <c r="AH52" s="4" t="s">
        <v>1445</v>
      </c>
      <c r="AI52" s="4">
        <v>0</v>
      </c>
      <c r="AJ52" s="4">
        <v>2</v>
      </c>
      <c r="AK52" s="4">
        <v>0.103110126</v>
      </c>
      <c r="AL52" s="4">
        <v>3.4856240740352797E-2</v>
      </c>
      <c r="AM52" s="4">
        <v>-6.8253885259647096E-2</v>
      </c>
      <c r="AN52" s="106">
        <v>2.5712397419232299E-5</v>
      </c>
    </row>
    <row r="53" spans="1:40">
      <c r="A53" s="225"/>
      <c r="B53" s="54">
        <v>50</v>
      </c>
      <c r="C53" s="48">
        <v>0.73562440267601148</v>
      </c>
      <c r="D53" s="48">
        <v>0.74907268566016894</v>
      </c>
      <c r="E53" s="48">
        <v>0.86590802440168946</v>
      </c>
      <c r="F53" s="48">
        <v>8.0227413606074691</v>
      </c>
      <c r="G53" s="48">
        <v>7.9519676380488571</v>
      </c>
      <c r="H53" s="48">
        <v>8.3167906400123979</v>
      </c>
      <c r="I53" s="48">
        <v>9.2685265567042858</v>
      </c>
      <c r="J53" s="48">
        <v>9.0213123729078681</v>
      </c>
      <c r="K53" s="48">
        <v>9.4349619040138251</v>
      </c>
      <c r="L53" t="s">
        <v>1166</v>
      </c>
      <c r="M53">
        <f>C54-C50</f>
        <v>0.41277568051175051</v>
      </c>
      <c r="N53">
        <f t="shared" ref="N53:U53" si="12">D54-D50</f>
        <v>0.40569072015354468</v>
      </c>
      <c r="O53">
        <f t="shared" si="12"/>
        <v>0.30746026713665281</v>
      </c>
      <c r="P53">
        <f t="shared" si="12"/>
        <v>9.4505463084022967</v>
      </c>
      <c r="Q53">
        <f t="shared" si="12"/>
        <v>9.2489774558239368</v>
      </c>
      <c r="R53">
        <f t="shared" si="12"/>
        <v>9.667214140466136</v>
      </c>
      <c r="S53">
        <f t="shared" si="12"/>
        <v>9.7264278751774036</v>
      </c>
      <c r="T53">
        <f t="shared" si="12"/>
        <v>9.6868474724377176</v>
      </c>
      <c r="U53">
        <f t="shared" si="12"/>
        <v>10.402288744724412</v>
      </c>
      <c r="AC53" s="4" t="s">
        <v>1350</v>
      </c>
      <c r="AD53" s="4" t="s">
        <v>236</v>
      </c>
      <c r="AE53" s="4" t="s">
        <v>205</v>
      </c>
      <c r="AF53" s="4">
        <v>0</v>
      </c>
      <c r="AG53" s="4">
        <v>0.01</v>
      </c>
      <c r="AH53" s="4" t="s">
        <v>1445</v>
      </c>
      <c r="AI53" s="4">
        <v>0</v>
      </c>
      <c r="AJ53" s="4">
        <v>3</v>
      </c>
      <c r="AK53" s="4">
        <v>9.1099950999999998E-2</v>
      </c>
      <c r="AL53" s="4">
        <v>3.4856240740352797E-2</v>
      </c>
      <c r="AM53" s="4">
        <v>-5.6243710259647098E-2</v>
      </c>
      <c r="AN53" s="106">
        <v>2.5712397419232299E-5</v>
      </c>
    </row>
    <row r="54" spans="1:40">
      <c r="A54" s="225"/>
      <c r="B54" s="54">
        <v>200</v>
      </c>
      <c r="C54" s="48">
        <v>0.86964888853978495</v>
      </c>
      <c r="D54" s="48">
        <v>0.83469483936847078</v>
      </c>
      <c r="E54" s="48">
        <v>0.77269601100412655</v>
      </c>
      <c r="F54" s="48">
        <v>10.141287345534179</v>
      </c>
      <c r="G54" s="48">
        <v>9.9517109410175593</v>
      </c>
      <c r="H54" s="48">
        <v>10.465470045362116</v>
      </c>
      <c r="I54" s="48">
        <v>10.416817217814783</v>
      </c>
      <c r="J54" s="48">
        <v>10.412367572547213</v>
      </c>
      <c r="K54" s="48">
        <v>11.053180269349344</v>
      </c>
      <c r="L54" t="s">
        <v>1167</v>
      </c>
      <c r="M54">
        <f>C54/C50</f>
        <v>1.9034797253561473</v>
      </c>
      <c r="N54">
        <f t="shared" ref="N54:U54" si="13">D54/D50</f>
        <v>1.9456569342409935</v>
      </c>
      <c r="O54">
        <f t="shared" si="13"/>
        <v>1.6608698303805209</v>
      </c>
      <c r="P54">
        <f t="shared" si="13"/>
        <v>14.6817501789718</v>
      </c>
      <c r="Q54">
        <f t="shared" si="13"/>
        <v>14.161429831788357</v>
      </c>
      <c r="R54">
        <f t="shared" si="13"/>
        <v>13.110419830500172</v>
      </c>
      <c r="S54">
        <f t="shared" si="13"/>
        <v>15.088322739776286</v>
      </c>
      <c r="T54">
        <f t="shared" si="13"/>
        <v>14.351590770504895</v>
      </c>
      <c r="U54">
        <f t="shared" si="13"/>
        <v>16.981601159607372</v>
      </c>
      <c r="V54">
        <f>AVERAGE(M54:O54)</f>
        <v>1.836668829992554</v>
      </c>
      <c r="W54">
        <f>AVERAGE(P54:R54)</f>
        <v>13.984533280420109</v>
      </c>
      <c r="X54">
        <f>AVERAGE(S54:U54)</f>
        <v>15.473838223296184</v>
      </c>
      <c r="AC54" s="4" t="s">
        <v>1350</v>
      </c>
      <c r="AD54" s="4" t="s">
        <v>236</v>
      </c>
      <c r="AE54" s="4" t="s">
        <v>205</v>
      </c>
      <c r="AF54" s="4">
        <v>0</v>
      </c>
      <c r="AG54" s="4">
        <v>0.01</v>
      </c>
      <c r="AH54" s="4" t="s">
        <v>1446</v>
      </c>
      <c r="AI54" s="4">
        <v>10</v>
      </c>
      <c r="AJ54" s="4">
        <v>1</v>
      </c>
      <c r="AK54" s="4">
        <v>0.123254277</v>
      </c>
      <c r="AL54" s="4">
        <v>0.27499794564820501</v>
      </c>
      <c r="AM54" s="4">
        <v>0.15174366864820499</v>
      </c>
      <c r="AN54" s="4">
        <v>3.5995754935168399E-2</v>
      </c>
    </row>
    <row r="55" spans="1:40">
      <c r="A55" s="225"/>
      <c r="B55" s="54"/>
      <c r="G55" s="48"/>
      <c r="H55" s="48"/>
      <c r="I55" s="48"/>
      <c r="J55" s="48"/>
      <c r="K55" s="48"/>
      <c r="AC55" s="4" t="s">
        <v>1350</v>
      </c>
      <c r="AD55" s="4" t="s">
        <v>236</v>
      </c>
      <c r="AE55" s="4" t="s">
        <v>205</v>
      </c>
      <c r="AF55" s="4">
        <v>0</v>
      </c>
      <c r="AG55" s="4">
        <v>0.01</v>
      </c>
      <c r="AH55" s="4" t="s">
        <v>1446</v>
      </c>
      <c r="AI55" s="4">
        <v>10</v>
      </c>
      <c r="AJ55" s="4">
        <v>2</v>
      </c>
      <c r="AK55" s="4">
        <v>0.121618236</v>
      </c>
      <c r="AL55" s="4">
        <v>0.27499794564820501</v>
      </c>
      <c r="AM55" s="4">
        <v>0.15337970964820499</v>
      </c>
      <c r="AN55" s="4">
        <v>3.5995754935168399E-2</v>
      </c>
    </row>
    <row r="56" spans="1:40">
      <c r="L56" t="s">
        <v>1168</v>
      </c>
      <c r="M56">
        <f>M53+M54</f>
        <v>2.3162554058678979</v>
      </c>
      <c r="N56">
        <f t="shared" ref="N56:U56" si="14">N53+N54</f>
        <v>2.3513476543945382</v>
      </c>
      <c r="O56">
        <f t="shared" si="14"/>
        <v>1.9683300975171738</v>
      </c>
      <c r="P56">
        <f t="shared" si="14"/>
        <v>24.132296487374099</v>
      </c>
      <c r="Q56">
        <f t="shared" si="14"/>
        <v>23.410407287612294</v>
      </c>
      <c r="R56">
        <f t="shared" si="14"/>
        <v>22.777633970966306</v>
      </c>
      <c r="S56" s="67">
        <f t="shared" si="14"/>
        <v>24.814750614953688</v>
      </c>
      <c r="T56" s="67">
        <f t="shared" si="14"/>
        <v>24.038438242942611</v>
      </c>
      <c r="U56" s="67">
        <f t="shared" si="14"/>
        <v>27.383889904331784</v>
      </c>
      <c r="AC56" s="4" t="s">
        <v>1350</v>
      </c>
      <c r="AD56" s="4" t="s">
        <v>236</v>
      </c>
      <c r="AE56" s="4" t="s">
        <v>205</v>
      </c>
      <c r="AF56" s="4">
        <v>0</v>
      </c>
      <c r="AG56" s="4">
        <v>0.01</v>
      </c>
      <c r="AH56" s="4" t="s">
        <v>1446</v>
      </c>
      <c r="AI56" s="4">
        <v>10</v>
      </c>
      <c r="AJ56" s="4">
        <v>3</v>
      </c>
      <c r="AK56" s="4">
        <v>0.14433939600000001</v>
      </c>
      <c r="AL56" s="4">
        <v>0.27499794564820501</v>
      </c>
      <c r="AM56" s="4">
        <v>0.130658549648205</v>
      </c>
      <c r="AN56" s="4">
        <v>3.5995754935168399E-2</v>
      </c>
    </row>
    <row r="57" spans="1:40">
      <c r="B57" s="49"/>
      <c r="G57" s="48"/>
      <c r="H57" s="48"/>
      <c r="I57" s="48"/>
      <c r="J57" s="48"/>
      <c r="K57" s="48"/>
      <c r="AC57" s="4" t="s">
        <v>1350</v>
      </c>
      <c r="AD57" s="4" t="s">
        <v>236</v>
      </c>
      <c r="AE57" s="4" t="s">
        <v>205</v>
      </c>
      <c r="AF57" s="4">
        <v>20</v>
      </c>
      <c r="AG57" s="4">
        <v>0.4</v>
      </c>
      <c r="AH57" s="4" t="s">
        <v>1445</v>
      </c>
      <c r="AI57" s="4">
        <v>0</v>
      </c>
      <c r="AJ57" s="4">
        <v>1</v>
      </c>
      <c r="AK57" s="4">
        <v>0.638193644</v>
      </c>
      <c r="AL57" s="4">
        <v>0.29849433831639799</v>
      </c>
      <c r="AM57" s="4">
        <v>-0.33969930568360102</v>
      </c>
      <c r="AN57" s="4">
        <v>3.9515202938100097E-2</v>
      </c>
    </row>
    <row r="58" spans="1:40" ht="17.25">
      <c r="C58" s="224" t="s">
        <v>1687</v>
      </c>
      <c r="D58" s="224"/>
      <c r="E58" s="224"/>
      <c r="F58" s="224"/>
      <c r="G58" s="224"/>
      <c r="H58" s="224"/>
      <c r="I58" s="224"/>
      <c r="J58" s="224"/>
      <c r="K58" s="224"/>
      <c r="AC58" s="4" t="s">
        <v>1350</v>
      </c>
      <c r="AD58" s="4" t="s">
        <v>236</v>
      </c>
      <c r="AE58" s="4" t="s">
        <v>205</v>
      </c>
      <c r="AF58" s="4">
        <v>20</v>
      </c>
      <c r="AG58" s="4">
        <v>0.4</v>
      </c>
      <c r="AH58" s="4" t="s">
        <v>1445</v>
      </c>
      <c r="AI58" s="4">
        <v>0</v>
      </c>
      <c r="AJ58" s="4">
        <v>2</v>
      </c>
      <c r="AK58" s="4">
        <v>0.66618461299999998</v>
      </c>
      <c r="AL58" s="4">
        <v>0.29849433831639799</v>
      </c>
      <c r="AM58" s="4">
        <v>-0.36769027468360099</v>
      </c>
      <c r="AN58" s="4">
        <v>3.9515202938100097E-2</v>
      </c>
    </row>
    <row r="59" spans="1:40">
      <c r="A59" s="50" t="s">
        <v>786</v>
      </c>
      <c r="B59" s="51"/>
      <c r="C59" s="48">
        <v>1.4566296728971966E-2</v>
      </c>
      <c r="D59" s="48">
        <v>1.3647739715313627E-2</v>
      </c>
      <c r="E59" s="48">
        <v>1.4850434905593665E-2</v>
      </c>
      <c r="F59" s="48">
        <v>0.50441357354750016</v>
      </c>
      <c r="G59" s="48">
        <v>0.47348653874758295</v>
      </c>
      <c r="H59" s="48">
        <v>0.46238017154389505</v>
      </c>
      <c r="I59" s="48">
        <v>3.4532262710643815</v>
      </c>
      <c r="J59" s="48">
        <v>3.1536521318499067</v>
      </c>
      <c r="K59" s="48">
        <v>3.3410637184351692</v>
      </c>
      <c r="AC59" s="4" t="s">
        <v>1350</v>
      </c>
      <c r="AD59" s="4" t="s">
        <v>236</v>
      </c>
      <c r="AE59" s="4" t="s">
        <v>205</v>
      </c>
      <c r="AF59" s="4">
        <v>20</v>
      </c>
      <c r="AG59" s="4">
        <v>0.4</v>
      </c>
      <c r="AH59" s="4" t="s">
        <v>1445</v>
      </c>
      <c r="AI59" s="4">
        <v>0</v>
      </c>
      <c r="AJ59" s="4">
        <v>3</v>
      </c>
      <c r="AK59" s="4">
        <v>0.65396095499999995</v>
      </c>
      <c r="AL59" s="4">
        <v>0.29849433831639799</v>
      </c>
      <c r="AM59" s="4">
        <v>-0.35546661668360102</v>
      </c>
      <c r="AN59" s="4">
        <v>3.9515202938100097E-2</v>
      </c>
    </row>
    <row r="60" spans="1:40">
      <c r="A60" s="52" t="s">
        <v>787</v>
      </c>
      <c r="B60" s="53"/>
      <c r="C60" s="226">
        <v>0</v>
      </c>
      <c r="D60" s="226"/>
      <c r="E60" s="226"/>
      <c r="F60" s="226">
        <v>20</v>
      </c>
      <c r="G60" s="226"/>
      <c r="H60" s="226"/>
      <c r="I60" s="226">
        <v>500</v>
      </c>
      <c r="J60" s="226"/>
      <c r="K60" s="226"/>
      <c r="AC60" s="4" t="s">
        <v>1350</v>
      </c>
      <c r="AD60" s="4" t="s">
        <v>236</v>
      </c>
      <c r="AE60" s="4" t="s">
        <v>205</v>
      </c>
      <c r="AF60" s="4">
        <v>20</v>
      </c>
      <c r="AG60" s="4">
        <v>0.4</v>
      </c>
      <c r="AH60" s="4" t="s">
        <v>1446</v>
      </c>
      <c r="AI60" s="4">
        <v>10</v>
      </c>
      <c r="AJ60" s="4">
        <v>1</v>
      </c>
      <c r="AK60" s="4">
        <v>6.8149911000000003</v>
      </c>
      <c r="AL60" s="4">
        <v>6.6009361124343204</v>
      </c>
      <c r="AM60" s="4">
        <v>-0.21405498756567001</v>
      </c>
      <c r="AN60" s="4">
        <v>0.98353739514206895</v>
      </c>
    </row>
    <row r="61" spans="1:40">
      <c r="A61" s="225" t="s">
        <v>788</v>
      </c>
      <c r="B61" s="49">
        <v>0</v>
      </c>
      <c r="C61" s="48">
        <v>0.12612066876665862</v>
      </c>
      <c r="D61" s="48">
        <v>0.13985138518698007</v>
      </c>
      <c r="E61" s="48">
        <v>0.13132642663043478</v>
      </c>
      <c r="F61" s="48">
        <v>0.21102034404210196</v>
      </c>
      <c r="G61" s="48">
        <v>0.1986031094625523</v>
      </c>
      <c r="H61" s="48">
        <v>0.23357573754235186</v>
      </c>
      <c r="I61" s="48">
        <v>0.32910108713288982</v>
      </c>
      <c r="J61" s="48">
        <v>0.33355800491634285</v>
      </c>
      <c r="K61" s="48">
        <v>0.33852574167424182</v>
      </c>
      <c r="AC61" s="4" t="s">
        <v>1350</v>
      </c>
      <c r="AD61" s="4" t="s">
        <v>236</v>
      </c>
      <c r="AE61" s="4" t="s">
        <v>205</v>
      </c>
      <c r="AF61" s="4">
        <v>20</v>
      </c>
      <c r="AG61" s="4">
        <v>0.4</v>
      </c>
      <c r="AH61" s="4" t="s">
        <v>1446</v>
      </c>
      <c r="AI61" s="4">
        <v>10</v>
      </c>
      <c r="AJ61" s="4">
        <v>2</v>
      </c>
      <c r="AK61" s="4">
        <v>6.9455884619999999</v>
      </c>
      <c r="AL61" s="4">
        <v>6.6009361124343204</v>
      </c>
      <c r="AM61" s="4">
        <v>-0.34465234956566998</v>
      </c>
      <c r="AN61" s="4">
        <v>0.98353739514206895</v>
      </c>
    </row>
    <row r="62" spans="1:40">
      <c r="A62" s="225"/>
      <c r="B62" s="54">
        <v>0.01</v>
      </c>
      <c r="C62" s="48">
        <v>8.8930298945365166E-2</v>
      </c>
      <c r="D62" s="48">
        <v>8.5337687161516421E-2</v>
      </c>
      <c r="E62" s="48">
        <v>9.615076824583868E-2</v>
      </c>
      <c r="F62" s="48">
        <v>0.17881548974943054</v>
      </c>
      <c r="G62" s="48">
        <v>0.20989511028844671</v>
      </c>
      <c r="H62" s="48">
        <v>0.21192026364440159</v>
      </c>
      <c r="I62" s="48">
        <v>0.3130376450161787</v>
      </c>
      <c r="J62" s="48">
        <v>0.28969233300427771</v>
      </c>
      <c r="K62" s="48">
        <v>0.32020265493676853</v>
      </c>
      <c r="AC62" s="4" t="s">
        <v>1350</v>
      </c>
      <c r="AD62" s="4" t="s">
        <v>236</v>
      </c>
      <c r="AE62" s="4" t="s">
        <v>205</v>
      </c>
      <c r="AF62" s="4">
        <v>20</v>
      </c>
      <c r="AG62" s="4">
        <v>0.4</v>
      </c>
      <c r="AH62" s="4" t="s">
        <v>1446</v>
      </c>
      <c r="AI62" s="4">
        <v>10</v>
      </c>
      <c r="AJ62" s="4">
        <v>3</v>
      </c>
      <c r="AK62" s="4">
        <v>6.9215663669999996</v>
      </c>
      <c r="AL62" s="4">
        <v>6.6009361124343204</v>
      </c>
      <c r="AM62" s="4">
        <v>-0.32063025456567001</v>
      </c>
      <c r="AN62" s="4">
        <v>0.98353739514206895</v>
      </c>
    </row>
    <row r="63" spans="1:40">
      <c r="A63" s="225"/>
      <c r="B63" s="54">
        <v>0.1</v>
      </c>
      <c r="C63" s="48">
        <v>0.10485027078687481</v>
      </c>
      <c r="D63" s="48">
        <v>0.11975832266325226</v>
      </c>
      <c r="E63" s="48">
        <v>0.10459855215531426</v>
      </c>
      <c r="F63" s="48">
        <v>0.28580881208158182</v>
      </c>
      <c r="G63" s="48">
        <v>0.28580881208158182</v>
      </c>
      <c r="H63" s="48">
        <v>0.27028233003407431</v>
      </c>
      <c r="I63" s="48">
        <v>0.78695955369595538</v>
      </c>
      <c r="J63" s="48">
        <v>0.74554237687534364</v>
      </c>
      <c r="K63" s="48">
        <v>0.74279137387933125</v>
      </c>
      <c r="AC63" s="4" t="s">
        <v>1350</v>
      </c>
      <c r="AD63" s="4" t="s">
        <v>236</v>
      </c>
      <c r="AE63" s="4" t="s">
        <v>205</v>
      </c>
      <c r="AF63" s="4">
        <v>500</v>
      </c>
      <c r="AG63" s="4">
        <v>3.02</v>
      </c>
      <c r="AH63" s="4" t="s">
        <v>1445</v>
      </c>
      <c r="AI63" s="4">
        <v>0</v>
      </c>
      <c r="AJ63" s="4">
        <v>1</v>
      </c>
      <c r="AK63" s="4">
        <v>4.4981256619999996</v>
      </c>
      <c r="AL63" s="4">
        <v>4.7150608687155797</v>
      </c>
      <c r="AM63" s="4">
        <v>0.216935206715588</v>
      </c>
      <c r="AN63" s="4">
        <v>0.70105829488132498</v>
      </c>
    </row>
    <row r="64" spans="1:40">
      <c r="A64" s="225"/>
      <c r="B64" s="54">
        <v>1</v>
      </c>
      <c r="C64" s="48">
        <v>0.12544761015101979</v>
      </c>
      <c r="D64" s="48">
        <v>0.13137064857442857</v>
      </c>
      <c r="E64" s="48">
        <v>0.11298997636704426</v>
      </c>
      <c r="F64" s="48">
        <v>1.8322547549522534</v>
      </c>
      <c r="G64" s="48">
        <v>1.6364237895064613</v>
      </c>
      <c r="H64" s="48">
        <v>1.5507725390251674</v>
      </c>
      <c r="I64" s="48">
        <v>2.535286552527932</v>
      </c>
      <c r="J64" s="48">
        <v>2.4919939954966228</v>
      </c>
      <c r="K64" s="48">
        <v>2.4011809791959959</v>
      </c>
      <c r="AC64" s="4" t="s">
        <v>1350</v>
      </c>
      <c r="AD64" s="4" t="s">
        <v>236</v>
      </c>
      <c r="AE64" s="4" t="s">
        <v>205</v>
      </c>
      <c r="AF64" s="4">
        <v>500</v>
      </c>
      <c r="AG64" s="4">
        <v>3.02</v>
      </c>
      <c r="AH64" s="4" t="s">
        <v>1445</v>
      </c>
      <c r="AI64" s="4">
        <v>0</v>
      </c>
      <c r="AJ64" s="4">
        <v>2</v>
      </c>
      <c r="AK64" s="4">
        <v>4.6481557709999999</v>
      </c>
      <c r="AL64" s="4">
        <v>4.7150608687155797</v>
      </c>
      <c r="AM64" s="4">
        <v>6.6905097715588696E-2</v>
      </c>
      <c r="AN64" s="4">
        <v>0.70105829488132498</v>
      </c>
    </row>
    <row r="65" spans="1:40">
      <c r="A65" s="225"/>
      <c r="B65" s="54">
        <v>10</v>
      </c>
      <c r="C65" s="48">
        <v>0.32602374606251516</v>
      </c>
      <c r="D65" s="48">
        <v>0.28181017925736235</v>
      </c>
      <c r="E65" s="48">
        <v>0.27271625878362005</v>
      </c>
      <c r="F65" s="48">
        <v>5.0974477021242226</v>
      </c>
      <c r="G65" s="48">
        <v>4.592058754221978</v>
      </c>
      <c r="H65" s="48">
        <v>4.7271122211695804</v>
      </c>
      <c r="I65" s="48">
        <v>5.6814694354098911</v>
      </c>
      <c r="J65" s="48">
        <v>5.2874916219839143</v>
      </c>
      <c r="K65" s="48">
        <v>5.2639929298880563</v>
      </c>
      <c r="L65" t="s">
        <v>1166</v>
      </c>
      <c r="M65">
        <f>C66-C61</f>
        <v>0.8090099460788337</v>
      </c>
      <c r="N65">
        <f t="shared" ref="N65:U65" si="15">D66-D61</f>
        <v>0.75320225992993894</v>
      </c>
      <c r="O65">
        <f t="shared" si="15"/>
        <v>0.76321948280163943</v>
      </c>
      <c r="P65">
        <f t="shared" si="15"/>
        <v>11.771256000303207</v>
      </c>
      <c r="Q65">
        <f t="shared" si="15"/>
        <v>11.626146299713554</v>
      </c>
      <c r="R65">
        <f t="shared" si="15"/>
        <v>11.704121423340929</v>
      </c>
      <c r="S65">
        <f t="shared" si="15"/>
        <v>10.650285562394243</v>
      </c>
      <c r="T65">
        <f t="shared" si="15"/>
        <v>11.005006379684454</v>
      </c>
      <c r="U65">
        <f t="shared" si="15"/>
        <v>11.110271475985888</v>
      </c>
      <c r="AC65" s="4" t="s">
        <v>1350</v>
      </c>
      <c r="AD65" s="4" t="s">
        <v>236</v>
      </c>
      <c r="AE65" s="4" t="s">
        <v>205</v>
      </c>
      <c r="AF65" s="4">
        <v>500</v>
      </c>
      <c r="AG65" s="4">
        <v>3.02</v>
      </c>
      <c r="AH65" s="4" t="s">
        <v>1445</v>
      </c>
      <c r="AI65" s="4">
        <v>0</v>
      </c>
      <c r="AJ65" s="4">
        <v>3</v>
      </c>
      <c r="AK65" s="4">
        <v>4.8062884429999997</v>
      </c>
      <c r="AL65" s="4">
        <v>4.7150608687155797</v>
      </c>
      <c r="AM65" s="4">
        <v>-9.1227574284411E-2</v>
      </c>
      <c r="AN65" s="4">
        <v>0.70105829488132498</v>
      </c>
    </row>
    <row r="66" spans="1:40">
      <c r="A66" s="225"/>
      <c r="B66" s="54">
        <v>200</v>
      </c>
      <c r="C66" s="48">
        <v>0.93513061484549231</v>
      </c>
      <c r="D66" s="48">
        <v>0.89305364511691898</v>
      </c>
      <c r="E66" s="48">
        <v>0.89454590943207424</v>
      </c>
      <c r="F66" s="48">
        <v>11.98227634434531</v>
      </c>
      <c r="G66" s="48">
        <v>11.824749409176107</v>
      </c>
      <c r="H66" s="48">
        <v>11.937697160883282</v>
      </c>
      <c r="I66" s="48">
        <v>10.979386649527132</v>
      </c>
      <c r="J66" s="48">
        <v>11.338564384600797</v>
      </c>
      <c r="K66" s="48">
        <v>11.448797217660131</v>
      </c>
      <c r="L66" t="s">
        <v>1167</v>
      </c>
      <c r="M66">
        <f t="shared" ref="M66:U66" si="16">C66/C61</f>
        <v>7.4145706963829889</v>
      </c>
      <c r="N66">
        <f t="shared" si="16"/>
        <v>6.3857332833916098</v>
      </c>
      <c r="O66">
        <f t="shared" si="16"/>
        <v>6.8116214868878799</v>
      </c>
      <c r="P66">
        <f t="shared" si="16"/>
        <v>56.782564727288346</v>
      </c>
      <c r="Q66">
        <f t="shared" si="16"/>
        <v>59.539598555005142</v>
      </c>
      <c r="R66">
        <f t="shared" si="16"/>
        <v>51.108463946169678</v>
      </c>
      <c r="S66">
        <f t="shared" si="16"/>
        <v>33.361745308041769</v>
      </c>
      <c r="T66">
        <f t="shared" si="16"/>
        <v>33.992781517698958</v>
      </c>
      <c r="U66">
        <f t="shared" si="16"/>
        <v>33.819576499671726</v>
      </c>
      <c r="V66">
        <f>AVERAGE(M66:O66)</f>
        <v>6.8706418222208256</v>
      </c>
      <c r="W66">
        <f>AVERAGE(P66:R66)</f>
        <v>55.810209076154386</v>
      </c>
      <c r="X66">
        <f>AVERAGE(S66:U66)</f>
        <v>33.724701108470818</v>
      </c>
      <c r="AC66" s="4" t="s">
        <v>1350</v>
      </c>
      <c r="AD66" s="4" t="s">
        <v>236</v>
      </c>
      <c r="AE66" s="4" t="s">
        <v>205</v>
      </c>
      <c r="AF66" s="4">
        <v>500</v>
      </c>
      <c r="AG66" s="4">
        <v>3.02</v>
      </c>
      <c r="AH66" s="4" t="s">
        <v>1446</v>
      </c>
      <c r="AI66" s="4">
        <v>10</v>
      </c>
      <c r="AJ66" s="4">
        <v>1</v>
      </c>
      <c r="AK66" s="4">
        <v>7.75609473</v>
      </c>
      <c r="AL66" s="4">
        <v>6.7088832664418501</v>
      </c>
      <c r="AM66" s="4">
        <v>-1.04721146355814</v>
      </c>
      <c r="AN66" s="4">
        <v>0.99970644717311696</v>
      </c>
    </row>
    <row r="67" spans="1:40" ht="15" thickBot="1">
      <c r="AC67" s="4" t="s">
        <v>1350</v>
      </c>
      <c r="AD67" s="4" t="s">
        <v>236</v>
      </c>
      <c r="AE67" s="4" t="s">
        <v>205</v>
      </c>
      <c r="AF67" s="4">
        <v>500</v>
      </c>
      <c r="AG67" s="4">
        <v>3.02</v>
      </c>
      <c r="AH67" s="4" t="s">
        <v>1446</v>
      </c>
      <c r="AI67" s="4">
        <v>10</v>
      </c>
      <c r="AJ67" s="4">
        <v>2</v>
      </c>
      <c r="AK67" s="4">
        <v>7.6495305699999996</v>
      </c>
      <c r="AL67" s="4">
        <v>6.7088832664418501</v>
      </c>
      <c r="AM67" s="4">
        <v>-0.94064730355814496</v>
      </c>
      <c r="AN67" s="4">
        <v>0.99970644717311696</v>
      </c>
    </row>
    <row r="68" spans="1:40" ht="15" thickBot="1">
      <c r="B68" s="49"/>
      <c r="G68" s="48"/>
      <c r="H68" s="48"/>
      <c r="I68" s="48"/>
      <c r="J68" s="48"/>
      <c r="K68" s="48"/>
      <c r="L68" t="s">
        <v>1168</v>
      </c>
      <c r="M68">
        <f>M65+M66</f>
        <v>8.2235806424618225</v>
      </c>
      <c r="N68">
        <f t="shared" ref="N68:U68" si="17">N65+N66</f>
        <v>7.1389355433215487</v>
      </c>
      <c r="O68">
        <f t="shared" si="17"/>
        <v>7.5748409696895198</v>
      </c>
      <c r="P68" s="88">
        <f t="shared" si="17"/>
        <v>68.553820727591557</v>
      </c>
      <c r="Q68" s="89">
        <f t="shared" si="17"/>
        <v>71.165744854718696</v>
      </c>
      <c r="R68" s="90">
        <f t="shared" si="17"/>
        <v>62.812585369510607</v>
      </c>
      <c r="S68">
        <f t="shared" si="17"/>
        <v>44.012030870436014</v>
      </c>
      <c r="T68">
        <f t="shared" si="17"/>
        <v>44.997787897383411</v>
      </c>
      <c r="U68">
        <f t="shared" si="17"/>
        <v>44.929847975657616</v>
      </c>
      <c r="AC68" s="4" t="s">
        <v>1350</v>
      </c>
      <c r="AD68" s="4" t="s">
        <v>236</v>
      </c>
      <c r="AE68" s="4" t="s">
        <v>205</v>
      </c>
      <c r="AF68" s="4">
        <v>500</v>
      </c>
      <c r="AG68" s="4">
        <v>3.02</v>
      </c>
      <c r="AH68" s="4" t="s">
        <v>1446</v>
      </c>
      <c r="AI68" s="4">
        <v>10</v>
      </c>
      <c r="AJ68" s="4">
        <v>3</v>
      </c>
      <c r="AK68" s="4">
        <v>7.7896779650000001</v>
      </c>
      <c r="AL68" s="4">
        <v>6.7088832664418501</v>
      </c>
      <c r="AM68" s="4">
        <v>-1.08079469855814</v>
      </c>
      <c r="AN68" s="4">
        <v>0.99970644717311696</v>
      </c>
    </row>
    <row r="69" spans="1:40" ht="17.25">
      <c r="C69" s="224" t="s">
        <v>1683</v>
      </c>
      <c r="D69" s="224"/>
      <c r="E69" s="224"/>
      <c r="F69" s="224"/>
      <c r="G69" s="224"/>
      <c r="H69" s="224"/>
      <c r="I69" s="224"/>
      <c r="J69" s="224"/>
      <c r="K69" s="224"/>
      <c r="AC69" s="4" t="s">
        <v>1351</v>
      </c>
      <c r="AD69" s="4" t="s">
        <v>137</v>
      </c>
      <c r="AE69" s="4" t="s">
        <v>216</v>
      </c>
      <c r="AF69" s="4">
        <v>0</v>
      </c>
      <c r="AG69" s="4">
        <v>0.01</v>
      </c>
      <c r="AH69" s="4" t="s">
        <v>1445</v>
      </c>
      <c r="AI69" s="4">
        <v>0</v>
      </c>
      <c r="AJ69" s="4">
        <v>1</v>
      </c>
      <c r="AK69" s="4">
        <v>6.7601832000000001E-2</v>
      </c>
      <c r="AL69" s="4">
        <v>5.2947560899954199E-2</v>
      </c>
      <c r="AM69" s="4">
        <v>-1.4654271100045701E-2</v>
      </c>
      <c r="AN69" s="106">
        <v>4.9265499611583503E-11</v>
      </c>
    </row>
    <row r="70" spans="1:40">
      <c r="A70" s="50" t="s">
        <v>786</v>
      </c>
      <c r="B70" s="51"/>
      <c r="C70" s="48">
        <v>1.4566296728971966E-2</v>
      </c>
      <c r="D70" s="48">
        <v>1.3647739715313627E-2</v>
      </c>
      <c r="E70" s="48">
        <v>1.4850434905593665E-2</v>
      </c>
      <c r="F70" s="48">
        <v>0.50441357354750016</v>
      </c>
      <c r="G70" s="48">
        <v>0.47348653874758295</v>
      </c>
      <c r="H70" s="48">
        <v>0.46238017154389505</v>
      </c>
      <c r="I70" s="48">
        <v>3.4532262710643815</v>
      </c>
      <c r="J70" s="48">
        <v>3.1536521318499067</v>
      </c>
      <c r="K70" s="48">
        <v>3.3410637184351692</v>
      </c>
      <c r="AC70" s="4" t="s">
        <v>1351</v>
      </c>
      <c r="AD70" s="4" t="s">
        <v>137</v>
      </c>
      <c r="AE70" s="4" t="s">
        <v>216</v>
      </c>
      <c r="AF70" s="4">
        <v>0</v>
      </c>
      <c r="AG70" s="4">
        <v>0.01</v>
      </c>
      <c r="AH70" s="4" t="s">
        <v>1445</v>
      </c>
      <c r="AI70" s="4">
        <v>0</v>
      </c>
      <c r="AJ70" s="4">
        <v>2</v>
      </c>
      <c r="AK70" s="4">
        <v>8.3886371000000001E-2</v>
      </c>
      <c r="AL70" s="4">
        <v>5.2947560899954199E-2</v>
      </c>
      <c r="AM70" s="4">
        <v>-3.0938810100045702E-2</v>
      </c>
      <c r="AN70" s="106">
        <v>4.9265499611583503E-11</v>
      </c>
    </row>
    <row r="71" spans="1:40">
      <c r="A71" s="52" t="s">
        <v>787</v>
      </c>
      <c r="B71" s="53"/>
      <c r="C71" s="226">
        <v>0</v>
      </c>
      <c r="D71" s="226"/>
      <c r="E71" s="226"/>
      <c r="F71" s="226">
        <v>20</v>
      </c>
      <c r="G71" s="226"/>
      <c r="H71" s="226"/>
      <c r="I71" s="226">
        <v>500</v>
      </c>
      <c r="J71" s="226"/>
      <c r="K71" s="226"/>
      <c r="AC71" s="4" t="s">
        <v>1351</v>
      </c>
      <c r="AD71" s="4" t="s">
        <v>137</v>
      </c>
      <c r="AE71" s="4" t="s">
        <v>216</v>
      </c>
      <c r="AF71" s="4">
        <v>0</v>
      </c>
      <c r="AG71" s="4">
        <v>0.01</v>
      </c>
      <c r="AH71" s="4" t="s">
        <v>1445</v>
      </c>
      <c r="AI71" s="4">
        <v>0</v>
      </c>
      <c r="AJ71" s="4">
        <v>3</v>
      </c>
      <c r="AK71" s="4">
        <v>9.8183426000000004E-2</v>
      </c>
      <c r="AL71" s="4">
        <v>5.2947560899954199E-2</v>
      </c>
      <c r="AM71" s="4">
        <v>-4.5235865100045701E-2</v>
      </c>
      <c r="AN71" s="106">
        <v>4.9265499611583503E-11</v>
      </c>
    </row>
    <row r="72" spans="1:40">
      <c r="A72" s="225" t="s">
        <v>788</v>
      </c>
      <c r="B72" s="49">
        <v>0</v>
      </c>
      <c r="C72" s="51">
        <v>0.10057280425037358</v>
      </c>
      <c r="D72" s="51">
        <v>0.1129812251090461</v>
      </c>
      <c r="E72" s="51">
        <v>0.10347833305661631</v>
      </c>
      <c r="F72" s="48">
        <v>0.11854724376615797</v>
      </c>
      <c r="G72" s="48">
        <v>0.12696600710299341</v>
      </c>
      <c r="H72" s="48">
        <v>0.12343237101254105</v>
      </c>
      <c r="I72" s="48">
        <v>9.6810180976778792E-2</v>
      </c>
      <c r="J72" s="48">
        <v>0.117865369848989</v>
      </c>
      <c r="K72" s="48">
        <v>0.11104161454424152</v>
      </c>
      <c r="AC72" s="4" t="s">
        <v>1351</v>
      </c>
      <c r="AD72" s="4" t="s">
        <v>137</v>
      </c>
      <c r="AE72" s="4" t="s">
        <v>216</v>
      </c>
      <c r="AF72" s="4">
        <v>0</v>
      </c>
      <c r="AG72" s="4">
        <v>0.01</v>
      </c>
      <c r="AH72" s="4" t="s">
        <v>1446</v>
      </c>
      <c r="AI72" s="4">
        <v>10</v>
      </c>
      <c r="AJ72" s="4">
        <v>1</v>
      </c>
      <c r="AK72" s="4">
        <v>0.13455446300000001</v>
      </c>
      <c r="AL72" s="4">
        <v>5.3199464975068597E-2</v>
      </c>
      <c r="AM72" s="4">
        <v>-8.1354998024931305E-2</v>
      </c>
      <c r="AN72" s="106">
        <v>2.69228495591791E-5</v>
      </c>
    </row>
    <row r="73" spans="1:40">
      <c r="A73" s="225"/>
      <c r="B73" s="54">
        <v>0.01</v>
      </c>
      <c r="C73" s="48">
        <v>8.8147006328086988E-2</v>
      </c>
      <c r="D73" s="48">
        <v>9.6085258152173919E-2</v>
      </c>
      <c r="E73" s="48">
        <v>8.9764485372015326E-2</v>
      </c>
      <c r="F73" s="48">
        <v>0.11921999065857078</v>
      </c>
      <c r="G73" s="48">
        <v>0.10755309478555493</v>
      </c>
      <c r="H73" s="48">
        <v>0.11035702533728202</v>
      </c>
      <c r="I73" s="48">
        <v>9.6422048812883951E-2</v>
      </c>
      <c r="J73" s="48">
        <v>0.11499228527344421</v>
      </c>
      <c r="K73" s="48">
        <v>9.6422048812883951E-2</v>
      </c>
      <c r="AC73" s="4" t="s">
        <v>1351</v>
      </c>
      <c r="AD73" s="4" t="s">
        <v>137</v>
      </c>
      <c r="AE73" s="4" t="s">
        <v>216</v>
      </c>
      <c r="AF73" s="4">
        <v>0</v>
      </c>
      <c r="AG73" s="4">
        <v>0.01</v>
      </c>
      <c r="AH73" s="4" t="s">
        <v>1446</v>
      </c>
      <c r="AI73" s="4">
        <v>10</v>
      </c>
      <c r="AJ73" s="4">
        <v>2</v>
      </c>
      <c r="AK73" s="4">
        <v>0.126028849</v>
      </c>
      <c r="AL73" s="4">
        <v>5.3199464975068597E-2</v>
      </c>
      <c r="AM73" s="4">
        <v>-7.2829384024931304E-2</v>
      </c>
      <c r="AN73" s="106">
        <v>2.69228495591791E-5</v>
      </c>
    </row>
    <row r="74" spans="1:40">
      <c r="A74" s="225"/>
      <c r="B74" s="54">
        <v>0.05</v>
      </c>
      <c r="C74" s="48">
        <v>9.4261624099541599E-2</v>
      </c>
      <c r="D74" s="48">
        <v>8.547044836956523E-2</v>
      </c>
      <c r="E74" s="48">
        <v>8.8081811295345522E-2</v>
      </c>
      <c r="F74" s="48">
        <v>0.1242169534533344</v>
      </c>
      <c r="G74" s="48">
        <v>0.14573689083410488</v>
      </c>
      <c r="H74" s="48">
        <v>0.12598716683119449</v>
      </c>
      <c r="I74" s="48">
        <v>0.36726424361493126</v>
      </c>
      <c r="J74" s="48">
        <v>0.48036692678067411</v>
      </c>
      <c r="K74" s="48">
        <v>0.46130431156700863</v>
      </c>
      <c r="AC74" s="4" t="s">
        <v>1351</v>
      </c>
      <c r="AD74" s="4" t="s">
        <v>137</v>
      </c>
      <c r="AE74" s="4" t="s">
        <v>216</v>
      </c>
      <c r="AF74" s="4">
        <v>0</v>
      </c>
      <c r="AG74" s="4">
        <v>0.01</v>
      </c>
      <c r="AH74" s="4" t="s">
        <v>1446</v>
      </c>
      <c r="AI74" s="4">
        <v>10</v>
      </c>
      <c r="AJ74" s="4">
        <v>3</v>
      </c>
      <c r="AK74" s="4">
        <v>0.14353817799999999</v>
      </c>
      <c r="AL74" s="4">
        <v>5.3199464975068597E-2</v>
      </c>
      <c r="AM74" s="4">
        <v>-9.0338713024931294E-2</v>
      </c>
      <c r="AN74" s="106">
        <v>2.69228495591791E-5</v>
      </c>
    </row>
    <row r="75" spans="1:40">
      <c r="A75" s="225"/>
      <c r="B75" s="54">
        <v>0.1</v>
      </c>
      <c r="C75" s="48">
        <v>9.4670923379174862E-2</v>
      </c>
      <c r="D75" s="48">
        <v>9.3540549597855238E-2</v>
      </c>
      <c r="E75" s="48">
        <v>9.1451040081177076E-2</v>
      </c>
      <c r="F75" s="48">
        <v>0.22277148139217104</v>
      </c>
      <c r="G75" s="48">
        <v>0.23563218390804597</v>
      </c>
      <c r="H75" s="48">
        <v>0.22489876869680192</v>
      </c>
      <c r="I75" s="48">
        <v>3.4114759249077053</v>
      </c>
      <c r="J75" s="48">
        <v>3.7725359818197122</v>
      </c>
      <c r="K75" s="48">
        <v>3.9446775255018096</v>
      </c>
      <c r="AC75" s="4" t="s">
        <v>1351</v>
      </c>
      <c r="AD75" s="4" t="s">
        <v>137</v>
      </c>
      <c r="AE75" s="4" t="s">
        <v>216</v>
      </c>
      <c r="AF75" s="4">
        <v>20</v>
      </c>
      <c r="AG75" s="4">
        <v>0.4</v>
      </c>
      <c r="AH75" s="4" t="s">
        <v>1445</v>
      </c>
      <c r="AI75" s="4">
        <v>0</v>
      </c>
      <c r="AJ75" s="4">
        <v>1</v>
      </c>
      <c r="AK75" s="4">
        <v>9.3417841000000001E-2</v>
      </c>
      <c r="AL75" s="4">
        <v>5.2948297965795199E-2</v>
      </c>
      <c r="AM75" s="4">
        <v>-4.0469543034204802E-2</v>
      </c>
      <c r="AN75" s="106">
        <v>7.8824793169068395E-8</v>
      </c>
    </row>
    <row r="76" spans="1:40">
      <c r="A76" s="225"/>
      <c r="B76" s="54">
        <v>1</v>
      </c>
      <c r="C76" s="48">
        <v>9.9289314932650211E-2</v>
      </c>
      <c r="D76" s="48">
        <v>9.9543639475185408E-2</v>
      </c>
      <c r="E76" s="48">
        <v>9.7194800921355726E-2</v>
      </c>
      <c r="F76" s="48">
        <v>6.2439536031589338</v>
      </c>
      <c r="G76" s="48">
        <v>6.2121078745198464</v>
      </c>
      <c r="H76" s="48">
        <v>6.2697955541132568</v>
      </c>
      <c r="I76" s="48">
        <v>9.2483105104036998</v>
      </c>
      <c r="J76" s="48">
        <v>8.3514060828366201</v>
      </c>
      <c r="K76" s="48">
        <v>8.3498804721350659</v>
      </c>
      <c r="L76" t="s">
        <v>1166</v>
      </c>
      <c r="M76">
        <f t="shared" ref="M76:U76" si="18">C77-C72</f>
        <v>0.30923128009297696</v>
      </c>
      <c r="N76">
        <f t="shared" si="18"/>
        <v>0.22223900462403381</v>
      </c>
      <c r="O76">
        <f t="shared" si="18"/>
        <v>0.29534629065385215</v>
      </c>
      <c r="P76">
        <f t="shared" si="18"/>
        <v>8.3448847000557453</v>
      </c>
      <c r="Q76">
        <f t="shared" si="18"/>
        <v>8.3761289034884783</v>
      </c>
      <c r="R76">
        <f t="shared" si="18"/>
        <v>8.6972699596616341</v>
      </c>
      <c r="S76">
        <f t="shared" si="18"/>
        <v>7.16628992503564</v>
      </c>
      <c r="T76">
        <f t="shared" si="18"/>
        <v>7.4869849009378866</v>
      </c>
      <c r="U76">
        <f t="shared" si="18"/>
        <v>7.2482582152240953</v>
      </c>
      <c r="AC76" s="4" t="s">
        <v>1351</v>
      </c>
      <c r="AD76" s="4" t="s">
        <v>137</v>
      </c>
      <c r="AE76" s="4" t="s">
        <v>216</v>
      </c>
      <c r="AF76" s="4">
        <v>20</v>
      </c>
      <c r="AG76" s="4">
        <v>0.4</v>
      </c>
      <c r="AH76" s="4" t="s">
        <v>1445</v>
      </c>
      <c r="AI76" s="4">
        <v>0</v>
      </c>
      <c r="AJ76" s="4">
        <v>2</v>
      </c>
      <c r="AK76" s="4">
        <v>8.1863062E-2</v>
      </c>
      <c r="AL76" s="4">
        <v>5.2948297965795199E-2</v>
      </c>
      <c r="AM76" s="4">
        <v>-2.8914764034204801E-2</v>
      </c>
      <c r="AN76" s="106">
        <v>7.8824793169068395E-8</v>
      </c>
    </row>
    <row r="77" spans="1:40">
      <c r="A77" s="225"/>
      <c r="B77" s="54">
        <v>100</v>
      </c>
      <c r="C77" s="48">
        <v>0.40980408434335053</v>
      </c>
      <c r="D77" s="48">
        <v>0.33522022973307991</v>
      </c>
      <c r="E77" s="48">
        <v>0.39882462371046845</v>
      </c>
      <c r="F77" s="48">
        <v>8.4634319438219041</v>
      </c>
      <c r="G77" s="48">
        <v>8.5030949105914715</v>
      </c>
      <c r="H77" s="48">
        <v>8.820702330674175</v>
      </c>
      <c r="I77" s="48">
        <v>7.263100106012419</v>
      </c>
      <c r="J77" s="48">
        <v>7.6048502707868755</v>
      </c>
      <c r="K77" s="48">
        <v>7.3592998297683367</v>
      </c>
      <c r="L77" t="s">
        <v>1167</v>
      </c>
      <c r="M77">
        <f t="shared" ref="M77:U77" si="19">C77/C72</f>
        <v>4.0747007841518776</v>
      </c>
      <c r="N77">
        <f t="shared" si="19"/>
        <v>2.9670436783592615</v>
      </c>
      <c r="O77">
        <f t="shared" si="19"/>
        <v>3.8541848513568411</v>
      </c>
      <c r="P77">
        <f t="shared" si="19"/>
        <v>71.39290357957681</v>
      </c>
      <c r="Q77">
        <f t="shared" si="19"/>
        <v>66.971428846256899</v>
      </c>
      <c r="R77">
        <f t="shared" si="19"/>
        <v>71.461823655465295</v>
      </c>
      <c r="S77">
        <f t="shared" si="19"/>
        <v>75.024135196633608</v>
      </c>
      <c r="T77">
        <f t="shared" si="19"/>
        <v>64.521498388630448</v>
      </c>
      <c r="U77">
        <f t="shared" si="19"/>
        <v>66.27515152741428</v>
      </c>
      <c r="V77">
        <f>AVERAGE(M77:O77)</f>
        <v>3.6319764379559936</v>
      </c>
      <c r="W77">
        <f>AVERAGE(P77:R77)</f>
        <v>69.942052027099678</v>
      </c>
      <c r="X77">
        <f>AVERAGE(S77:U77)</f>
        <v>68.606928370892774</v>
      </c>
      <c r="AC77" s="4" t="s">
        <v>1351</v>
      </c>
      <c r="AD77" s="4" t="s">
        <v>137</v>
      </c>
      <c r="AE77" s="4" t="s">
        <v>216</v>
      </c>
      <c r="AF77" s="4">
        <v>20</v>
      </c>
      <c r="AG77" s="4">
        <v>0.4</v>
      </c>
      <c r="AH77" s="4" t="s">
        <v>1445</v>
      </c>
      <c r="AI77" s="4">
        <v>0</v>
      </c>
      <c r="AJ77" s="4">
        <v>3</v>
      </c>
      <c r="AK77" s="4">
        <v>7.8225358999999994E-2</v>
      </c>
      <c r="AL77" s="4">
        <v>5.2948297965795199E-2</v>
      </c>
      <c r="AM77" s="4">
        <v>-2.5277061034204702E-2</v>
      </c>
      <c r="AN77" s="106">
        <v>7.8824793169068395E-8</v>
      </c>
    </row>
    <row r="78" spans="1:40" ht="15" thickBot="1">
      <c r="AC78" s="4" t="s">
        <v>1351</v>
      </c>
      <c r="AD78" s="4" t="s">
        <v>137</v>
      </c>
      <c r="AE78" s="4" t="s">
        <v>216</v>
      </c>
      <c r="AF78" s="4">
        <v>20</v>
      </c>
      <c r="AG78" s="4">
        <v>0.4</v>
      </c>
      <c r="AH78" s="4" t="s">
        <v>1446</v>
      </c>
      <c r="AI78" s="4">
        <v>10</v>
      </c>
      <c r="AJ78" s="4">
        <v>1</v>
      </c>
      <c r="AK78" s="4">
        <v>1.322960505</v>
      </c>
      <c r="AL78" s="4">
        <v>0.43935990710689199</v>
      </c>
      <c r="AM78" s="4">
        <v>-0.88360059789310696</v>
      </c>
      <c r="AN78" s="4">
        <v>4.1298666707270101E-2</v>
      </c>
    </row>
    <row r="79" spans="1:40" ht="15" thickBot="1">
      <c r="B79" s="49"/>
      <c r="G79" s="48"/>
      <c r="H79" s="48"/>
      <c r="I79" s="48"/>
      <c r="J79" s="48"/>
      <c r="K79" s="48"/>
      <c r="L79" t="s">
        <v>1168</v>
      </c>
      <c r="M79">
        <f>M76+M77</f>
        <v>4.3839320642448545</v>
      </c>
      <c r="N79">
        <f t="shared" ref="N79:U79" si="20">N76+N77</f>
        <v>3.1892826829832952</v>
      </c>
      <c r="O79">
        <f t="shared" si="20"/>
        <v>4.1495311420106935</v>
      </c>
      <c r="P79">
        <f t="shared" si="20"/>
        <v>79.737788279632554</v>
      </c>
      <c r="Q79">
        <f t="shared" si="20"/>
        <v>75.347557749745377</v>
      </c>
      <c r="R79">
        <f t="shared" si="20"/>
        <v>80.159093615126935</v>
      </c>
      <c r="S79" s="88">
        <f t="shared" si="20"/>
        <v>82.19042512166925</v>
      </c>
      <c r="T79" s="89">
        <f t="shared" si="20"/>
        <v>72.008483289568332</v>
      </c>
      <c r="U79" s="90">
        <f t="shared" si="20"/>
        <v>73.523409742638378</v>
      </c>
      <c r="AC79" s="4" t="s">
        <v>1351</v>
      </c>
      <c r="AD79" s="4" t="s">
        <v>137</v>
      </c>
      <c r="AE79" s="4" t="s">
        <v>216</v>
      </c>
      <c r="AF79" s="4">
        <v>20</v>
      </c>
      <c r="AG79" s="4">
        <v>0.4</v>
      </c>
      <c r="AH79" s="4" t="s">
        <v>1446</v>
      </c>
      <c r="AI79" s="4">
        <v>10</v>
      </c>
      <c r="AJ79" s="4">
        <v>2</v>
      </c>
      <c r="AK79" s="4">
        <v>1.198088093</v>
      </c>
      <c r="AL79" s="4">
        <v>0.43935990710689199</v>
      </c>
      <c r="AM79" s="4">
        <v>-0.75872818589310698</v>
      </c>
      <c r="AN79" s="4">
        <v>4.1298666707270101E-2</v>
      </c>
    </row>
    <row r="80" spans="1:40" ht="17.25">
      <c r="C80" s="224" t="s">
        <v>1685</v>
      </c>
      <c r="D80" s="224"/>
      <c r="E80" s="224"/>
      <c r="F80" s="224"/>
      <c r="G80" s="224"/>
      <c r="H80" s="224"/>
      <c r="I80" s="224"/>
      <c r="J80" s="224"/>
      <c r="K80" s="224"/>
      <c r="AC80" s="4" t="s">
        <v>1351</v>
      </c>
      <c r="AD80" s="4" t="s">
        <v>137</v>
      </c>
      <c r="AE80" s="4" t="s">
        <v>216</v>
      </c>
      <c r="AF80" s="4">
        <v>20</v>
      </c>
      <c r="AG80" s="4">
        <v>0.4</v>
      </c>
      <c r="AH80" s="4" t="s">
        <v>1446</v>
      </c>
      <c r="AI80" s="4">
        <v>10</v>
      </c>
      <c r="AJ80" s="4">
        <v>3</v>
      </c>
      <c r="AK80" s="4">
        <v>1.2588334269999999</v>
      </c>
      <c r="AL80" s="4">
        <v>0.43935990710689199</v>
      </c>
      <c r="AM80" s="4">
        <v>-0.81947351989310702</v>
      </c>
      <c r="AN80" s="4">
        <v>4.1298666707270101E-2</v>
      </c>
    </row>
    <row r="81" spans="1:40">
      <c r="A81" s="50" t="s">
        <v>786</v>
      </c>
      <c r="B81" s="51"/>
      <c r="C81" s="48">
        <v>1.4566296728971966E-2</v>
      </c>
      <c r="D81" s="48">
        <v>1.3647739715313627E-2</v>
      </c>
      <c r="E81" s="48">
        <v>1.4850434905593665E-2</v>
      </c>
      <c r="F81" s="48">
        <v>0.50441357354750016</v>
      </c>
      <c r="G81" s="48">
        <v>0.47348653874758295</v>
      </c>
      <c r="H81" s="48">
        <v>0.46238017154389505</v>
      </c>
      <c r="I81" s="48">
        <v>3.4532262710643815</v>
      </c>
      <c r="J81" s="48">
        <v>3.1536521318499067</v>
      </c>
      <c r="K81" s="48">
        <v>3.3410637184351692</v>
      </c>
      <c r="AC81" s="4" t="s">
        <v>1351</v>
      </c>
      <c r="AD81" s="4" t="s">
        <v>137</v>
      </c>
      <c r="AE81" s="4" t="s">
        <v>216</v>
      </c>
      <c r="AF81" s="4">
        <v>500</v>
      </c>
      <c r="AG81" s="4">
        <v>3.02</v>
      </c>
      <c r="AH81" s="4" t="s">
        <v>1445</v>
      </c>
      <c r="AI81" s="4">
        <v>0</v>
      </c>
      <c r="AJ81" s="4">
        <v>1</v>
      </c>
      <c r="AK81" s="4">
        <v>5.8167297999999999E-2</v>
      </c>
      <c r="AL81" s="4">
        <v>5.2989601124561497E-2</v>
      </c>
      <c r="AM81" s="4">
        <v>-5.1776968754384603E-3</v>
      </c>
      <c r="AN81" s="106">
        <v>4.49319043794519E-6</v>
      </c>
    </row>
    <row r="82" spans="1:40">
      <c r="A82" s="52" t="s">
        <v>787</v>
      </c>
      <c r="B82" s="53"/>
      <c r="C82" s="226">
        <v>0</v>
      </c>
      <c r="D82" s="226"/>
      <c r="E82" s="226"/>
      <c r="F82" s="226">
        <v>20</v>
      </c>
      <c r="G82" s="226"/>
      <c r="H82" s="226"/>
      <c r="I82" s="226">
        <v>500</v>
      </c>
      <c r="J82" s="226"/>
      <c r="K82" s="226"/>
      <c r="AC82" s="4" t="s">
        <v>1351</v>
      </c>
      <c r="AD82" s="4" t="s">
        <v>137</v>
      </c>
      <c r="AE82" s="4" t="s">
        <v>216</v>
      </c>
      <c r="AF82" s="4">
        <v>500</v>
      </c>
      <c r="AG82" s="4">
        <v>3.02</v>
      </c>
      <c r="AH82" s="4" t="s">
        <v>1445</v>
      </c>
      <c r="AI82" s="4">
        <v>0</v>
      </c>
      <c r="AJ82" s="4">
        <v>2</v>
      </c>
      <c r="AK82" s="4">
        <v>5.3000561000000002E-2</v>
      </c>
      <c r="AL82" s="4">
        <v>5.2989601124561497E-2</v>
      </c>
      <c r="AM82" s="106">
        <v>-1.09598754384696E-5</v>
      </c>
      <c r="AN82" s="106">
        <v>4.49319043794519E-6</v>
      </c>
    </row>
    <row r="83" spans="1:40">
      <c r="A83" s="225" t="s">
        <v>788</v>
      </c>
      <c r="B83" s="49">
        <v>0</v>
      </c>
      <c r="C83" s="51">
        <v>1.8044535449193801E-2</v>
      </c>
      <c r="D83" s="51">
        <v>2.0442359249329758E-2</v>
      </c>
      <c r="E83" s="51">
        <v>1.9115378021601234E-2</v>
      </c>
      <c r="F83" s="48">
        <v>2.2075438901442725E-2</v>
      </c>
      <c r="G83" s="48">
        <v>2.0878765850900576E-2</v>
      </c>
      <c r="H83" s="48">
        <v>2.1211592178770947E-2</v>
      </c>
      <c r="I83" s="48">
        <v>2.5008852691218133E-2</v>
      </c>
      <c r="J83" s="48">
        <v>2.2977863816177089E-2</v>
      </c>
      <c r="K83" s="48">
        <v>2.5899530679645403E-2</v>
      </c>
      <c r="AC83" s="4" t="s">
        <v>1351</v>
      </c>
      <c r="AD83" s="4" t="s">
        <v>137</v>
      </c>
      <c r="AE83" s="4" t="s">
        <v>216</v>
      </c>
      <c r="AF83" s="4">
        <v>500</v>
      </c>
      <c r="AG83" s="4">
        <v>3.02</v>
      </c>
      <c r="AH83" s="4" t="s">
        <v>1445</v>
      </c>
      <c r="AI83" s="4">
        <v>0</v>
      </c>
      <c r="AJ83" s="4">
        <v>3</v>
      </c>
      <c r="AK83" s="4">
        <v>6.0011331000000001E-2</v>
      </c>
      <c r="AL83" s="4">
        <v>5.2989601124561497E-2</v>
      </c>
      <c r="AM83" s="4">
        <v>-7.0217298754384604E-3</v>
      </c>
      <c r="AN83" s="106">
        <v>4.49319043794519E-6</v>
      </c>
    </row>
    <row r="84" spans="1:40">
      <c r="A84" s="225"/>
      <c r="B84" s="54">
        <v>0.01</v>
      </c>
      <c r="C84" s="48">
        <v>1.8009168303863787E-2</v>
      </c>
      <c r="D84" s="48">
        <v>1.9101876675603216E-2</v>
      </c>
      <c r="E84" s="48">
        <v>1.7038728225942837E-2</v>
      </c>
      <c r="F84" s="48">
        <v>2.176632474355767E-2</v>
      </c>
      <c r="G84" s="48">
        <v>2.0699209518376661E-2</v>
      </c>
      <c r="H84" s="48">
        <v>2.257590173860393E-2</v>
      </c>
      <c r="I84" s="48">
        <v>2.4459564206356043E-2</v>
      </c>
      <c r="J84" s="48">
        <v>2.4069138195622324E-2</v>
      </c>
      <c r="K84" s="48">
        <v>2.4514642974662718E-2</v>
      </c>
      <c r="AC84" s="4" t="s">
        <v>1351</v>
      </c>
      <c r="AD84" s="4" t="s">
        <v>137</v>
      </c>
      <c r="AE84" s="4" t="s">
        <v>216</v>
      </c>
      <c r="AF84" s="4">
        <v>500</v>
      </c>
      <c r="AG84" s="4">
        <v>3.02</v>
      </c>
      <c r="AH84" s="4" t="s">
        <v>1446</v>
      </c>
      <c r="AI84" s="4">
        <v>10</v>
      </c>
      <c r="AJ84" s="4">
        <v>1</v>
      </c>
      <c r="AK84" s="4">
        <v>6.5708526269999998</v>
      </c>
      <c r="AL84" s="4">
        <v>6.7017883452579197</v>
      </c>
      <c r="AM84" s="4">
        <v>0.13093571825792799</v>
      </c>
      <c r="AN84" s="4">
        <v>0.71060943556738798</v>
      </c>
    </row>
    <row r="85" spans="1:40">
      <c r="A85" s="225"/>
      <c r="B85" s="54">
        <v>0.05</v>
      </c>
      <c r="C85" s="48">
        <v>1.876675603217158E-2</v>
      </c>
      <c r="D85" s="48">
        <v>1.8769463849844289E-2</v>
      </c>
      <c r="E85" s="48">
        <v>1.7831243067997611E-2</v>
      </c>
      <c r="F85" s="48">
        <v>2.2808032394017026E-2</v>
      </c>
      <c r="G85" s="48">
        <v>2.3084728564180618E-2</v>
      </c>
      <c r="H85" s="48">
        <v>2.2220351822237187E-2</v>
      </c>
      <c r="I85" s="48">
        <v>4.3435801630434784E-2</v>
      </c>
      <c r="J85" s="48">
        <v>3.7653239929947464E-2</v>
      </c>
      <c r="K85" s="48">
        <v>4.2988170752614435E-2</v>
      </c>
      <c r="AC85" s="4" t="s">
        <v>1351</v>
      </c>
      <c r="AD85" s="4" t="s">
        <v>137</v>
      </c>
      <c r="AE85" s="4" t="s">
        <v>216</v>
      </c>
      <c r="AF85" s="4">
        <v>500</v>
      </c>
      <c r="AG85" s="4">
        <v>3.02</v>
      </c>
      <c r="AH85" s="4" t="s">
        <v>1446</v>
      </c>
      <c r="AI85" s="4">
        <v>10</v>
      </c>
      <c r="AJ85" s="4">
        <v>2</v>
      </c>
      <c r="AK85" s="4">
        <v>6.3832284609999999</v>
      </c>
      <c r="AL85" s="4">
        <v>6.7017883452579197</v>
      </c>
      <c r="AM85" s="4">
        <v>0.31855988425792803</v>
      </c>
      <c r="AN85" s="4">
        <v>0.71060943556738798</v>
      </c>
    </row>
    <row r="86" spans="1:40">
      <c r="A86" s="225"/>
      <c r="B86" s="54">
        <v>0.1</v>
      </c>
      <c r="C86" s="48">
        <v>1.9733620605229651E-2</v>
      </c>
      <c r="D86" s="48">
        <v>1.9259505229951856E-2</v>
      </c>
      <c r="E86" s="48">
        <v>1.7684488885216097E-2</v>
      </c>
      <c r="F86" s="48">
        <v>2.6245335064092167E-2</v>
      </c>
      <c r="G86" s="48">
        <v>2.6890962671905702E-2</v>
      </c>
      <c r="H86" s="48">
        <v>2.8308152083679233E-2</v>
      </c>
      <c r="I86" s="48">
        <v>0.1597639981490051</v>
      </c>
      <c r="J86" s="48">
        <v>0.16283413581271794</v>
      </c>
      <c r="K86" s="48">
        <v>0.15190559586356436</v>
      </c>
      <c r="AC86" s="4" t="s">
        <v>1351</v>
      </c>
      <c r="AD86" s="4" t="s">
        <v>137</v>
      </c>
      <c r="AE86" s="4" t="s">
        <v>216</v>
      </c>
      <c r="AF86" s="4">
        <v>500</v>
      </c>
      <c r="AG86" s="4">
        <v>3.02</v>
      </c>
      <c r="AH86" s="4" t="s">
        <v>1446</v>
      </c>
      <c r="AI86" s="4">
        <v>10</v>
      </c>
      <c r="AJ86" s="4">
        <v>3</v>
      </c>
      <c r="AK86" s="4">
        <v>6.677274927</v>
      </c>
      <c r="AL86" s="4">
        <v>6.7017883452579197</v>
      </c>
      <c r="AM86" s="4">
        <v>2.45134182579285E-2</v>
      </c>
      <c r="AN86" s="4">
        <v>0.71060943556738798</v>
      </c>
    </row>
    <row r="87" spans="1:40">
      <c r="A87" s="225"/>
      <c r="B87" s="54">
        <v>1</v>
      </c>
      <c r="C87" s="48">
        <v>2.0015429453111609E-2</v>
      </c>
      <c r="D87" s="48">
        <v>2.4459123109324143E-2</v>
      </c>
      <c r="E87" s="48">
        <v>1.7719504021447723E-2</v>
      </c>
      <c r="F87" s="48">
        <v>0.53593839132915</v>
      </c>
      <c r="G87" s="48">
        <v>0.54328249229271464</v>
      </c>
      <c r="H87" s="48">
        <v>0.66891781270464967</v>
      </c>
      <c r="I87" s="48">
        <v>5.9478967495219885</v>
      </c>
      <c r="J87" s="48">
        <v>5.8049139853456513</v>
      </c>
      <c r="K87" s="48">
        <v>5.9096756372819828</v>
      </c>
      <c r="L87" t="s">
        <v>1166</v>
      </c>
      <c r="M87">
        <f t="shared" ref="M87:U87" si="21">C88-C83</f>
        <v>6.5694442951196655E-3</v>
      </c>
      <c r="N87">
        <f t="shared" si="21"/>
        <v>4.36557929100315E-3</v>
      </c>
      <c r="O87">
        <f t="shared" si="21"/>
        <v>6.8624386742539914E-3</v>
      </c>
      <c r="P87">
        <f t="shared" si="21"/>
        <v>5.1411108586114622</v>
      </c>
      <c r="Q87">
        <f t="shared" si="21"/>
        <v>5.14040280861059</v>
      </c>
      <c r="R87">
        <f t="shared" si="21"/>
        <v>5.1408232824903868</v>
      </c>
      <c r="S87">
        <f t="shared" si="21"/>
        <v>5.8330912186750501</v>
      </c>
      <c r="T87">
        <f t="shared" si="21"/>
        <v>5.727177102865987</v>
      </c>
      <c r="U87">
        <f t="shared" si="21"/>
        <v>5.8025136104950024</v>
      </c>
      <c r="AC87" s="4" t="s">
        <v>1227</v>
      </c>
      <c r="AD87" s="4" t="s">
        <v>235</v>
      </c>
      <c r="AE87" s="4" t="s">
        <v>1182</v>
      </c>
      <c r="AF87" s="4">
        <v>0</v>
      </c>
      <c r="AG87" s="4">
        <v>0.01</v>
      </c>
      <c r="AH87" s="4" t="s">
        <v>1445</v>
      </c>
      <c r="AI87" s="4">
        <v>0</v>
      </c>
      <c r="AJ87" s="4">
        <v>1</v>
      </c>
      <c r="AK87" s="4">
        <v>0.118580002</v>
      </c>
      <c r="AL87" s="4">
        <v>3.30603412774483E-2</v>
      </c>
      <c r="AM87" s="4">
        <v>-8.5519660722551599E-2</v>
      </c>
      <c r="AN87" s="106">
        <v>2.8075104403410398E-7</v>
      </c>
    </row>
    <row r="88" spans="1:40">
      <c r="A88" s="225"/>
      <c r="B88" s="54">
        <v>100</v>
      </c>
      <c r="C88" s="48">
        <v>2.4613979744313466E-2</v>
      </c>
      <c r="D88" s="48">
        <v>2.4807938540332908E-2</v>
      </c>
      <c r="E88" s="48">
        <v>2.5977816695855225E-2</v>
      </c>
      <c r="F88" s="48">
        <v>5.1631862975129046</v>
      </c>
      <c r="G88" s="48">
        <v>5.1612815744614906</v>
      </c>
      <c r="H88" s="48">
        <v>5.1620348746691578</v>
      </c>
      <c r="I88" s="48">
        <v>5.8581000713662679</v>
      </c>
      <c r="J88" s="48">
        <v>5.7501549666821639</v>
      </c>
      <c r="K88" s="48">
        <v>5.8284131411746474</v>
      </c>
      <c r="L88" t="s">
        <v>1167</v>
      </c>
      <c r="M88">
        <f t="shared" ref="M88:U88" si="22">C88/C83</f>
        <v>1.3640683526387585</v>
      </c>
      <c r="N88">
        <f t="shared" si="22"/>
        <v>1.2135555508910394</v>
      </c>
      <c r="O88">
        <f t="shared" si="22"/>
        <v>1.3590009397930363</v>
      </c>
      <c r="P88">
        <f t="shared" si="22"/>
        <v>233.88827377631293</v>
      </c>
      <c r="Q88">
        <f t="shared" si="22"/>
        <v>247.20242620273774</v>
      </c>
      <c r="R88">
        <f t="shared" si="22"/>
        <v>243.35914207493778</v>
      </c>
      <c r="S88">
        <f t="shared" si="22"/>
        <v>234.24105630496763</v>
      </c>
      <c r="T88">
        <f t="shared" si="22"/>
        <v>250.24758666355601</v>
      </c>
      <c r="U88">
        <f t="shared" si="22"/>
        <v>225.03933423609226</v>
      </c>
      <c r="V88">
        <f>AVERAGE(M88:O88)</f>
        <v>1.3122082811076112</v>
      </c>
      <c r="W88">
        <f>AVERAGE(P88:R88)</f>
        <v>241.48328068466284</v>
      </c>
      <c r="X88">
        <f>AVERAGE(S88:U88)</f>
        <v>236.50932573487196</v>
      </c>
      <c r="AC88" s="4" t="s">
        <v>1227</v>
      </c>
      <c r="AD88" s="4" t="s">
        <v>235</v>
      </c>
      <c r="AE88" s="4" t="s">
        <v>1182</v>
      </c>
      <c r="AF88" s="4">
        <v>0</v>
      </c>
      <c r="AG88" s="4">
        <v>0.01</v>
      </c>
      <c r="AH88" s="4" t="s">
        <v>1445</v>
      </c>
      <c r="AI88" s="4">
        <v>0</v>
      </c>
      <c r="AJ88" s="4">
        <v>2</v>
      </c>
      <c r="AK88" s="4">
        <v>0.11698011</v>
      </c>
      <c r="AL88" s="4">
        <v>3.30603412774483E-2</v>
      </c>
      <c r="AM88" s="4">
        <v>-8.3919768722551594E-2</v>
      </c>
      <c r="AN88" s="106">
        <v>2.8075104403410398E-7</v>
      </c>
    </row>
    <row r="89" spans="1:40" ht="15" thickBot="1">
      <c r="AC89" s="4" t="s">
        <v>1227</v>
      </c>
      <c r="AD89" s="4" t="s">
        <v>235</v>
      </c>
      <c r="AE89" s="4" t="s">
        <v>1182</v>
      </c>
      <c r="AF89" s="4">
        <v>0</v>
      </c>
      <c r="AG89" s="4">
        <v>0.01</v>
      </c>
      <c r="AH89" s="4" t="s">
        <v>1445</v>
      </c>
      <c r="AI89" s="4">
        <v>0</v>
      </c>
      <c r="AJ89" s="4">
        <v>3</v>
      </c>
      <c r="AK89" s="4">
        <v>0.134698442</v>
      </c>
      <c r="AL89" s="4">
        <v>3.30603412774483E-2</v>
      </c>
      <c r="AM89" s="4">
        <v>-0.101638100722551</v>
      </c>
      <c r="AN89" s="106">
        <v>2.8075104403410398E-7</v>
      </c>
    </row>
    <row r="90" spans="1:40" ht="15" thickBot="1">
      <c r="B90" s="49"/>
      <c r="G90" s="48"/>
      <c r="H90" s="48"/>
      <c r="I90" s="48"/>
      <c r="J90" s="48"/>
      <c r="K90" s="48"/>
      <c r="L90" t="s">
        <v>1168</v>
      </c>
      <c r="M90">
        <f>M87+M88</f>
        <v>1.3706377969338781</v>
      </c>
      <c r="N90">
        <f t="shared" ref="N90:U90" si="23">N87+N88</f>
        <v>1.2179211301820425</v>
      </c>
      <c r="O90">
        <f t="shared" si="23"/>
        <v>1.3658633784672902</v>
      </c>
      <c r="P90">
        <f t="shared" si="23"/>
        <v>239.02938463492438</v>
      </c>
      <c r="Q90">
        <f t="shared" si="23"/>
        <v>252.34282901134833</v>
      </c>
      <c r="R90">
        <f t="shared" si="23"/>
        <v>248.49996535742815</v>
      </c>
      <c r="S90" s="88">
        <f t="shared" si="23"/>
        <v>240.07414752364267</v>
      </c>
      <c r="T90" s="89">
        <f t="shared" si="23"/>
        <v>255.974763766422</v>
      </c>
      <c r="U90" s="90">
        <f t="shared" si="23"/>
        <v>230.84184784658726</v>
      </c>
      <c r="AC90" s="4" t="s">
        <v>1227</v>
      </c>
      <c r="AD90" s="4" t="s">
        <v>235</v>
      </c>
      <c r="AE90" s="4" t="s">
        <v>1182</v>
      </c>
      <c r="AF90" s="4">
        <v>0</v>
      </c>
      <c r="AG90" s="4">
        <v>0.01</v>
      </c>
      <c r="AH90" s="4" t="s">
        <v>1446</v>
      </c>
      <c r="AI90" s="4">
        <v>10000</v>
      </c>
      <c r="AJ90" s="4">
        <v>1</v>
      </c>
      <c r="AK90" s="4">
        <v>0.145433326</v>
      </c>
      <c r="AL90" s="4">
        <v>5.4225299581369402E-2</v>
      </c>
      <c r="AM90" s="4">
        <v>-9.1208026418630503E-2</v>
      </c>
      <c r="AN90" s="4">
        <v>2.0904542602845099E-3</v>
      </c>
    </row>
    <row r="91" spans="1:40" ht="17.25">
      <c r="C91" s="224" t="s">
        <v>1684</v>
      </c>
      <c r="D91" s="224"/>
      <c r="E91" s="224"/>
      <c r="F91" s="224"/>
      <c r="G91" s="224"/>
      <c r="H91" s="224"/>
      <c r="I91" s="224"/>
      <c r="J91" s="224"/>
      <c r="K91" s="224"/>
      <c r="AC91" s="4" t="s">
        <v>1227</v>
      </c>
      <c r="AD91" s="4" t="s">
        <v>235</v>
      </c>
      <c r="AE91" s="4" t="s">
        <v>1182</v>
      </c>
      <c r="AF91" s="4">
        <v>0</v>
      </c>
      <c r="AG91" s="4">
        <v>0.01</v>
      </c>
      <c r="AH91" s="4" t="s">
        <v>1446</v>
      </c>
      <c r="AI91" s="4">
        <v>10000</v>
      </c>
      <c r="AJ91" s="4">
        <v>2</v>
      </c>
      <c r="AK91" s="4">
        <v>0.144437865</v>
      </c>
      <c r="AL91" s="4">
        <v>5.4225299581369402E-2</v>
      </c>
      <c r="AM91" s="4">
        <v>-9.02125654186305E-2</v>
      </c>
      <c r="AN91" s="4">
        <v>2.0904542602845099E-3</v>
      </c>
    </row>
    <row r="92" spans="1:40">
      <c r="A92" s="50" t="s">
        <v>786</v>
      </c>
      <c r="B92" s="51"/>
      <c r="C92" s="48">
        <v>1.4566296728971966E-2</v>
      </c>
      <c r="D92" s="48">
        <v>1.3647739715313627E-2</v>
      </c>
      <c r="E92" s="48">
        <v>1.4850434905593665E-2</v>
      </c>
      <c r="F92" s="48">
        <v>0.50441357354750016</v>
      </c>
      <c r="G92" s="48">
        <v>0.47348653874758295</v>
      </c>
      <c r="H92" s="48">
        <v>0.46238017154389505</v>
      </c>
      <c r="I92" s="48">
        <v>3.4532262710643815</v>
      </c>
      <c r="J92" s="48">
        <v>3.1536521318499067</v>
      </c>
      <c r="K92" s="48">
        <v>3.3410637184351692</v>
      </c>
      <c r="AC92" s="4" t="s">
        <v>1227</v>
      </c>
      <c r="AD92" s="4" t="s">
        <v>235</v>
      </c>
      <c r="AE92" s="4" t="s">
        <v>1182</v>
      </c>
      <c r="AF92" s="4">
        <v>0</v>
      </c>
      <c r="AG92" s="4">
        <v>0.01</v>
      </c>
      <c r="AH92" s="4" t="s">
        <v>1446</v>
      </c>
      <c r="AI92" s="4">
        <v>10000</v>
      </c>
      <c r="AJ92" s="4">
        <v>3</v>
      </c>
      <c r="AK92" s="4">
        <v>0.11648093399999999</v>
      </c>
      <c r="AL92" s="4">
        <v>5.4225299581369402E-2</v>
      </c>
      <c r="AM92" s="4">
        <v>-6.2255634418630502E-2</v>
      </c>
      <c r="AN92" s="4">
        <v>2.0904542602845099E-3</v>
      </c>
    </row>
    <row r="93" spans="1:40">
      <c r="A93" s="52" t="s">
        <v>787</v>
      </c>
      <c r="B93" s="53"/>
      <c r="C93" s="226">
        <v>0</v>
      </c>
      <c r="D93" s="226"/>
      <c r="E93" s="226"/>
      <c r="F93" s="226">
        <v>20</v>
      </c>
      <c r="G93" s="226"/>
      <c r="H93" s="226"/>
      <c r="I93" s="226">
        <v>500</v>
      </c>
      <c r="J93" s="226"/>
      <c r="K93" s="226"/>
      <c r="AC93" s="4" t="s">
        <v>1227</v>
      </c>
      <c r="AD93" s="4" t="s">
        <v>235</v>
      </c>
      <c r="AE93" s="4" t="s">
        <v>1182</v>
      </c>
      <c r="AF93" s="4">
        <v>20</v>
      </c>
      <c r="AG93" s="4">
        <v>0.4</v>
      </c>
      <c r="AH93" s="4" t="s">
        <v>1445</v>
      </c>
      <c r="AI93" s="4">
        <v>0</v>
      </c>
      <c r="AJ93" s="4">
        <v>1</v>
      </c>
      <c r="AK93" s="4">
        <v>0.15697274999999999</v>
      </c>
      <c r="AL93" s="4">
        <v>3.76040436891611E-2</v>
      </c>
      <c r="AM93" s="4">
        <v>-0.119368706310838</v>
      </c>
      <c r="AN93" s="4">
        <v>4.4900010491465402E-4</v>
      </c>
    </row>
    <row r="94" spans="1:40">
      <c r="A94" s="225" t="s">
        <v>789</v>
      </c>
      <c r="B94" s="49">
        <v>0</v>
      </c>
      <c r="C94" s="48">
        <v>4.0989075139688101E-2</v>
      </c>
      <c r="D94" s="48">
        <v>3.9258402987728973E-2</v>
      </c>
      <c r="E94" s="48">
        <v>4.094773167241815E-2</v>
      </c>
      <c r="F94" s="48">
        <v>6.332567489948307E-2</v>
      </c>
      <c r="G94" s="48">
        <v>6.5356004250797031E-2</v>
      </c>
      <c r="H94" s="48">
        <v>6.0919742753942394E-2</v>
      </c>
      <c r="I94" s="48">
        <v>6.8378438331854474E-2</v>
      </c>
      <c r="J94" s="48">
        <v>7.802599076361294E-2</v>
      </c>
      <c r="K94" s="48">
        <v>6.6280078040320836E-2</v>
      </c>
      <c r="AC94" s="4" t="s">
        <v>1227</v>
      </c>
      <c r="AD94" s="4" t="s">
        <v>235</v>
      </c>
      <c r="AE94" s="4" t="s">
        <v>1182</v>
      </c>
      <c r="AF94" s="4">
        <v>20</v>
      </c>
      <c r="AG94" s="4">
        <v>0.4</v>
      </c>
      <c r="AH94" s="4" t="s">
        <v>1445</v>
      </c>
      <c r="AI94" s="4">
        <v>0</v>
      </c>
      <c r="AJ94" s="4">
        <v>2</v>
      </c>
      <c r="AK94" s="4">
        <v>0.15751378699999999</v>
      </c>
      <c r="AL94" s="4">
        <v>3.76040436891611E-2</v>
      </c>
      <c r="AM94" s="4">
        <v>-0.11990974331083799</v>
      </c>
      <c r="AN94" s="4">
        <v>4.4900010491465402E-4</v>
      </c>
    </row>
    <row r="95" spans="1:40">
      <c r="A95" s="225"/>
      <c r="B95" s="54">
        <v>0.01</v>
      </c>
      <c r="C95" s="48">
        <v>3.516781836130306E-2</v>
      </c>
      <c r="D95" s="48">
        <v>3.6026295303174465E-2</v>
      </c>
      <c r="E95" s="48">
        <v>3.4625237583670775E-2</v>
      </c>
      <c r="F95" s="48">
        <v>5.1285303568408595E-2</v>
      </c>
      <c r="G95" s="48">
        <v>6.169532938633588E-2</v>
      </c>
      <c r="H95" s="48">
        <v>5.8560552407932023E-2</v>
      </c>
      <c r="I95" s="48">
        <v>8.5405883095568749E-2</v>
      </c>
      <c r="J95" s="48">
        <v>7.3773964622391705E-2</v>
      </c>
      <c r="K95" s="48">
        <v>7.2951331114808657E-2</v>
      </c>
      <c r="AC95" s="4" t="s">
        <v>1227</v>
      </c>
      <c r="AD95" s="4" t="s">
        <v>235</v>
      </c>
      <c r="AE95" s="4" t="s">
        <v>1182</v>
      </c>
      <c r="AF95" s="4">
        <v>20</v>
      </c>
      <c r="AG95" s="4">
        <v>0.4</v>
      </c>
      <c r="AH95" s="4" t="s">
        <v>1445</v>
      </c>
      <c r="AI95" s="4">
        <v>0</v>
      </c>
      <c r="AJ95" s="4">
        <v>3</v>
      </c>
      <c r="AK95" s="4">
        <v>0.15536524299999999</v>
      </c>
      <c r="AL95" s="4">
        <v>3.76040436891611E-2</v>
      </c>
      <c r="AM95" s="4">
        <v>-0.11776119931083801</v>
      </c>
      <c r="AN95" s="4">
        <v>4.4900010491465402E-4</v>
      </c>
    </row>
    <row r="96" spans="1:40">
      <c r="A96" s="225"/>
      <c r="B96" s="54">
        <v>0.1</v>
      </c>
      <c r="C96" s="48">
        <v>3.6484588050574335E-2</v>
      </c>
      <c r="D96" s="48">
        <v>3.5980043970911549E-2</v>
      </c>
      <c r="E96" s="48">
        <v>3.4500253678335868E-2</v>
      </c>
      <c r="F96" s="48">
        <v>6.0652574335584609E-2</v>
      </c>
      <c r="G96" s="48">
        <v>6.8908538763844243E-2</v>
      </c>
      <c r="H96" s="48">
        <v>6.3122191877367645E-2</v>
      </c>
      <c r="I96" s="48">
        <v>0.29677161761350668</v>
      </c>
      <c r="J96" s="48">
        <v>0.26783781123905126</v>
      </c>
      <c r="K96" s="48">
        <v>0.24987923872089654</v>
      </c>
      <c r="AC96" s="4" t="s">
        <v>1227</v>
      </c>
      <c r="AD96" s="4" t="s">
        <v>235</v>
      </c>
      <c r="AE96" s="4" t="s">
        <v>1182</v>
      </c>
      <c r="AF96" s="4">
        <v>20</v>
      </c>
      <c r="AG96" s="4">
        <v>0.4</v>
      </c>
      <c r="AH96" s="4" t="s">
        <v>1446</v>
      </c>
      <c r="AI96" s="4">
        <v>10000</v>
      </c>
      <c r="AJ96" s="4">
        <v>1</v>
      </c>
      <c r="AK96" s="4">
        <v>7.8206329300000004</v>
      </c>
      <c r="AL96" s="4">
        <v>7.8321175734002599</v>
      </c>
      <c r="AM96" s="4">
        <v>1.14846434002657E-2</v>
      </c>
      <c r="AN96" s="4">
        <v>0.77020651454331401</v>
      </c>
    </row>
    <row r="97" spans="1:40">
      <c r="A97" s="225"/>
      <c r="B97" s="54">
        <v>1</v>
      </c>
      <c r="C97" s="48">
        <v>3.3372073717416566E-2</v>
      </c>
      <c r="D97" s="48">
        <v>3.5746043037524454E-2</v>
      </c>
      <c r="E97" s="48">
        <v>3.6360575709115391E-2</v>
      </c>
      <c r="F97" s="48">
        <v>0.31309148264984227</v>
      </c>
      <c r="G97" s="48">
        <v>0.34774008921807931</v>
      </c>
      <c r="H97" s="48">
        <v>0.31855762933857235</v>
      </c>
      <c r="I97" s="48">
        <v>4.3856047142456269</v>
      </c>
      <c r="J97" s="48">
        <v>4.1665095148294187</v>
      </c>
      <c r="K97" s="48">
        <v>4.0349144698785224</v>
      </c>
      <c r="AC97" s="4" t="s">
        <v>1227</v>
      </c>
      <c r="AD97" s="4" t="s">
        <v>235</v>
      </c>
      <c r="AE97" s="4" t="s">
        <v>1182</v>
      </c>
      <c r="AF97" s="4">
        <v>20</v>
      </c>
      <c r="AG97" s="4">
        <v>0.4</v>
      </c>
      <c r="AH97" s="4" t="s">
        <v>1446</v>
      </c>
      <c r="AI97" s="4">
        <v>10000</v>
      </c>
      <c r="AJ97" s="4">
        <v>2</v>
      </c>
      <c r="AK97" s="4">
        <v>7.8907186740000004</v>
      </c>
      <c r="AL97" s="4">
        <v>7.8321175734002599</v>
      </c>
      <c r="AM97" s="4">
        <v>-5.8601100599734203E-2</v>
      </c>
      <c r="AN97" s="4">
        <v>0.77020651454331401</v>
      </c>
    </row>
    <row r="98" spans="1:40">
      <c r="A98" s="225"/>
      <c r="B98" s="54">
        <v>10</v>
      </c>
      <c r="C98" s="48">
        <v>3.8187622789783889E-2</v>
      </c>
      <c r="D98" s="48">
        <v>3.8775693384794904E-2</v>
      </c>
      <c r="E98" s="48">
        <v>3.5920516304347824E-2</v>
      </c>
      <c r="F98" s="48">
        <v>1.1518180322474501</v>
      </c>
      <c r="G98" s="48">
        <v>1.2780931227377428</v>
      </c>
      <c r="H98" s="48">
        <v>1.2781920241286866</v>
      </c>
      <c r="I98" s="48">
        <v>5.9707455842391308</v>
      </c>
      <c r="J98" s="48">
        <v>6.3370531744620315</v>
      </c>
      <c r="K98" s="48">
        <v>6.0480978919311852</v>
      </c>
      <c r="L98" t="s">
        <v>1166</v>
      </c>
      <c r="M98">
        <f>C99-C94</f>
        <v>-6.2697754174424955E-3</v>
      </c>
      <c r="N98">
        <f t="shared" ref="N98:U98" si="24">D99-D94</f>
        <v>1.0261640513771764E-3</v>
      </c>
      <c r="O98">
        <f t="shared" si="24"/>
        <v>-4.0375338033161665E-3</v>
      </c>
      <c r="P98">
        <f t="shared" si="24"/>
        <v>1.7463748625973179</v>
      </c>
      <c r="Q98">
        <f t="shared" si="24"/>
        <v>1.7354455823949348</v>
      </c>
      <c r="R98">
        <f t="shared" si="24"/>
        <v>1.6921867537851289</v>
      </c>
      <c r="S98">
        <f t="shared" si="24"/>
        <v>6.0958166585308238</v>
      </c>
      <c r="T98">
        <f t="shared" si="24"/>
        <v>5.9409033557519413</v>
      </c>
      <c r="U98">
        <f t="shared" si="24"/>
        <v>5.870017434864419</v>
      </c>
      <c r="AC98" s="4" t="s">
        <v>1227</v>
      </c>
      <c r="AD98" s="4" t="s">
        <v>235</v>
      </c>
      <c r="AE98" s="4" t="s">
        <v>1182</v>
      </c>
      <c r="AF98" s="4">
        <v>20</v>
      </c>
      <c r="AG98" s="4">
        <v>0.4</v>
      </c>
      <c r="AH98" s="4" t="s">
        <v>1446</v>
      </c>
      <c r="AI98" s="4">
        <v>10000</v>
      </c>
      <c r="AJ98" s="4">
        <v>3</v>
      </c>
      <c r="AK98" s="4">
        <v>7.8578935599999999</v>
      </c>
      <c r="AL98" s="4">
        <v>7.8321175734002599</v>
      </c>
      <c r="AM98" s="4">
        <v>-2.5775986599733701E-2</v>
      </c>
      <c r="AN98" s="4">
        <v>0.77020651454331401</v>
      </c>
    </row>
    <row r="99" spans="1:40">
      <c r="A99" s="225"/>
      <c r="B99" s="54">
        <v>100</v>
      </c>
      <c r="C99" s="48">
        <v>3.4719299722245606E-2</v>
      </c>
      <c r="D99" s="48">
        <v>4.0284567039106149E-2</v>
      </c>
      <c r="E99" s="48">
        <v>3.6910197869101984E-2</v>
      </c>
      <c r="F99" s="48">
        <v>1.8097005374968009</v>
      </c>
      <c r="G99" s="48">
        <v>1.8008015866457319</v>
      </c>
      <c r="H99" s="48">
        <v>1.7531064965390712</v>
      </c>
      <c r="I99" s="48">
        <v>6.1641950968626782</v>
      </c>
      <c r="J99" s="48">
        <v>6.018929346515554</v>
      </c>
      <c r="K99" s="48">
        <v>5.9362975129047397</v>
      </c>
      <c r="L99" t="s">
        <v>1167</v>
      </c>
      <c r="M99">
        <f t="shared" ref="M99:U99" si="25">C99/C94</f>
        <v>0.84703789007008556</v>
      </c>
      <c r="N99">
        <f t="shared" si="25"/>
        <v>1.0261387110346267</v>
      </c>
      <c r="O99">
        <f t="shared" si="25"/>
        <v>0.9013978640961986</v>
      </c>
      <c r="P99">
        <f t="shared" si="25"/>
        <v>28.577674700969883</v>
      </c>
      <c r="Q99">
        <f t="shared" si="25"/>
        <v>27.553728342010302</v>
      </c>
      <c r="R99">
        <f t="shared" si="25"/>
        <v>28.777312859313081</v>
      </c>
      <c r="S99">
        <f t="shared" si="25"/>
        <v>90.14822869961705</v>
      </c>
      <c r="T99">
        <f t="shared" si="25"/>
        <v>77.140056635108493</v>
      </c>
      <c r="U99">
        <f t="shared" si="25"/>
        <v>89.563828052427027</v>
      </c>
      <c r="V99">
        <f>AVERAGE(M99:O99)</f>
        <v>0.92485815506697033</v>
      </c>
      <c r="W99">
        <f>AVERAGE(P99:R99)</f>
        <v>28.302905300764422</v>
      </c>
      <c r="X99">
        <f>AVERAGE(S99:U99)</f>
        <v>85.617371129050866</v>
      </c>
      <c r="AC99" s="4" t="s">
        <v>1227</v>
      </c>
      <c r="AD99" s="4" t="s">
        <v>235</v>
      </c>
      <c r="AE99" s="4" t="s">
        <v>1182</v>
      </c>
      <c r="AF99" s="4">
        <v>500</v>
      </c>
      <c r="AG99" s="4">
        <v>3.02</v>
      </c>
      <c r="AH99" s="4" t="s">
        <v>1445</v>
      </c>
      <c r="AI99" s="4">
        <v>0</v>
      </c>
      <c r="AJ99" s="4">
        <v>1</v>
      </c>
      <c r="AK99" s="4">
        <v>0.309453284</v>
      </c>
      <c r="AL99" s="4">
        <v>0.28586506686627899</v>
      </c>
      <c r="AM99" s="4">
        <v>-2.35882171337203E-2</v>
      </c>
      <c r="AN99" s="4">
        <v>2.4966346492769999E-2</v>
      </c>
    </row>
    <row r="100" spans="1:40">
      <c r="AC100" s="4" t="s">
        <v>1227</v>
      </c>
      <c r="AD100" s="4" t="s">
        <v>235</v>
      </c>
      <c r="AE100" s="4" t="s">
        <v>1182</v>
      </c>
      <c r="AF100" s="4">
        <v>500</v>
      </c>
      <c r="AG100" s="4">
        <v>3.02</v>
      </c>
      <c r="AH100" s="4" t="s">
        <v>1445</v>
      </c>
      <c r="AI100" s="4">
        <v>0</v>
      </c>
      <c r="AJ100" s="4">
        <v>2</v>
      </c>
      <c r="AK100" s="4">
        <v>0.27844738699999999</v>
      </c>
      <c r="AL100" s="4">
        <v>0.28586506686627899</v>
      </c>
      <c r="AM100" s="4">
        <v>7.4176798662796599E-3</v>
      </c>
      <c r="AN100" s="4">
        <v>2.4966346492769999E-2</v>
      </c>
    </row>
    <row r="101" spans="1:40">
      <c r="B101" s="49"/>
      <c r="G101" s="48"/>
      <c r="H101" s="48"/>
      <c r="I101" s="48"/>
      <c r="J101" s="48"/>
      <c r="K101" s="48"/>
      <c r="L101" t="s">
        <v>1168</v>
      </c>
      <c r="M101">
        <f>M98+M99</f>
        <v>0.84076811465264312</v>
      </c>
      <c r="N101">
        <f t="shared" ref="N101:U101" si="26">N98+N99</f>
        <v>1.0271648750860038</v>
      </c>
      <c r="O101">
        <f t="shared" si="26"/>
        <v>0.89736033029288242</v>
      </c>
      <c r="P101">
        <f t="shared" si="26"/>
        <v>30.3240495635672</v>
      </c>
      <c r="Q101">
        <f t="shared" si="26"/>
        <v>29.289173924405237</v>
      </c>
      <c r="R101">
        <f t="shared" si="26"/>
        <v>30.469499613098211</v>
      </c>
      <c r="S101" s="67">
        <f t="shared" si="26"/>
        <v>96.244045358147872</v>
      </c>
      <c r="T101" s="67">
        <f t="shared" si="26"/>
        <v>83.080959990860435</v>
      </c>
      <c r="U101" s="67">
        <f t="shared" si="26"/>
        <v>95.43384548729145</v>
      </c>
      <c r="AC101" s="4" t="s">
        <v>1227</v>
      </c>
      <c r="AD101" s="4" t="s">
        <v>235</v>
      </c>
      <c r="AE101" s="4" t="s">
        <v>1182</v>
      </c>
      <c r="AF101" s="4">
        <v>500</v>
      </c>
      <c r="AG101" s="4">
        <v>3.02</v>
      </c>
      <c r="AH101" s="4" t="s">
        <v>1445</v>
      </c>
      <c r="AI101" s="4">
        <v>0</v>
      </c>
      <c r="AJ101" s="4">
        <v>3</v>
      </c>
      <c r="AK101" s="4">
        <v>0.26310906699999997</v>
      </c>
      <c r="AL101" s="4">
        <v>0.28586506686627899</v>
      </c>
      <c r="AM101" s="4">
        <v>2.2755999866279599E-2</v>
      </c>
      <c r="AN101" s="4">
        <v>2.4966346492769999E-2</v>
      </c>
    </row>
    <row r="102" spans="1:40" ht="17.25">
      <c r="C102" s="224" t="s">
        <v>1686</v>
      </c>
      <c r="D102" s="224"/>
      <c r="E102" s="224"/>
      <c r="F102" s="224"/>
      <c r="G102" s="224"/>
      <c r="H102" s="224"/>
      <c r="I102" s="224"/>
      <c r="J102" s="224"/>
      <c r="K102" s="224"/>
      <c r="AC102" s="4" t="s">
        <v>1227</v>
      </c>
      <c r="AD102" s="4" t="s">
        <v>235</v>
      </c>
      <c r="AE102" s="4" t="s">
        <v>1182</v>
      </c>
      <c r="AF102" s="4">
        <v>500</v>
      </c>
      <c r="AG102" s="4">
        <v>3.02</v>
      </c>
      <c r="AH102" s="4" t="s">
        <v>1446</v>
      </c>
      <c r="AI102" s="4">
        <v>10000</v>
      </c>
      <c r="AJ102" s="4">
        <v>1</v>
      </c>
      <c r="AK102" s="4">
        <v>9.033899109</v>
      </c>
      <c r="AL102" s="4">
        <v>10.106267629611599</v>
      </c>
      <c r="AM102" s="4">
        <v>1.07236852061169</v>
      </c>
      <c r="AN102" s="4">
        <v>0.99479321749232297</v>
      </c>
    </row>
    <row r="103" spans="1:40">
      <c r="A103" s="50" t="s">
        <v>786</v>
      </c>
      <c r="B103" s="51"/>
      <c r="C103" s="48">
        <v>1.4566296728971966E-2</v>
      </c>
      <c r="D103" s="48">
        <v>1.3647739715313627E-2</v>
      </c>
      <c r="E103" s="48">
        <v>1.4850434905593665E-2</v>
      </c>
      <c r="F103" s="48">
        <v>0.50441357354750016</v>
      </c>
      <c r="G103" s="48">
        <v>0.47348653874758295</v>
      </c>
      <c r="H103" s="48">
        <v>0.46238017154389505</v>
      </c>
      <c r="I103" s="48">
        <v>3.4532262710643815</v>
      </c>
      <c r="J103" s="48">
        <v>3.1536521318499067</v>
      </c>
      <c r="K103" s="48">
        <v>3.3410637184351692</v>
      </c>
      <c r="AC103" s="4" t="s">
        <v>1227</v>
      </c>
      <c r="AD103" s="4" t="s">
        <v>235</v>
      </c>
      <c r="AE103" s="4" t="s">
        <v>1182</v>
      </c>
      <c r="AF103" s="4">
        <v>500</v>
      </c>
      <c r="AG103" s="4">
        <v>3.02</v>
      </c>
      <c r="AH103" s="4" t="s">
        <v>1446</v>
      </c>
      <c r="AI103" s="4">
        <v>10000</v>
      </c>
      <c r="AJ103" s="4">
        <v>2</v>
      </c>
      <c r="AK103" s="4">
        <v>9.4047015770000009</v>
      </c>
      <c r="AL103" s="4">
        <v>10.106267629611599</v>
      </c>
      <c r="AM103" s="4">
        <v>0.70156605261169402</v>
      </c>
      <c r="AN103" s="4">
        <v>0.99479321749232297</v>
      </c>
    </row>
    <row r="104" spans="1:40">
      <c r="A104" s="52" t="s">
        <v>787</v>
      </c>
      <c r="B104" s="53"/>
      <c r="C104" s="226">
        <v>0</v>
      </c>
      <c r="D104" s="226"/>
      <c r="E104" s="226"/>
      <c r="F104" s="226">
        <v>20</v>
      </c>
      <c r="G104" s="226"/>
      <c r="H104" s="226"/>
      <c r="I104" s="226">
        <v>500</v>
      </c>
      <c r="J104" s="226"/>
      <c r="K104" s="226"/>
      <c r="AC104" s="4" t="s">
        <v>1227</v>
      </c>
      <c r="AD104" s="4" t="s">
        <v>235</v>
      </c>
      <c r="AE104" s="4" t="s">
        <v>1182</v>
      </c>
      <c r="AF104" s="4">
        <v>500</v>
      </c>
      <c r="AG104" s="4">
        <v>3.02</v>
      </c>
      <c r="AH104" s="4" t="s">
        <v>1446</v>
      </c>
      <c r="AI104" s="4">
        <v>10000</v>
      </c>
      <c r="AJ104" s="4">
        <v>3</v>
      </c>
      <c r="AK104" s="4">
        <v>9.2913426890000004</v>
      </c>
      <c r="AL104" s="4">
        <v>10.106267629611599</v>
      </c>
      <c r="AM104" s="4">
        <v>0.81492494061169396</v>
      </c>
      <c r="AN104" s="4">
        <v>0.99479321749232297</v>
      </c>
    </row>
    <row r="105" spans="1:40">
      <c r="A105" s="225" t="s">
        <v>789</v>
      </c>
      <c r="B105" s="49">
        <v>0</v>
      </c>
      <c r="C105" s="48">
        <v>6.4825978619082084E-2</v>
      </c>
      <c r="D105" s="48">
        <v>6.2385854225469044E-2</v>
      </c>
      <c r="E105" s="48">
        <v>7.2425164890918325E-2</v>
      </c>
      <c r="F105" s="48">
        <v>9.9466925127211059E-2</v>
      </c>
      <c r="G105" s="48">
        <v>0.10747778874629814</v>
      </c>
      <c r="H105" s="48">
        <v>9.7281294304061391E-2</v>
      </c>
      <c r="I105" s="48">
        <v>0.29091154990532864</v>
      </c>
      <c r="J105" s="48">
        <v>0.3880177105433078</v>
      </c>
      <c r="K105" s="48">
        <v>0.40280234615026533</v>
      </c>
      <c r="AC105" s="4" t="s">
        <v>1352</v>
      </c>
      <c r="AD105" s="4" t="s">
        <v>233</v>
      </c>
      <c r="AE105" s="4" t="s">
        <v>209</v>
      </c>
      <c r="AF105" s="4">
        <v>0</v>
      </c>
      <c r="AG105" s="4">
        <v>0.01</v>
      </c>
      <c r="AH105" s="4" t="s">
        <v>1445</v>
      </c>
      <c r="AI105" s="4">
        <v>0</v>
      </c>
      <c r="AJ105" s="4">
        <v>1</v>
      </c>
      <c r="AK105" s="4">
        <v>1.3376005E-2</v>
      </c>
      <c r="AL105" s="4">
        <v>1.2922920790154901E-2</v>
      </c>
      <c r="AM105" s="4">
        <v>-4.5308420984502902E-4</v>
      </c>
      <c r="AN105" s="106">
        <v>2.7636189578711201E-8</v>
      </c>
    </row>
    <row r="106" spans="1:40">
      <c r="A106" s="225"/>
      <c r="B106" s="54">
        <v>0.1</v>
      </c>
      <c r="C106" s="48">
        <v>5.9590833399413221E-2</v>
      </c>
      <c r="D106" s="48">
        <v>5.9199421268386794E-2</v>
      </c>
      <c r="E106" s="48">
        <v>5.8395627361144613E-2</v>
      </c>
      <c r="F106" s="48">
        <v>9.7379631862390501E-2</v>
      </c>
      <c r="G106" s="48">
        <v>0.1060632159159418</v>
      </c>
      <c r="H106" s="48">
        <v>0.12008135480657481</v>
      </c>
      <c r="I106" s="48">
        <v>0.38834036441971098</v>
      </c>
      <c r="J106" s="48">
        <v>0.42342300982462583</v>
      </c>
      <c r="K106" s="48">
        <v>0.44516339260776466</v>
      </c>
      <c r="AC106" s="4" t="s">
        <v>1352</v>
      </c>
      <c r="AD106" s="4" t="s">
        <v>233</v>
      </c>
      <c r="AE106" s="4" t="s">
        <v>209</v>
      </c>
      <c r="AF106" s="4">
        <v>0</v>
      </c>
      <c r="AG106" s="4">
        <v>0.01</v>
      </c>
      <c r="AH106" s="4" t="s">
        <v>1445</v>
      </c>
      <c r="AI106" s="4">
        <v>0</v>
      </c>
      <c r="AJ106" s="4">
        <v>2</v>
      </c>
      <c r="AK106" s="4">
        <v>1.3514669E-2</v>
      </c>
      <c r="AL106" s="4">
        <v>1.2922920790154901E-2</v>
      </c>
      <c r="AM106" s="4">
        <v>-5.9174820984502895E-4</v>
      </c>
      <c r="AN106" s="106">
        <v>2.7636189578711201E-8</v>
      </c>
    </row>
    <row r="107" spans="1:40">
      <c r="A107" s="225"/>
      <c r="B107" s="54">
        <v>1</v>
      </c>
      <c r="C107" s="48">
        <v>6.4348584569027048E-2</v>
      </c>
      <c r="D107" s="48">
        <v>5.6941046484097556E-2</v>
      </c>
      <c r="E107" s="48">
        <v>5.9308657564517413E-2</v>
      </c>
      <c r="F107" s="48">
        <v>0.23683787476890925</v>
      </c>
      <c r="G107" s="48">
        <v>0.25371754682099512</v>
      </c>
      <c r="H107" s="48">
        <v>0.2409936327077748</v>
      </c>
      <c r="I107" s="48">
        <v>1.5557076763289588</v>
      </c>
      <c r="J107" s="48">
        <v>1.5977457674679638</v>
      </c>
      <c r="K107" s="48">
        <v>1.7496170783074863</v>
      </c>
      <c r="AC107" s="4" t="s">
        <v>1352</v>
      </c>
      <c r="AD107" s="4" t="s">
        <v>233</v>
      </c>
      <c r="AE107" s="4" t="s">
        <v>209</v>
      </c>
      <c r="AF107" s="4">
        <v>0</v>
      </c>
      <c r="AG107" s="4">
        <v>0.01</v>
      </c>
      <c r="AH107" s="4" t="s">
        <v>1445</v>
      </c>
      <c r="AI107" s="4">
        <v>0</v>
      </c>
      <c r="AJ107" s="4">
        <v>3</v>
      </c>
      <c r="AK107" s="4">
        <v>1.2935696E-2</v>
      </c>
      <c r="AL107" s="4">
        <v>1.2922920790154901E-2</v>
      </c>
      <c r="AM107" s="106">
        <v>-1.27752098450298E-5</v>
      </c>
      <c r="AN107" s="106">
        <v>2.7636189578711201E-8</v>
      </c>
    </row>
    <row r="108" spans="1:40">
      <c r="A108" s="225"/>
      <c r="B108" s="54">
        <v>10</v>
      </c>
      <c r="C108" s="48">
        <v>6.6647736491968201E-2</v>
      </c>
      <c r="D108" s="48">
        <v>6.3466600855544592E-2</v>
      </c>
      <c r="E108" s="48">
        <v>6.3159146776623598E-2</v>
      </c>
      <c r="F108" s="48">
        <v>0.89019465309748824</v>
      </c>
      <c r="G108" s="48">
        <v>1.0621716287215412</v>
      </c>
      <c r="H108" s="48">
        <v>1.0573624320652175</v>
      </c>
      <c r="I108" s="48">
        <v>3.0225052864766893</v>
      </c>
      <c r="J108" s="48">
        <v>3.4104248017986039</v>
      </c>
      <c r="K108" s="48">
        <v>3.2193636089014199</v>
      </c>
      <c r="L108" t="s">
        <v>1166</v>
      </c>
      <c r="M108">
        <f t="shared" ref="M108:U108" si="27">C109-C105</f>
        <v>5.7165950044774649E-3</v>
      </c>
      <c r="N108">
        <f t="shared" si="27"/>
        <v>7.2628878370661273E-3</v>
      </c>
      <c r="O108">
        <f t="shared" si="27"/>
        <v>1.4837610028548692E-3</v>
      </c>
      <c r="P108">
        <f t="shared" si="27"/>
        <v>2.4396339275125274</v>
      </c>
      <c r="Q108">
        <f t="shared" si="27"/>
        <v>2.2976983373410329</v>
      </c>
      <c r="R108">
        <f t="shared" si="27"/>
        <v>2.1905311793934392</v>
      </c>
      <c r="S108">
        <f t="shared" si="27"/>
        <v>3.5826911575092955</v>
      </c>
      <c r="T108">
        <f t="shared" si="27"/>
        <v>3.5076575550105615</v>
      </c>
      <c r="U108">
        <f t="shared" si="27"/>
        <v>3.8179304972406882</v>
      </c>
      <c r="AC108" s="4" t="s">
        <v>1352</v>
      </c>
      <c r="AD108" s="4" t="s">
        <v>233</v>
      </c>
      <c r="AE108" s="4" t="s">
        <v>209</v>
      </c>
      <c r="AF108" s="4">
        <v>0</v>
      </c>
      <c r="AG108" s="4">
        <v>0.01</v>
      </c>
      <c r="AH108" s="4" t="s">
        <v>1446</v>
      </c>
      <c r="AI108" s="4">
        <v>10</v>
      </c>
      <c r="AJ108" s="4">
        <v>1</v>
      </c>
      <c r="AK108" s="4">
        <v>1.9778667E-2</v>
      </c>
      <c r="AL108" s="4">
        <v>1.2937203636421601E-2</v>
      </c>
      <c r="AM108" s="4">
        <v>-6.84146336357836E-3</v>
      </c>
      <c r="AN108" s="106">
        <v>2.48718447394601E-6</v>
      </c>
    </row>
    <row r="109" spans="1:40">
      <c r="A109" s="225"/>
      <c r="B109" s="54">
        <v>1000</v>
      </c>
      <c r="C109" s="48">
        <v>7.0542573623559549E-2</v>
      </c>
      <c r="D109" s="48">
        <v>6.9648742062535171E-2</v>
      </c>
      <c r="E109" s="48">
        <v>7.3908925893773195E-2</v>
      </c>
      <c r="F109" s="48">
        <v>2.5391008526397383</v>
      </c>
      <c r="G109" s="48">
        <v>2.4051761260873312</v>
      </c>
      <c r="H109" s="48">
        <v>2.2878124736975005</v>
      </c>
      <c r="I109" s="48">
        <v>3.8736027074146242</v>
      </c>
      <c r="J109" s="48">
        <v>3.8956752655538693</v>
      </c>
      <c r="K109" s="48">
        <v>4.2207328433909534</v>
      </c>
      <c r="L109" t="s">
        <v>1167</v>
      </c>
      <c r="M109">
        <f t="shared" ref="M109:U109" si="28">C109/C105</f>
        <v>1.0881837054565457</v>
      </c>
      <c r="N109">
        <f t="shared" si="28"/>
        <v>1.1164188248640035</v>
      </c>
      <c r="O109">
        <f t="shared" si="28"/>
        <v>1.0204868156681397</v>
      </c>
      <c r="P109">
        <f t="shared" si="28"/>
        <v>25.527087013018754</v>
      </c>
      <c r="Q109">
        <f t="shared" si="28"/>
        <v>22.378355138704627</v>
      </c>
      <c r="R109">
        <f t="shared" si="28"/>
        <v>23.517496246983907</v>
      </c>
      <c r="S109">
        <f t="shared" si="28"/>
        <v>13.315396754357849</v>
      </c>
      <c r="T109">
        <f t="shared" si="28"/>
        <v>10.039941888474861</v>
      </c>
      <c r="U109">
        <f t="shared" si="28"/>
        <v>10.478421696720728</v>
      </c>
      <c r="V109">
        <f>AVERAGE(M109:O109)</f>
        <v>1.0750297819962296</v>
      </c>
      <c r="W109">
        <f>AVERAGE(P109:R109)</f>
        <v>23.80764613290243</v>
      </c>
      <c r="X109">
        <f>AVERAGE(S109:U109)</f>
        <v>11.277920113184479</v>
      </c>
      <c r="AC109" s="4" t="s">
        <v>1352</v>
      </c>
      <c r="AD109" s="4" t="s">
        <v>233</v>
      </c>
      <c r="AE109" s="4" t="s">
        <v>209</v>
      </c>
      <c r="AF109" s="4">
        <v>0</v>
      </c>
      <c r="AG109" s="4">
        <v>0.01</v>
      </c>
      <c r="AH109" s="4" t="s">
        <v>1446</v>
      </c>
      <c r="AI109" s="4">
        <v>10</v>
      </c>
      <c r="AJ109" s="4">
        <v>2</v>
      </c>
      <c r="AK109" s="4">
        <v>2.016546E-2</v>
      </c>
      <c r="AL109" s="4">
        <v>1.2937203636421601E-2</v>
      </c>
      <c r="AM109" s="4">
        <v>-7.2282563635783599E-3</v>
      </c>
      <c r="AN109" s="106">
        <v>2.48718447394601E-6</v>
      </c>
    </row>
    <row r="110" spans="1:40" ht="15" thickBot="1">
      <c r="A110" s="225"/>
      <c r="B110" s="54"/>
      <c r="G110" s="48"/>
      <c r="H110" s="48"/>
      <c r="I110" s="48"/>
      <c r="J110" s="48"/>
      <c r="K110" s="48"/>
      <c r="AC110" s="4" t="s">
        <v>1352</v>
      </c>
      <c r="AD110" s="4" t="s">
        <v>233</v>
      </c>
      <c r="AE110" s="4" t="s">
        <v>209</v>
      </c>
      <c r="AF110" s="4">
        <v>0</v>
      </c>
      <c r="AG110" s="4">
        <v>0.01</v>
      </c>
      <c r="AH110" s="4" t="s">
        <v>1446</v>
      </c>
      <c r="AI110" s="4">
        <v>10</v>
      </c>
      <c r="AJ110" s="4">
        <v>3</v>
      </c>
      <c r="AK110" s="4">
        <v>1.8385111999999999E-2</v>
      </c>
      <c r="AL110" s="4">
        <v>1.2937203636421601E-2</v>
      </c>
      <c r="AM110" s="4">
        <v>-5.4479083635783597E-3</v>
      </c>
      <c r="AN110" s="106">
        <v>2.48718447394601E-6</v>
      </c>
    </row>
    <row r="111" spans="1:40" ht="15" thickBot="1">
      <c r="L111" t="s">
        <v>1168</v>
      </c>
      <c r="M111">
        <f>M108+M109</f>
        <v>1.0939003004610233</v>
      </c>
      <c r="N111">
        <f t="shared" ref="N111:U111" si="29">N108+N109</f>
        <v>1.1236817127010696</v>
      </c>
      <c r="O111">
        <f t="shared" si="29"/>
        <v>1.0219705766709946</v>
      </c>
      <c r="P111" s="88">
        <f t="shared" si="29"/>
        <v>27.966720940531282</v>
      </c>
      <c r="Q111" s="89">
        <f t="shared" si="29"/>
        <v>24.676053476045659</v>
      </c>
      <c r="R111" s="90">
        <f t="shared" si="29"/>
        <v>25.708027426377345</v>
      </c>
      <c r="S111">
        <f t="shared" si="29"/>
        <v>16.898087911867144</v>
      </c>
      <c r="T111">
        <f t="shared" si="29"/>
        <v>13.547599443485423</v>
      </c>
      <c r="U111">
        <f t="shared" si="29"/>
        <v>14.296352193961416</v>
      </c>
      <c r="AC111" s="4" t="s">
        <v>1352</v>
      </c>
      <c r="AD111" s="4" t="s">
        <v>233</v>
      </c>
      <c r="AE111" s="4" t="s">
        <v>209</v>
      </c>
      <c r="AF111" s="4">
        <v>20</v>
      </c>
      <c r="AG111" s="4">
        <v>0.4</v>
      </c>
      <c r="AH111" s="4" t="s">
        <v>1445</v>
      </c>
      <c r="AI111" s="4">
        <v>0</v>
      </c>
      <c r="AJ111" s="4">
        <v>1</v>
      </c>
      <c r="AK111" s="4">
        <v>1.5809632000000001E-2</v>
      </c>
      <c r="AL111" s="4">
        <v>1.31795268053898E-2</v>
      </c>
      <c r="AM111" s="4">
        <v>-2.6301051946101498E-3</v>
      </c>
      <c r="AN111" s="106">
        <v>4.42159494113218E-5</v>
      </c>
    </row>
    <row r="112" spans="1:40">
      <c r="B112" s="49"/>
      <c r="G112" s="48"/>
      <c r="H112" s="48"/>
      <c r="I112" s="48"/>
      <c r="J112" s="48"/>
      <c r="K112" s="48"/>
      <c r="AC112" s="4" t="s">
        <v>1352</v>
      </c>
      <c r="AD112" s="4" t="s">
        <v>233</v>
      </c>
      <c r="AE112" s="4" t="s">
        <v>209</v>
      </c>
      <c r="AF112" s="4">
        <v>20</v>
      </c>
      <c r="AG112" s="4">
        <v>0.4</v>
      </c>
      <c r="AH112" s="4" t="s">
        <v>1445</v>
      </c>
      <c r="AI112" s="4">
        <v>0</v>
      </c>
      <c r="AJ112" s="4">
        <v>2</v>
      </c>
      <c r="AK112" s="4">
        <v>1.6235890999999999E-2</v>
      </c>
      <c r="AL112" s="4">
        <v>1.31795268053898E-2</v>
      </c>
      <c r="AM112" s="4">
        <v>-3.0563641946101399E-3</v>
      </c>
      <c r="AN112" s="106">
        <v>4.42159494113218E-5</v>
      </c>
    </row>
    <row r="113" spans="1:40" ht="17.25">
      <c r="C113" s="224" t="s">
        <v>1688</v>
      </c>
      <c r="D113" s="224"/>
      <c r="E113" s="224"/>
      <c r="F113" s="224"/>
      <c r="G113" s="224"/>
      <c r="H113" s="224"/>
      <c r="I113" s="224"/>
      <c r="J113" s="224"/>
      <c r="K113" s="224"/>
      <c r="AC113" s="4" t="s">
        <v>1352</v>
      </c>
      <c r="AD113" s="4" t="s">
        <v>233</v>
      </c>
      <c r="AE113" s="4" t="s">
        <v>209</v>
      </c>
      <c r="AF113" s="4">
        <v>20</v>
      </c>
      <c r="AG113" s="4">
        <v>0.4</v>
      </c>
      <c r="AH113" s="4" t="s">
        <v>1445</v>
      </c>
      <c r="AI113" s="4">
        <v>0</v>
      </c>
      <c r="AJ113" s="4">
        <v>3</v>
      </c>
      <c r="AK113" s="4">
        <v>1.6706741000000001E-2</v>
      </c>
      <c r="AL113" s="4">
        <v>1.31795268053898E-2</v>
      </c>
      <c r="AM113" s="4">
        <v>-3.5272141946101499E-3</v>
      </c>
      <c r="AN113" s="106">
        <v>4.42159494113218E-5</v>
      </c>
    </row>
    <row r="114" spans="1:40">
      <c r="A114" s="50" t="s">
        <v>786</v>
      </c>
      <c r="B114" s="51"/>
      <c r="C114" s="48">
        <v>1.4566296728971966E-2</v>
      </c>
      <c r="D114" s="48">
        <v>1.3647739715313627E-2</v>
      </c>
      <c r="E114" s="48">
        <v>1.4850434905593665E-2</v>
      </c>
      <c r="F114" s="48">
        <v>0.50441357354750016</v>
      </c>
      <c r="G114" s="48">
        <v>0.47348653874758295</v>
      </c>
      <c r="H114" s="48">
        <v>0.46238017154389505</v>
      </c>
      <c r="I114" s="48">
        <v>3.4532262710643815</v>
      </c>
      <c r="J114" s="48">
        <v>3.1536521318499067</v>
      </c>
      <c r="K114" s="48">
        <v>3.3410637184351692</v>
      </c>
      <c r="AC114" s="4" t="s">
        <v>1352</v>
      </c>
      <c r="AD114" s="4" t="s">
        <v>233</v>
      </c>
      <c r="AE114" s="4" t="s">
        <v>209</v>
      </c>
      <c r="AF114" s="4">
        <v>20</v>
      </c>
      <c r="AG114" s="4">
        <v>0.4</v>
      </c>
      <c r="AH114" s="4" t="s">
        <v>1446</v>
      </c>
      <c r="AI114" s="4">
        <v>10</v>
      </c>
      <c r="AJ114" s="4">
        <v>1</v>
      </c>
      <c r="AK114" s="4">
        <v>0.19805832600000001</v>
      </c>
      <c r="AL114" s="4">
        <v>3.5940550244496397E-2</v>
      </c>
      <c r="AM114" s="4">
        <v>-0.16211777575550301</v>
      </c>
      <c r="AN114" s="4">
        <v>3.96373136706065E-3</v>
      </c>
    </row>
    <row r="115" spans="1:40">
      <c r="A115" s="52" t="s">
        <v>787</v>
      </c>
      <c r="B115" s="53"/>
      <c r="C115" s="226">
        <v>0</v>
      </c>
      <c r="D115" s="226"/>
      <c r="E115" s="226"/>
      <c r="F115" s="226">
        <v>20</v>
      </c>
      <c r="G115" s="226"/>
      <c r="H115" s="226"/>
      <c r="I115" s="226">
        <v>500</v>
      </c>
      <c r="J115" s="226"/>
      <c r="K115" s="226"/>
      <c r="AC115" s="4" t="s">
        <v>1352</v>
      </c>
      <c r="AD115" s="4" t="s">
        <v>233</v>
      </c>
      <c r="AE115" s="4" t="s">
        <v>209</v>
      </c>
      <c r="AF115" s="4">
        <v>20</v>
      </c>
      <c r="AG115" s="4">
        <v>0.4</v>
      </c>
      <c r="AH115" s="4" t="s">
        <v>1446</v>
      </c>
      <c r="AI115" s="4">
        <v>10</v>
      </c>
      <c r="AJ115" s="4">
        <v>2</v>
      </c>
      <c r="AK115" s="4">
        <v>0.170456251</v>
      </c>
      <c r="AL115" s="4">
        <v>3.5940550244496397E-2</v>
      </c>
      <c r="AM115" s="4">
        <v>-0.13451570075550301</v>
      </c>
      <c r="AN115" s="4">
        <v>3.96373136706065E-3</v>
      </c>
    </row>
    <row r="116" spans="1:40">
      <c r="A116" s="225" t="s">
        <v>789</v>
      </c>
      <c r="B116" s="49">
        <v>0</v>
      </c>
      <c r="C116" s="48">
        <v>6.7168476472523872E-2</v>
      </c>
      <c r="D116" s="48">
        <v>7.443104619565219E-2</v>
      </c>
      <c r="E116" s="48">
        <v>9.7930006139812315E-2</v>
      </c>
      <c r="F116" s="48">
        <v>0.10624383020730505</v>
      </c>
      <c r="G116" s="48">
        <v>8.6606987658612911E-2</v>
      </c>
      <c r="H116" s="48">
        <v>9.4331047020907374E-2</v>
      </c>
      <c r="I116" s="48">
        <v>7.0185122282608703E-2</v>
      </c>
      <c r="J116" s="48">
        <v>6.4736289475809713E-2</v>
      </c>
      <c r="K116" s="48">
        <v>6.745354995063281E-2</v>
      </c>
      <c r="AC116" s="4" t="s">
        <v>1352</v>
      </c>
      <c r="AD116" s="4" t="s">
        <v>233</v>
      </c>
      <c r="AE116" s="4" t="s">
        <v>209</v>
      </c>
      <c r="AF116" s="4">
        <v>20</v>
      </c>
      <c r="AG116" s="4">
        <v>0.4</v>
      </c>
      <c r="AH116" s="4" t="s">
        <v>1446</v>
      </c>
      <c r="AI116" s="4">
        <v>10</v>
      </c>
      <c r="AJ116" s="4">
        <v>3</v>
      </c>
      <c r="AK116" s="4">
        <v>0.208505459</v>
      </c>
      <c r="AL116" s="4">
        <v>3.5940550244496397E-2</v>
      </c>
      <c r="AM116" s="4">
        <v>-0.17256490875550301</v>
      </c>
      <c r="AN116" s="4">
        <v>3.96373136706065E-3</v>
      </c>
    </row>
    <row r="117" spans="1:40">
      <c r="A117" s="225"/>
      <c r="B117" s="54">
        <v>0.1</v>
      </c>
      <c r="C117" s="48">
        <v>6.1517681728880169E-2</v>
      </c>
      <c r="D117" s="48">
        <v>6.5523198420533085E-2</v>
      </c>
      <c r="E117" s="48">
        <v>6.4636394101876687E-2</v>
      </c>
      <c r="F117" s="48">
        <v>7.4069608552367189E-2</v>
      </c>
      <c r="G117" s="48">
        <v>6.0834487816803853E-2</v>
      </c>
      <c r="H117" s="48">
        <v>7.6318148480156472E-2</v>
      </c>
      <c r="I117" s="48">
        <v>6.11480515108156E-2</v>
      </c>
      <c r="J117" s="48">
        <v>7.6372649892432906E-2</v>
      </c>
      <c r="K117" s="48">
        <v>7.1043891930706413E-2</v>
      </c>
      <c r="AC117" s="4" t="s">
        <v>1352</v>
      </c>
      <c r="AD117" s="4" t="s">
        <v>233</v>
      </c>
      <c r="AE117" s="4" t="s">
        <v>209</v>
      </c>
      <c r="AF117" s="4">
        <v>500</v>
      </c>
      <c r="AG117" s="4">
        <v>3.02</v>
      </c>
      <c r="AH117" s="4" t="s">
        <v>1445</v>
      </c>
      <c r="AI117" s="4">
        <v>0</v>
      </c>
      <c r="AJ117" s="4">
        <v>1</v>
      </c>
      <c r="AK117" s="4">
        <v>2.7850482999999999E-2</v>
      </c>
      <c r="AL117" s="4">
        <v>2.75229397809333E-2</v>
      </c>
      <c r="AM117" s="4">
        <v>-3.2754321906664901E-4</v>
      </c>
      <c r="AN117" s="4">
        <v>2.5141939998166401E-3</v>
      </c>
    </row>
    <row r="118" spans="1:40">
      <c r="A118" s="225"/>
      <c r="B118" s="54">
        <v>1</v>
      </c>
      <c r="C118" s="48">
        <v>6.4700559394537685E-2</v>
      </c>
      <c r="D118" s="48">
        <v>6.7774395399966186E-2</v>
      </c>
      <c r="E118" s="48">
        <v>7.1921142300827523E-2</v>
      </c>
      <c r="F118" s="48">
        <v>7.55719617069609E-2</v>
      </c>
      <c r="G118" s="48">
        <v>8.1179080283252297E-2</v>
      </c>
      <c r="H118" s="48">
        <v>7.7827785326086973E-2</v>
      </c>
      <c r="I118" s="48">
        <v>0.10603786172963058</v>
      </c>
      <c r="J118" s="48">
        <v>8.5677854557420219E-2</v>
      </c>
      <c r="K118" s="48">
        <v>0.11666375698324023</v>
      </c>
      <c r="AC118" s="4" t="s">
        <v>1352</v>
      </c>
      <c r="AD118" s="4" t="s">
        <v>233</v>
      </c>
      <c r="AE118" s="4" t="s">
        <v>209</v>
      </c>
      <c r="AF118" s="4">
        <v>500</v>
      </c>
      <c r="AG118" s="4">
        <v>3.02</v>
      </c>
      <c r="AH118" s="4" t="s">
        <v>1445</v>
      </c>
      <c r="AI118" s="4">
        <v>0</v>
      </c>
      <c r="AJ118" s="4">
        <v>2</v>
      </c>
      <c r="AK118" s="4">
        <v>2.6909863999999999E-2</v>
      </c>
      <c r="AL118" s="4">
        <v>2.75229397809333E-2</v>
      </c>
      <c r="AM118" s="4">
        <v>6.1307578093335003E-4</v>
      </c>
      <c r="AN118" s="4">
        <v>2.5141939998166401E-3</v>
      </c>
    </row>
    <row r="119" spans="1:40">
      <c r="A119" s="225"/>
      <c r="B119" s="54">
        <v>10</v>
      </c>
      <c r="C119" s="48">
        <v>6.6538994376986405E-2</v>
      </c>
      <c r="D119" s="48">
        <v>6.466542119565219E-2</v>
      </c>
      <c r="E119" s="48">
        <v>7.1248211430014322E-2</v>
      </c>
      <c r="F119" s="48">
        <v>0.11494751795438404</v>
      </c>
      <c r="G119" s="48">
        <v>9.1394344389210347E-2</v>
      </c>
      <c r="H119" s="48">
        <v>9.9562832161837839E-2</v>
      </c>
      <c r="I119" s="48">
        <v>0.27517190569744598</v>
      </c>
      <c r="J119" s="48">
        <v>0.31569253438113948</v>
      </c>
      <c r="K119" s="48">
        <v>0.39878028814669286</v>
      </c>
      <c r="L119" t="s">
        <v>1166</v>
      </c>
      <c r="M119">
        <f>C120-C116</f>
        <v>6.4244174341671623E-3</v>
      </c>
      <c r="N119">
        <f t="shared" ref="N119:U119" si="30">D120-D116</f>
        <v>3.3353559884618106E-3</v>
      </c>
      <c r="O119">
        <f t="shared" si="30"/>
        <v>-2.7724526687757517E-2</v>
      </c>
      <c r="P119">
        <f t="shared" si="30"/>
        <v>4.0968920565829542E-2</v>
      </c>
      <c r="Q119">
        <f t="shared" si="30"/>
        <v>6.0266146033051637E-2</v>
      </c>
      <c r="R119">
        <f t="shared" si="30"/>
        <v>4.623393377294667E-2</v>
      </c>
      <c r="S119">
        <f t="shared" si="30"/>
        <v>0.98270681074631083</v>
      </c>
      <c r="T119">
        <f t="shared" si="30"/>
        <v>0.82980961995626457</v>
      </c>
      <c r="U119">
        <f t="shared" si="30"/>
        <v>0.93834605518263481</v>
      </c>
      <c r="AC119" s="4" t="s">
        <v>1352</v>
      </c>
      <c r="AD119" s="4" t="s">
        <v>233</v>
      </c>
      <c r="AE119" s="4" t="s">
        <v>209</v>
      </c>
      <c r="AF119" s="4">
        <v>500</v>
      </c>
      <c r="AG119" s="4">
        <v>3.02</v>
      </c>
      <c r="AH119" s="4" t="s">
        <v>1445</v>
      </c>
      <c r="AI119" s="4">
        <v>0</v>
      </c>
      <c r="AJ119" s="4">
        <v>3</v>
      </c>
      <c r="AK119" s="4">
        <v>2.7646E-2</v>
      </c>
      <c r="AL119" s="4">
        <v>2.75229397809333E-2</v>
      </c>
      <c r="AM119" s="4">
        <v>-1.23060219066651E-4</v>
      </c>
      <c r="AN119" s="4">
        <v>2.5141939998166401E-3</v>
      </c>
    </row>
    <row r="120" spans="1:40">
      <c r="A120" s="225"/>
      <c r="B120" s="54">
        <v>1000</v>
      </c>
      <c r="C120" s="48">
        <v>7.3592893906691034E-2</v>
      </c>
      <c r="D120" s="48">
        <v>7.7766402184114E-2</v>
      </c>
      <c r="E120" s="48">
        <v>7.0205479452054798E-2</v>
      </c>
      <c r="F120" s="48">
        <v>0.14721275077313459</v>
      </c>
      <c r="G120" s="48">
        <v>0.14687313369166455</v>
      </c>
      <c r="H120" s="48">
        <v>0.14056498079385404</v>
      </c>
      <c r="I120" s="48">
        <v>1.0528919330289195</v>
      </c>
      <c r="J120" s="48">
        <v>0.89454590943207424</v>
      </c>
      <c r="K120" s="48">
        <v>1.0057996051332676</v>
      </c>
      <c r="L120" t="s">
        <v>1167</v>
      </c>
      <c r="M120">
        <f>C120/C116</f>
        <v>1.0956463176114342</v>
      </c>
      <c r="N120">
        <f t="shared" ref="N120:U120" si="31">D120/D116</f>
        <v>1.0448113543869095</v>
      </c>
      <c r="O120">
        <f t="shared" si="31"/>
        <v>0.71689446594973272</v>
      </c>
      <c r="P120">
        <f t="shared" si="31"/>
        <v>1.3856122325963793</v>
      </c>
      <c r="Q120">
        <f t="shared" si="31"/>
        <v>1.6958577784809754</v>
      </c>
      <c r="R120">
        <f t="shared" si="31"/>
        <v>1.4901242510612593</v>
      </c>
      <c r="S120">
        <f t="shared" si="31"/>
        <v>15.001639931456205</v>
      </c>
      <c r="T120">
        <f t="shared" si="31"/>
        <v>13.81830680558766</v>
      </c>
      <c r="U120">
        <f t="shared" si="31"/>
        <v>14.910995875967707</v>
      </c>
      <c r="V120">
        <f>AVERAGE(M120:O120)</f>
        <v>0.95245071264935888</v>
      </c>
      <c r="W120">
        <f>AVERAGE(P120:R120)</f>
        <v>1.5238647540462047</v>
      </c>
      <c r="X120">
        <f>AVERAGE(S120:U120)</f>
        <v>14.576980871003856</v>
      </c>
      <c r="AC120" s="4" t="s">
        <v>1352</v>
      </c>
      <c r="AD120" s="4" t="s">
        <v>233</v>
      </c>
      <c r="AE120" s="4" t="s">
        <v>209</v>
      </c>
      <c r="AF120" s="4">
        <v>500</v>
      </c>
      <c r="AG120" s="4">
        <v>3.02</v>
      </c>
      <c r="AH120" s="4" t="s">
        <v>1446</v>
      </c>
      <c r="AI120" s="4">
        <v>10</v>
      </c>
      <c r="AJ120" s="4">
        <v>1</v>
      </c>
      <c r="AK120" s="4">
        <v>1.1411060200000001</v>
      </c>
      <c r="AL120" s="4">
        <v>1.0866496533907899</v>
      </c>
      <c r="AM120" s="4">
        <v>-5.4456366609209897E-2</v>
      </c>
      <c r="AN120" s="4">
        <v>0.184898940201767</v>
      </c>
    </row>
    <row r="121" spans="1:40">
      <c r="A121" s="225"/>
      <c r="B121" s="54"/>
      <c r="G121" s="48"/>
      <c r="H121" s="48"/>
      <c r="I121" s="48"/>
      <c r="J121" s="48"/>
      <c r="K121" s="48"/>
      <c r="AC121" s="4" t="s">
        <v>1352</v>
      </c>
      <c r="AD121" s="4" t="s">
        <v>233</v>
      </c>
      <c r="AE121" s="4" t="s">
        <v>209</v>
      </c>
      <c r="AF121" s="4">
        <v>500</v>
      </c>
      <c r="AG121" s="4">
        <v>3.02</v>
      </c>
      <c r="AH121" s="4" t="s">
        <v>1446</v>
      </c>
      <c r="AI121" s="4">
        <v>10</v>
      </c>
      <c r="AJ121" s="4">
        <v>2</v>
      </c>
      <c r="AK121" s="4">
        <v>1.0294717840000001</v>
      </c>
      <c r="AL121" s="4">
        <v>1.0866496533907899</v>
      </c>
      <c r="AM121" s="4">
        <v>5.7177869390789997E-2</v>
      </c>
      <c r="AN121" s="4">
        <v>0.184898940201767</v>
      </c>
    </row>
    <row r="122" spans="1:40">
      <c r="L122" t="s">
        <v>1168</v>
      </c>
      <c r="M122">
        <f>M119+M120</f>
        <v>1.1020707350456014</v>
      </c>
      <c r="N122">
        <f t="shared" ref="N122:U122" si="32">N119+N120</f>
        <v>1.0481467103753714</v>
      </c>
      <c r="O122">
        <f t="shared" si="32"/>
        <v>0.68916993926197523</v>
      </c>
      <c r="P122">
        <f t="shared" si="32"/>
        <v>1.4265811531622088</v>
      </c>
      <c r="Q122">
        <f t="shared" si="32"/>
        <v>1.756123924514027</v>
      </c>
      <c r="R122">
        <f t="shared" si="32"/>
        <v>1.5363581848342061</v>
      </c>
      <c r="S122" s="67">
        <f t="shared" si="32"/>
        <v>15.984346742202517</v>
      </c>
      <c r="T122" s="67">
        <f t="shared" si="32"/>
        <v>14.648116425543925</v>
      </c>
      <c r="U122" s="67">
        <f t="shared" si="32"/>
        <v>15.849341931150342</v>
      </c>
      <c r="AC122" s="4" t="s">
        <v>1352</v>
      </c>
      <c r="AD122" s="4" t="s">
        <v>233</v>
      </c>
      <c r="AE122" s="4" t="s">
        <v>209</v>
      </c>
      <c r="AF122" s="4">
        <v>500</v>
      </c>
      <c r="AG122" s="4">
        <v>3.02</v>
      </c>
      <c r="AH122" s="4" t="s">
        <v>1446</v>
      </c>
      <c r="AI122" s="4">
        <v>10</v>
      </c>
      <c r="AJ122" s="4">
        <v>3</v>
      </c>
      <c r="AK122" s="4">
        <v>1.0770796739999999</v>
      </c>
      <c r="AL122" s="4">
        <v>1.0866496533907899</v>
      </c>
      <c r="AM122" s="4">
        <v>9.5699793907901808E-3</v>
      </c>
      <c r="AN122" s="4">
        <v>0.184898940201767</v>
      </c>
    </row>
    <row r="123" spans="1:40">
      <c r="A123" s="57"/>
      <c r="B123" s="58">
        <v>416</v>
      </c>
      <c r="AC123" s="4" t="s">
        <v>1353</v>
      </c>
      <c r="AD123" s="4" t="s">
        <v>197</v>
      </c>
      <c r="AE123" s="4" t="s">
        <v>216</v>
      </c>
      <c r="AF123" s="4">
        <v>0</v>
      </c>
      <c r="AG123" s="4">
        <v>0.01</v>
      </c>
      <c r="AH123" s="4" t="s">
        <v>1445</v>
      </c>
      <c r="AI123" s="4">
        <v>0</v>
      </c>
      <c r="AJ123" s="4">
        <v>1</v>
      </c>
      <c r="AK123" s="4">
        <v>4.4358685000000002E-2</v>
      </c>
      <c r="AL123" s="106">
        <v>5.3223577777795904E-7</v>
      </c>
      <c r="AM123" s="4">
        <v>-4.4358152764222197E-2</v>
      </c>
      <c r="AN123" s="106">
        <v>8.8888676705400501E-8</v>
      </c>
    </row>
    <row r="124" spans="1:40">
      <c r="A124" s="57" t="s">
        <v>790</v>
      </c>
      <c r="B124" s="58" t="s">
        <v>791</v>
      </c>
      <c r="AC124" s="4" t="s">
        <v>1353</v>
      </c>
      <c r="AD124" s="4" t="s">
        <v>197</v>
      </c>
      <c r="AE124" s="4" t="s">
        <v>216</v>
      </c>
      <c r="AF124" s="4">
        <v>0</v>
      </c>
      <c r="AG124" s="4">
        <v>0.01</v>
      </c>
      <c r="AH124" s="4" t="s">
        <v>1445</v>
      </c>
      <c r="AI124" s="4">
        <v>0</v>
      </c>
      <c r="AJ124" s="4">
        <v>2</v>
      </c>
      <c r="AK124" s="4">
        <v>5.1927648999999999E-2</v>
      </c>
      <c r="AL124" s="106">
        <v>5.3223577777795904E-7</v>
      </c>
      <c r="AM124" s="4">
        <v>-5.1927116764222202E-2</v>
      </c>
      <c r="AN124" s="106">
        <v>8.8888676705400501E-8</v>
      </c>
    </row>
    <row r="125" spans="1:40">
      <c r="A125" s="48">
        <v>0</v>
      </c>
      <c r="B125" s="48">
        <v>1.4566296728971966E-2</v>
      </c>
      <c r="C125" s="48">
        <v>1.3647739715313627E-2</v>
      </c>
      <c r="D125" s="48">
        <v>1.4850434905593665E-2</v>
      </c>
      <c r="AC125" s="4" t="s">
        <v>1353</v>
      </c>
      <c r="AD125" s="4" t="s">
        <v>197</v>
      </c>
      <c r="AE125" s="4" t="s">
        <v>216</v>
      </c>
      <c r="AF125" s="4">
        <v>0</v>
      </c>
      <c r="AG125" s="4">
        <v>0.01</v>
      </c>
      <c r="AH125" s="4" t="s">
        <v>1445</v>
      </c>
      <c r="AI125" s="4">
        <v>0</v>
      </c>
      <c r="AJ125" s="4">
        <v>3</v>
      </c>
      <c r="AK125" s="4">
        <v>5.2780436999999999E-2</v>
      </c>
      <c r="AL125" s="106">
        <v>5.3223577777795904E-7</v>
      </c>
      <c r="AM125" s="4">
        <v>-5.2779904764222202E-2</v>
      </c>
      <c r="AN125" s="106">
        <v>8.8888676705400501E-8</v>
      </c>
    </row>
    <row r="126" spans="1:40">
      <c r="A126" s="48">
        <v>1</v>
      </c>
      <c r="B126" s="48">
        <v>1.620901487676708E-2</v>
      </c>
      <c r="C126" s="48">
        <v>1.8643922509857708E-2</v>
      </c>
      <c r="D126" s="48">
        <v>1.7054416403785487E-2</v>
      </c>
      <c r="AC126" s="4" t="s">
        <v>1353</v>
      </c>
      <c r="AD126" s="4" t="s">
        <v>197</v>
      </c>
      <c r="AE126" s="4" t="s">
        <v>216</v>
      </c>
      <c r="AF126" s="4">
        <v>0</v>
      </c>
      <c r="AG126" s="4">
        <v>0.01</v>
      </c>
      <c r="AH126" s="4" t="s">
        <v>1446</v>
      </c>
      <c r="AI126" s="4">
        <v>10</v>
      </c>
      <c r="AJ126" s="4">
        <v>1</v>
      </c>
      <c r="AK126" s="4">
        <v>9.1438723999999999E-2</v>
      </c>
      <c r="AL126" s="4">
        <v>0.27217981472643199</v>
      </c>
      <c r="AM126" s="4">
        <v>0.18074109072643199</v>
      </c>
      <c r="AN126" s="4">
        <v>4.63271642762733E-2</v>
      </c>
    </row>
    <row r="127" spans="1:40">
      <c r="A127" s="48">
        <v>10</v>
      </c>
      <c r="B127" s="48">
        <v>0.11876854062658275</v>
      </c>
      <c r="C127" s="48">
        <v>0.11677308447937133</v>
      </c>
      <c r="D127" s="48">
        <v>0.11248028391167193</v>
      </c>
      <c r="AC127" s="4" t="s">
        <v>1353</v>
      </c>
      <c r="AD127" s="4" t="s">
        <v>197</v>
      </c>
      <c r="AE127" s="4" t="s">
        <v>216</v>
      </c>
      <c r="AF127" s="4">
        <v>0</v>
      </c>
      <c r="AG127" s="4">
        <v>0.01</v>
      </c>
      <c r="AH127" s="4" t="s">
        <v>1446</v>
      </c>
      <c r="AI127" s="4">
        <v>10</v>
      </c>
      <c r="AJ127" s="4">
        <v>2</v>
      </c>
      <c r="AK127" s="4">
        <v>7.7515231000000004E-2</v>
      </c>
      <c r="AL127" s="4">
        <v>0.27217981472643199</v>
      </c>
      <c r="AM127" s="4">
        <v>0.194664583726432</v>
      </c>
      <c r="AN127" s="4">
        <v>4.63271642762733E-2</v>
      </c>
    </row>
    <row r="128" spans="1:40">
      <c r="A128" s="48">
        <v>20</v>
      </c>
      <c r="B128" s="48">
        <v>0.50441357354750016</v>
      </c>
      <c r="C128" s="48">
        <v>0.47348653874758295</v>
      </c>
      <c r="D128" s="48">
        <v>0.46238017154389505</v>
      </c>
      <c r="AC128" s="4" t="s">
        <v>1353</v>
      </c>
      <c r="AD128" s="4" t="s">
        <v>197</v>
      </c>
      <c r="AE128" s="4" t="s">
        <v>216</v>
      </c>
      <c r="AF128" s="4">
        <v>0</v>
      </c>
      <c r="AG128" s="4">
        <v>0.01</v>
      </c>
      <c r="AH128" s="4" t="s">
        <v>1446</v>
      </c>
      <c r="AI128" s="4">
        <v>10</v>
      </c>
      <c r="AJ128" s="4">
        <v>3</v>
      </c>
      <c r="AK128" s="4">
        <v>0.100528882</v>
      </c>
      <c r="AL128" s="4">
        <v>0.27217981472643199</v>
      </c>
      <c r="AM128" s="4">
        <v>0.171650932726432</v>
      </c>
      <c r="AN128" s="4">
        <v>4.63271642762733E-2</v>
      </c>
    </row>
    <row r="129" spans="1:40">
      <c r="A129" s="48">
        <v>50</v>
      </c>
      <c r="B129" s="48">
        <v>1.9386685843435383</v>
      </c>
      <c r="C129" s="48">
        <v>2.0326138897738137</v>
      </c>
      <c r="D129" s="48">
        <v>1.9549996669109322</v>
      </c>
      <c r="AC129" s="4" t="s">
        <v>1353</v>
      </c>
      <c r="AD129" s="4" t="s">
        <v>197</v>
      </c>
      <c r="AE129" s="4" t="s">
        <v>216</v>
      </c>
      <c r="AF129" s="4">
        <v>20</v>
      </c>
      <c r="AG129" s="4">
        <v>0.4</v>
      </c>
      <c r="AH129" s="4" t="s">
        <v>1445</v>
      </c>
      <c r="AI129" s="4">
        <v>0</v>
      </c>
      <c r="AJ129" s="4">
        <v>1</v>
      </c>
      <c r="AK129" s="4">
        <v>5.084818E-2</v>
      </c>
      <c r="AL129" s="4">
        <v>8.3546849822697597E-4</v>
      </c>
      <c r="AM129" s="4">
        <v>-5.0012711501773E-2</v>
      </c>
      <c r="AN129" s="4">
        <v>1.42201671179357E-4</v>
      </c>
    </row>
    <row r="130" spans="1:40">
      <c r="A130" s="48">
        <v>500</v>
      </c>
      <c r="B130" s="48">
        <v>3.4532262710643815</v>
      </c>
      <c r="C130" s="48">
        <v>3.1536521318499067</v>
      </c>
      <c r="D130" s="48">
        <v>3.3410637184351692</v>
      </c>
      <c r="AC130" s="4" t="s">
        <v>1353</v>
      </c>
      <c r="AD130" s="4" t="s">
        <v>197</v>
      </c>
      <c r="AE130" s="4" t="s">
        <v>216</v>
      </c>
      <c r="AF130" s="4">
        <v>20</v>
      </c>
      <c r="AG130" s="4">
        <v>0.4</v>
      </c>
      <c r="AH130" s="4" t="s">
        <v>1445</v>
      </c>
      <c r="AI130" s="4">
        <v>0</v>
      </c>
      <c r="AJ130" s="4">
        <v>2</v>
      </c>
      <c r="AK130" s="4">
        <v>4.7880362000000003E-2</v>
      </c>
      <c r="AL130" s="4">
        <v>8.3546849822697597E-4</v>
      </c>
      <c r="AM130" s="4">
        <v>-4.7044893501773002E-2</v>
      </c>
      <c r="AN130" s="4">
        <v>1.42201671179357E-4</v>
      </c>
    </row>
    <row r="131" spans="1:40">
      <c r="AC131" s="4" t="s">
        <v>1353</v>
      </c>
      <c r="AD131" s="4" t="s">
        <v>197</v>
      </c>
      <c r="AE131" s="4" t="s">
        <v>216</v>
      </c>
      <c r="AF131" s="4">
        <v>20</v>
      </c>
      <c r="AG131" s="4">
        <v>0.4</v>
      </c>
      <c r="AH131" s="4" t="s">
        <v>1445</v>
      </c>
      <c r="AI131" s="4">
        <v>0</v>
      </c>
      <c r="AJ131" s="4">
        <v>3</v>
      </c>
      <c r="AK131" s="4">
        <v>4.5404536000000002E-2</v>
      </c>
      <c r="AL131" s="4">
        <v>8.3546849822697597E-4</v>
      </c>
      <c r="AM131" s="4">
        <v>-4.4569067501773002E-2</v>
      </c>
      <c r="AN131" s="4">
        <v>1.42201671179357E-4</v>
      </c>
    </row>
    <row r="132" spans="1:40">
      <c r="AC132" s="4" t="s">
        <v>1353</v>
      </c>
      <c r="AD132" s="4" t="s">
        <v>197</v>
      </c>
      <c r="AE132" s="4" t="s">
        <v>216</v>
      </c>
      <c r="AF132" s="4">
        <v>20</v>
      </c>
      <c r="AG132" s="4">
        <v>0.4</v>
      </c>
      <c r="AH132" s="4" t="s">
        <v>1446</v>
      </c>
      <c r="AI132" s="4">
        <v>10</v>
      </c>
      <c r="AJ132" s="4">
        <v>1</v>
      </c>
      <c r="AK132" s="4">
        <v>6.411987613</v>
      </c>
      <c r="AL132" s="4">
        <v>5.8005367996752302</v>
      </c>
      <c r="AM132" s="4">
        <v>-0.61145081332476703</v>
      </c>
      <c r="AN132" s="4">
        <v>0.98729742647858798</v>
      </c>
    </row>
    <row r="133" spans="1:40">
      <c r="A133" s="80"/>
      <c r="B133" s="81">
        <v>0</v>
      </c>
      <c r="C133" s="80"/>
      <c r="D133" s="80"/>
      <c r="E133" s="80"/>
      <c r="F133" s="80"/>
      <c r="G133" s="80"/>
      <c r="H133" s="80"/>
      <c r="I133" s="80"/>
      <c r="J133" s="80"/>
      <c r="K133" s="80"/>
      <c r="AC133" s="4" t="s">
        <v>1353</v>
      </c>
      <c r="AD133" s="4" t="s">
        <v>197</v>
      </c>
      <c r="AE133" s="4" t="s">
        <v>216</v>
      </c>
      <c r="AF133" s="4">
        <v>20</v>
      </c>
      <c r="AG133" s="4">
        <v>0.4</v>
      </c>
      <c r="AH133" s="4" t="s">
        <v>1446</v>
      </c>
      <c r="AI133" s="4">
        <v>10</v>
      </c>
      <c r="AJ133" s="4">
        <v>2</v>
      </c>
      <c r="AK133" s="4">
        <v>6.4038928459999998</v>
      </c>
      <c r="AL133" s="4">
        <v>5.8005367996752302</v>
      </c>
      <c r="AM133" s="4">
        <v>-0.60335604632476603</v>
      </c>
      <c r="AN133" s="4">
        <v>0.98729742647858798</v>
      </c>
    </row>
    <row r="134" spans="1:40" ht="17.25">
      <c r="A134" s="80"/>
      <c r="B134" s="80"/>
      <c r="C134" s="229" t="s">
        <v>1689</v>
      </c>
      <c r="D134" s="229"/>
      <c r="E134" s="229"/>
      <c r="F134" s="229"/>
      <c r="G134" s="229"/>
      <c r="H134" s="229"/>
      <c r="I134" s="229"/>
      <c r="J134" s="229"/>
      <c r="K134" s="229"/>
      <c r="AC134" s="4" t="s">
        <v>1353</v>
      </c>
      <c r="AD134" s="4" t="s">
        <v>197</v>
      </c>
      <c r="AE134" s="4" t="s">
        <v>216</v>
      </c>
      <c r="AF134" s="4">
        <v>20</v>
      </c>
      <c r="AG134" s="4">
        <v>0.4</v>
      </c>
      <c r="AH134" s="4" t="s">
        <v>1446</v>
      </c>
      <c r="AI134" s="4">
        <v>10</v>
      </c>
      <c r="AJ134" s="4">
        <v>3</v>
      </c>
      <c r="AK134" s="4">
        <v>6.5473311589999996</v>
      </c>
      <c r="AL134" s="4">
        <v>5.8005367996752302</v>
      </c>
      <c r="AM134" s="4">
        <v>-0.74679435932476601</v>
      </c>
      <c r="AN134" s="4">
        <v>0.98729742647858798</v>
      </c>
    </row>
    <row r="135" spans="1:40">
      <c r="A135" s="82" t="s">
        <v>1161</v>
      </c>
      <c r="B135" s="83"/>
      <c r="C135" s="83">
        <v>7.8495155929566504E-3</v>
      </c>
      <c r="D135" s="83">
        <v>9.0799939966981838E-3</v>
      </c>
      <c r="E135" s="83">
        <v>8.2431366927102016E-3</v>
      </c>
      <c r="F135" s="80">
        <v>0.32898234612500854</v>
      </c>
      <c r="G135" s="80">
        <v>0.32619014859658779</v>
      </c>
      <c r="H135" s="80">
        <v>0.31716091722143769</v>
      </c>
      <c r="I135" s="83">
        <v>2.7071147824928388</v>
      </c>
      <c r="J135" s="83">
        <v>2.6859133017466941</v>
      </c>
      <c r="K135" s="83">
        <v>2.7579827849507152</v>
      </c>
      <c r="AC135" s="4" t="s">
        <v>1353</v>
      </c>
      <c r="AD135" s="4" t="s">
        <v>197</v>
      </c>
      <c r="AE135" s="4" t="s">
        <v>216</v>
      </c>
      <c r="AF135" s="4">
        <v>500</v>
      </c>
      <c r="AG135" s="4">
        <v>3.02</v>
      </c>
      <c r="AH135" s="4" t="s">
        <v>1445</v>
      </c>
      <c r="AI135" s="4">
        <v>0</v>
      </c>
      <c r="AJ135" s="4">
        <v>1</v>
      </c>
      <c r="AK135" s="4">
        <v>5.0499298999999997E-2</v>
      </c>
      <c r="AL135" s="4">
        <v>4.7246974796962098E-2</v>
      </c>
      <c r="AM135" s="4">
        <v>-3.25232420303785E-3</v>
      </c>
      <c r="AN135" s="4">
        <v>8.0418086195048304E-3</v>
      </c>
    </row>
    <row r="136" spans="1:40">
      <c r="A136" s="84" t="s">
        <v>1162</v>
      </c>
      <c r="B136" s="85"/>
      <c r="C136" s="223">
        <v>0</v>
      </c>
      <c r="D136" s="223"/>
      <c r="E136" s="223"/>
      <c r="F136" s="223">
        <v>20</v>
      </c>
      <c r="G136" s="223"/>
      <c r="H136" s="223"/>
      <c r="I136" s="223">
        <v>500</v>
      </c>
      <c r="J136" s="223"/>
      <c r="K136" s="223"/>
      <c r="AC136" s="4" t="s">
        <v>1353</v>
      </c>
      <c r="AD136" s="4" t="s">
        <v>197</v>
      </c>
      <c r="AE136" s="4" t="s">
        <v>216</v>
      </c>
      <c r="AF136" s="4">
        <v>500</v>
      </c>
      <c r="AG136" s="4">
        <v>3.02</v>
      </c>
      <c r="AH136" s="4" t="s">
        <v>1445</v>
      </c>
      <c r="AI136" s="4">
        <v>0</v>
      </c>
      <c r="AJ136" s="4">
        <v>2</v>
      </c>
      <c r="AK136" s="4">
        <v>4.5085544999999998E-2</v>
      </c>
      <c r="AL136" s="4">
        <v>4.7246974796962098E-2</v>
      </c>
      <c r="AM136" s="4">
        <v>2.1614297969621398E-3</v>
      </c>
      <c r="AN136" s="4">
        <v>8.0418086195048304E-3</v>
      </c>
    </row>
    <row r="137" spans="1:40">
      <c r="A137" s="228" t="s">
        <v>1163</v>
      </c>
      <c r="B137" s="81">
        <v>0</v>
      </c>
      <c r="C137" s="80">
        <v>1.4828257790368274E-2</v>
      </c>
      <c r="D137" s="80">
        <v>1.5688395996754124E-2</v>
      </c>
      <c r="E137" s="80">
        <v>1.4967090433684972E-2</v>
      </c>
      <c r="F137" s="80">
        <v>1.8122802272112527E-2</v>
      </c>
      <c r="G137" s="80">
        <v>1.7021648044692739E-2</v>
      </c>
      <c r="H137" s="80">
        <v>1.7395538243626062E-2</v>
      </c>
      <c r="I137" s="80">
        <v>1.7905025516823807E-2</v>
      </c>
      <c r="J137" s="80">
        <v>2.0713116871931787E-2</v>
      </c>
      <c r="K137" s="80">
        <v>2.0848087818696882E-2</v>
      </c>
      <c r="AC137" s="4" t="s">
        <v>1353</v>
      </c>
      <c r="AD137" s="4" t="s">
        <v>197</v>
      </c>
      <c r="AE137" s="4" t="s">
        <v>216</v>
      </c>
      <c r="AF137" s="4">
        <v>500</v>
      </c>
      <c r="AG137" s="4">
        <v>3.02</v>
      </c>
      <c r="AH137" s="4" t="s">
        <v>1445</v>
      </c>
      <c r="AI137" s="4">
        <v>0</v>
      </c>
      <c r="AJ137" s="4">
        <v>3</v>
      </c>
      <c r="AK137" s="4">
        <v>4.3622426999999998E-2</v>
      </c>
      <c r="AL137" s="4">
        <v>4.7246974796962098E-2</v>
      </c>
      <c r="AM137" s="4">
        <v>3.62454779696214E-3</v>
      </c>
      <c r="AN137" s="4">
        <v>8.0418086195048304E-3</v>
      </c>
    </row>
    <row r="138" spans="1:40">
      <c r="A138" s="228"/>
      <c r="B138" s="87">
        <v>1</v>
      </c>
      <c r="C138" s="80">
        <v>1.4183772354858605E-2</v>
      </c>
      <c r="D138" s="80">
        <v>1.4967090433684972E-2</v>
      </c>
      <c r="E138" s="80">
        <v>1.3840050491389415E-2</v>
      </c>
      <c r="F138" s="80">
        <v>1.9647399350934128E-2</v>
      </c>
      <c r="G138" s="80">
        <v>1.8104131794555545E-2</v>
      </c>
      <c r="H138" s="80">
        <v>1.7569546120058566E-2</v>
      </c>
      <c r="I138" s="80">
        <v>2.2941230234896266E-2</v>
      </c>
      <c r="J138" s="80">
        <v>2.1586931155192533E-2</v>
      </c>
      <c r="K138" s="80">
        <v>2.2186662053455583E-2</v>
      </c>
      <c r="AC138" s="4" t="s">
        <v>1353</v>
      </c>
      <c r="AD138" s="4" t="s">
        <v>197</v>
      </c>
      <c r="AE138" s="4" t="s">
        <v>216</v>
      </c>
      <c r="AF138" s="4">
        <v>500</v>
      </c>
      <c r="AG138" s="4">
        <v>3.02</v>
      </c>
      <c r="AH138" s="4" t="s">
        <v>1446</v>
      </c>
      <c r="AI138" s="4">
        <v>10</v>
      </c>
      <c r="AJ138" s="4">
        <v>1</v>
      </c>
      <c r="AK138" s="4">
        <v>5.3092187009999998</v>
      </c>
      <c r="AL138" s="4">
        <v>5.8738407528354397</v>
      </c>
      <c r="AM138" s="4">
        <v>0.56462205183543901</v>
      </c>
      <c r="AN138" s="4">
        <v>0.99977434144869903</v>
      </c>
    </row>
    <row r="139" spans="1:40">
      <c r="A139" s="228"/>
      <c r="B139" s="87">
        <v>10</v>
      </c>
      <c r="C139" s="80">
        <v>1.4896192160878877E-2</v>
      </c>
      <c r="D139" s="80">
        <v>1.5985543508479291E-2</v>
      </c>
      <c r="E139" s="80">
        <v>1.6432361977469511E-2</v>
      </c>
      <c r="F139" s="80">
        <v>2.1057875192464451E-2</v>
      </c>
      <c r="G139" s="80">
        <v>2.1379569589324313E-2</v>
      </c>
      <c r="H139" s="80">
        <v>1.9193857965451058E-2</v>
      </c>
      <c r="I139" s="80">
        <v>0.13570193794923122</v>
      </c>
      <c r="J139" s="80">
        <v>0.1089022941230235</v>
      </c>
      <c r="K139" s="80">
        <v>0.10292128753043009</v>
      </c>
      <c r="AC139" s="4" t="s">
        <v>1353</v>
      </c>
      <c r="AD139" s="4" t="s">
        <v>197</v>
      </c>
      <c r="AE139" s="4" t="s">
        <v>216</v>
      </c>
      <c r="AF139" s="4">
        <v>500</v>
      </c>
      <c r="AG139" s="4">
        <v>3.02</v>
      </c>
      <c r="AH139" s="4" t="s">
        <v>1446</v>
      </c>
      <c r="AI139" s="4">
        <v>10</v>
      </c>
      <c r="AJ139" s="4">
        <v>2</v>
      </c>
      <c r="AK139" s="4">
        <v>5.2457813360000003</v>
      </c>
      <c r="AL139" s="4">
        <v>5.8738407528354397</v>
      </c>
      <c r="AM139" s="4">
        <v>0.62805941683543898</v>
      </c>
      <c r="AN139" s="4">
        <v>0.99977434144869903</v>
      </c>
    </row>
    <row r="140" spans="1:40">
      <c r="A140" s="228"/>
      <c r="B140" s="87">
        <v>100</v>
      </c>
      <c r="C140" s="80">
        <v>2.5262042162289486E-2</v>
      </c>
      <c r="D140" s="80">
        <v>2.342123525329632E-2</v>
      </c>
      <c r="E140" s="80">
        <v>2.3894109557643824E-2</v>
      </c>
      <c r="F140" s="80">
        <v>4.8914312397851968E-2</v>
      </c>
      <c r="G140" s="80">
        <v>5.0370113347212579E-2</v>
      </c>
      <c r="H140" s="80">
        <v>4.8977457587729485E-2</v>
      </c>
      <c r="I140" s="80">
        <v>1.0400788436268067</v>
      </c>
      <c r="J140" s="80">
        <v>1.0690736938170202</v>
      </c>
      <c r="K140" s="80">
        <v>1.1750518075063319</v>
      </c>
      <c r="AC140" s="4" t="s">
        <v>1353</v>
      </c>
      <c r="AD140" s="4" t="s">
        <v>197</v>
      </c>
      <c r="AE140" s="4" t="s">
        <v>216</v>
      </c>
      <c r="AF140" s="4">
        <v>500</v>
      </c>
      <c r="AG140" s="4">
        <v>3.02</v>
      </c>
      <c r="AH140" s="4" t="s">
        <v>1446</v>
      </c>
      <c r="AI140" s="4">
        <v>10</v>
      </c>
      <c r="AJ140" s="4">
        <v>3</v>
      </c>
      <c r="AK140" s="4">
        <v>5.1547508869999996</v>
      </c>
      <c r="AL140" s="4">
        <v>5.8738407528354397</v>
      </c>
      <c r="AM140" s="4">
        <v>0.71908986583543999</v>
      </c>
      <c r="AN140" s="4">
        <v>0.99977434144869903</v>
      </c>
    </row>
    <row r="141" spans="1:40">
      <c r="A141" s="228"/>
      <c r="B141" s="87">
        <v>500</v>
      </c>
      <c r="C141" s="80">
        <v>3.0918514946962388E-2</v>
      </c>
      <c r="D141" s="80">
        <v>3.2899366643209006E-2</v>
      </c>
      <c r="E141" s="80">
        <v>3.3034978212224703E-2</v>
      </c>
      <c r="F141" s="80">
        <v>0.11702775073028238</v>
      </c>
      <c r="G141" s="80">
        <v>0.10417150825005811</v>
      </c>
      <c r="H141" s="80">
        <v>8.2839871699975337E-2</v>
      </c>
      <c r="I141" s="80">
        <v>2.4283706148392619</v>
      </c>
      <c r="J141" s="80">
        <v>1.9409079844206427</v>
      </c>
      <c r="K141" s="80">
        <v>2.0245549804317635</v>
      </c>
      <c r="L141" t="s">
        <v>1166</v>
      </c>
      <c r="M141">
        <f>C142-C137</f>
        <v>4.9767452611403952E-2</v>
      </c>
      <c r="N141">
        <f t="shared" ref="N141" si="33">D142-D137</f>
        <v>5.4949002049766875E-2</v>
      </c>
      <c r="O141">
        <f t="shared" ref="O141" si="34">E142-E137</f>
        <v>3.7545244678589718E-2</v>
      </c>
      <c r="P141">
        <f t="shared" ref="P141" si="35">F142-F137</f>
        <v>0.29602210170106086</v>
      </c>
      <c r="Q141">
        <f t="shared" ref="Q141" si="36">G142-G137</f>
        <v>0.3038370544537326</v>
      </c>
      <c r="R141">
        <f t="shared" ref="R141" si="37">H142-H137</f>
        <v>0.31658514619895212</v>
      </c>
      <c r="S141">
        <f t="shared" ref="S141" si="38">I142-I137</f>
        <v>4.2159039144006876</v>
      </c>
      <c r="T141">
        <f t="shared" ref="T141" si="39">J142-J137</f>
        <v>4.2130958230455802</v>
      </c>
      <c r="U141">
        <f t="shared" ref="U141" si="40">K142-K137</f>
        <v>4.095359692807766</v>
      </c>
      <c r="AC141" s="4" t="s">
        <v>1354</v>
      </c>
      <c r="AD141" s="4" t="s">
        <v>134</v>
      </c>
      <c r="AE141" s="4" t="s">
        <v>208</v>
      </c>
      <c r="AF141" s="4">
        <v>0</v>
      </c>
      <c r="AG141" s="4">
        <v>0.01</v>
      </c>
      <c r="AH141" s="4" t="s">
        <v>1445</v>
      </c>
      <c r="AI141" s="4">
        <v>0</v>
      </c>
      <c r="AJ141" s="4">
        <v>1</v>
      </c>
      <c r="AK141" s="4">
        <v>0.115355711</v>
      </c>
      <c r="AL141" s="4">
        <v>6.9597345881117101E-2</v>
      </c>
      <c r="AM141" s="4">
        <v>-4.5758365118882899E-2</v>
      </c>
      <c r="AN141" s="106">
        <v>2.2460614601431599E-7</v>
      </c>
    </row>
    <row r="142" spans="1:40">
      <c r="A142" s="228"/>
      <c r="B142" s="87">
        <v>2000</v>
      </c>
      <c r="C142" s="80">
        <v>6.4595710401772227E-2</v>
      </c>
      <c r="D142" s="80">
        <v>7.0637398046520999E-2</v>
      </c>
      <c r="E142" s="80">
        <v>5.251233511227469E-2</v>
      </c>
      <c r="F142" s="80">
        <v>0.31414490397317341</v>
      </c>
      <c r="G142" s="80">
        <v>0.32085870249842535</v>
      </c>
      <c r="H142" s="80">
        <v>0.33398068444257817</v>
      </c>
      <c r="I142" s="80">
        <v>4.2338089399175116</v>
      </c>
      <c r="J142" s="80">
        <v>4.2338089399175116</v>
      </c>
      <c r="K142" s="80">
        <v>4.1162077806264632</v>
      </c>
      <c r="L142" t="s">
        <v>1167</v>
      </c>
      <c r="M142">
        <f t="shared" ref="M142" si="41">C142/C137</f>
        <v>4.3562575802890686</v>
      </c>
      <c r="N142">
        <f t="shared" ref="N142" si="42">D142/D137</f>
        <v>4.5025251823791059</v>
      </c>
      <c r="O142">
        <f t="shared" ref="O142" si="43">E142/E137</f>
        <v>3.5085199321098703</v>
      </c>
      <c r="P142">
        <f t="shared" ref="P142" si="44">F142/F137</f>
        <v>17.334234477445101</v>
      </c>
      <c r="Q142">
        <f t="shared" ref="Q142" si="45">G142/G137</f>
        <v>18.850037414471593</v>
      </c>
      <c r="R142">
        <f t="shared" ref="R142" si="46">H142/H137</f>
        <v>19.199215325513297</v>
      </c>
      <c r="S142">
        <f>I142/I137</f>
        <v>236.45925195355721</v>
      </c>
      <c r="T142">
        <f t="shared" ref="T142" si="47">J142/J137</f>
        <v>204.4023101928575</v>
      </c>
      <c r="U142">
        <f>K142/K137</f>
        <v>197.43814475565406</v>
      </c>
      <c r="V142">
        <f>AVERAGE(M142:O142)</f>
        <v>4.1224342315926812</v>
      </c>
      <c r="W142">
        <f>AVERAGE(P142:R142)</f>
        <v>18.461162405809997</v>
      </c>
      <c r="X142">
        <f>AVERAGE(S142:U142)</f>
        <v>212.76656896735628</v>
      </c>
      <c r="AC142" s="4" t="s">
        <v>1354</v>
      </c>
      <c r="AD142" s="4" t="s">
        <v>134</v>
      </c>
      <c r="AE142" s="4" t="s">
        <v>208</v>
      </c>
      <c r="AF142" s="4">
        <v>0</v>
      </c>
      <c r="AG142" s="4">
        <v>0.01</v>
      </c>
      <c r="AH142" s="4" t="s">
        <v>1445</v>
      </c>
      <c r="AI142" s="4">
        <v>0</v>
      </c>
      <c r="AJ142" s="4">
        <v>2</v>
      </c>
      <c r="AK142" s="4">
        <v>0.11830429200000001</v>
      </c>
      <c r="AL142" s="4">
        <v>6.9597345881117101E-2</v>
      </c>
      <c r="AM142" s="4">
        <v>-4.8706946118882898E-2</v>
      </c>
      <c r="AN142" s="106">
        <v>2.2460614601431599E-7</v>
      </c>
    </row>
    <row r="143" spans="1:40">
      <c r="AC143" s="4" t="s">
        <v>1354</v>
      </c>
      <c r="AD143" s="4" t="s">
        <v>134</v>
      </c>
      <c r="AE143" s="4" t="s">
        <v>208</v>
      </c>
      <c r="AF143" s="4">
        <v>0</v>
      </c>
      <c r="AG143" s="4">
        <v>0.01</v>
      </c>
      <c r="AH143" s="4" t="s">
        <v>1445</v>
      </c>
      <c r="AI143" s="4">
        <v>0</v>
      </c>
      <c r="AJ143" s="4">
        <v>3</v>
      </c>
      <c r="AK143" s="4">
        <v>0.118273775</v>
      </c>
      <c r="AL143" s="4">
        <v>6.9597345881117101E-2</v>
      </c>
      <c r="AM143" s="4">
        <v>-4.8676429118882897E-2</v>
      </c>
      <c r="AN143" s="106">
        <v>2.2460614601431599E-7</v>
      </c>
    </row>
    <row r="144" spans="1:40">
      <c r="L144" t="s">
        <v>1168</v>
      </c>
      <c r="M144">
        <f>M141+M142</f>
        <v>4.4060250329004722</v>
      </c>
      <c r="N144">
        <f t="shared" ref="N144:U144" si="48">N141+N142</f>
        <v>4.5574741844288731</v>
      </c>
      <c r="O144">
        <f t="shared" si="48"/>
        <v>3.5460651767884599</v>
      </c>
      <c r="P144">
        <f t="shared" si="48"/>
        <v>17.630256579146163</v>
      </c>
      <c r="Q144">
        <f t="shared" si="48"/>
        <v>19.153874468925327</v>
      </c>
      <c r="R144">
        <f t="shared" si="48"/>
        <v>19.51580047171225</v>
      </c>
      <c r="S144" s="67">
        <f>S141+S142</f>
        <v>240.6751558679579</v>
      </c>
      <c r="T144" s="67">
        <f t="shared" si="48"/>
        <v>208.61540601590309</v>
      </c>
      <c r="U144" s="67">
        <f t="shared" si="48"/>
        <v>201.53350444846183</v>
      </c>
      <c r="AC144" s="4" t="s">
        <v>1354</v>
      </c>
      <c r="AD144" s="4" t="s">
        <v>134</v>
      </c>
      <c r="AE144" s="4" t="s">
        <v>208</v>
      </c>
      <c r="AF144" s="4">
        <v>0</v>
      </c>
      <c r="AG144" s="4">
        <v>0.01</v>
      </c>
      <c r="AH144" s="4" t="s">
        <v>1446</v>
      </c>
      <c r="AI144" s="4">
        <v>100</v>
      </c>
      <c r="AJ144" s="4">
        <v>1</v>
      </c>
      <c r="AK144" s="4">
        <v>7.1282513000000006E-2</v>
      </c>
      <c r="AL144" s="4">
        <v>7.0769777022299696E-2</v>
      </c>
      <c r="AM144" s="4">
        <v>-5.1273597770026802E-4</v>
      </c>
      <c r="AN144" s="4">
        <v>2.0008815598343199E-4</v>
      </c>
    </row>
    <row r="145" spans="1:40">
      <c r="A145" s="80"/>
      <c r="B145" s="81"/>
      <c r="C145" s="80"/>
      <c r="D145" s="80"/>
      <c r="E145" s="80"/>
      <c r="F145" s="80"/>
      <c r="G145" s="80"/>
      <c r="H145" s="80"/>
      <c r="I145" s="80"/>
      <c r="J145" s="80"/>
      <c r="K145" s="80"/>
      <c r="AC145" s="4" t="s">
        <v>1354</v>
      </c>
      <c r="AD145" s="4" t="s">
        <v>134</v>
      </c>
      <c r="AE145" s="4" t="s">
        <v>208</v>
      </c>
      <c r="AF145" s="4">
        <v>0</v>
      </c>
      <c r="AG145" s="4">
        <v>0.01</v>
      </c>
      <c r="AH145" s="4" t="s">
        <v>1446</v>
      </c>
      <c r="AI145" s="4">
        <v>100</v>
      </c>
      <c r="AJ145" s="4">
        <v>2</v>
      </c>
      <c r="AK145" s="4">
        <v>7.0127872999999993E-2</v>
      </c>
      <c r="AL145" s="4">
        <v>7.0769777022299696E-2</v>
      </c>
      <c r="AM145" s="4">
        <v>6.4190402229974397E-4</v>
      </c>
      <c r="AN145" s="4">
        <v>2.0008815598343199E-4</v>
      </c>
    </row>
    <row r="146" spans="1:40" ht="17.25">
      <c r="A146" s="80"/>
      <c r="B146" s="80"/>
      <c r="C146" s="229" t="s">
        <v>1690</v>
      </c>
      <c r="D146" s="229"/>
      <c r="E146" s="229"/>
      <c r="F146" s="229"/>
      <c r="G146" s="229"/>
      <c r="H146" s="229"/>
      <c r="I146" s="229"/>
      <c r="J146" s="229"/>
      <c r="K146" s="229"/>
      <c r="AC146" s="4" t="s">
        <v>1354</v>
      </c>
      <c r="AD146" s="4" t="s">
        <v>134</v>
      </c>
      <c r="AE146" s="4" t="s">
        <v>208</v>
      </c>
      <c r="AF146" s="4">
        <v>0</v>
      </c>
      <c r="AG146" s="4">
        <v>0.01</v>
      </c>
      <c r="AH146" s="4" t="s">
        <v>1446</v>
      </c>
      <c r="AI146" s="4">
        <v>100</v>
      </c>
      <c r="AJ146" s="4">
        <v>3</v>
      </c>
      <c r="AK146" s="4">
        <v>6.9665694E-2</v>
      </c>
      <c r="AL146" s="4">
        <v>7.0769777022299696E-2</v>
      </c>
      <c r="AM146" s="4">
        <v>1.10408302229973E-3</v>
      </c>
      <c r="AN146" s="4">
        <v>2.0008815598343199E-4</v>
      </c>
    </row>
    <row r="147" spans="1:40">
      <c r="A147" s="82" t="s">
        <v>1161</v>
      </c>
      <c r="B147" s="83"/>
      <c r="C147" s="83">
        <v>7.8495155929566504E-3</v>
      </c>
      <c r="D147" s="83">
        <v>9.0799939966981838E-3</v>
      </c>
      <c r="E147" s="83">
        <v>8.2431366927102016E-3</v>
      </c>
      <c r="F147" s="80">
        <v>0.32898234612500854</v>
      </c>
      <c r="G147" s="80">
        <v>0.32619014859658779</v>
      </c>
      <c r="H147" s="80">
        <v>0.31716091722143769</v>
      </c>
      <c r="I147" s="83">
        <v>2.7071147824928388</v>
      </c>
      <c r="J147" s="83">
        <v>2.6859133017466941</v>
      </c>
      <c r="K147" s="83">
        <v>2.7579827849507152</v>
      </c>
      <c r="AC147" s="4" t="s">
        <v>1354</v>
      </c>
      <c r="AD147" s="4" t="s">
        <v>134</v>
      </c>
      <c r="AE147" s="4" t="s">
        <v>208</v>
      </c>
      <c r="AF147" s="4">
        <v>20</v>
      </c>
      <c r="AG147" s="4">
        <v>0.4</v>
      </c>
      <c r="AH147" s="4" t="s">
        <v>1445</v>
      </c>
      <c r="AI147" s="4">
        <v>0</v>
      </c>
      <c r="AJ147" s="4">
        <v>1</v>
      </c>
      <c r="AK147" s="4">
        <v>0.21043715399999999</v>
      </c>
      <c r="AL147" s="4">
        <v>7.1703391643931705E-2</v>
      </c>
      <c r="AM147" s="4">
        <v>-0.13873376235606799</v>
      </c>
      <c r="AN147" s="4">
        <v>3.5924081399904399E-4</v>
      </c>
    </row>
    <row r="148" spans="1:40">
      <c r="A148" s="84" t="s">
        <v>1162</v>
      </c>
      <c r="B148" s="85"/>
      <c r="C148" s="223">
        <v>0</v>
      </c>
      <c r="D148" s="223"/>
      <c r="E148" s="223"/>
      <c r="F148" s="223">
        <v>20</v>
      </c>
      <c r="G148" s="223"/>
      <c r="H148" s="223"/>
      <c r="I148" s="223">
        <v>500</v>
      </c>
      <c r="J148" s="223"/>
      <c r="K148" s="223"/>
      <c r="AC148" s="4" t="s">
        <v>1354</v>
      </c>
      <c r="AD148" s="4" t="s">
        <v>134</v>
      </c>
      <c r="AE148" s="4" t="s">
        <v>208</v>
      </c>
      <c r="AF148" s="4">
        <v>20</v>
      </c>
      <c r="AG148" s="4">
        <v>0.4</v>
      </c>
      <c r="AH148" s="4" t="s">
        <v>1445</v>
      </c>
      <c r="AI148" s="4">
        <v>0</v>
      </c>
      <c r="AJ148" s="4">
        <v>2</v>
      </c>
      <c r="AK148" s="4">
        <v>0.17548296199999999</v>
      </c>
      <c r="AL148" s="4">
        <v>7.1703391643931705E-2</v>
      </c>
      <c r="AM148" s="4">
        <v>-0.103779570356068</v>
      </c>
      <c r="AN148" s="4">
        <v>3.5924081399904399E-4</v>
      </c>
    </row>
    <row r="149" spans="1:40">
      <c r="A149" s="228" t="s">
        <v>1164</v>
      </c>
      <c r="B149" s="81">
        <v>0</v>
      </c>
      <c r="C149" s="80">
        <v>3.4439396397858188E-2</v>
      </c>
      <c r="D149" s="80">
        <v>3.3152352747614348E-2</v>
      </c>
      <c r="E149" s="80">
        <v>3.3090588988476319E-2</v>
      </c>
      <c r="F149" s="80">
        <v>5.7730250177570837E-2</v>
      </c>
      <c r="G149" s="80">
        <v>5.447833847152362E-2</v>
      </c>
      <c r="H149" s="80">
        <v>5.6506571474931051E-2</v>
      </c>
      <c r="I149" s="80">
        <v>8.8537898882726479E-2</v>
      </c>
      <c r="J149" s="80">
        <v>9.1394344389210347E-2</v>
      </c>
      <c r="K149" s="80">
        <v>9.5024634520636475E-2</v>
      </c>
      <c r="AC149" s="4" t="s">
        <v>1354</v>
      </c>
      <c r="AD149" s="4" t="s">
        <v>134</v>
      </c>
      <c r="AE149" s="4" t="s">
        <v>208</v>
      </c>
      <c r="AF149" s="4">
        <v>20</v>
      </c>
      <c r="AG149" s="4">
        <v>0.4</v>
      </c>
      <c r="AH149" s="4" t="s">
        <v>1445</v>
      </c>
      <c r="AI149" s="4">
        <v>0</v>
      </c>
      <c r="AJ149" s="4">
        <v>3</v>
      </c>
      <c r="AK149" s="4">
        <v>0.18596027600000001</v>
      </c>
      <c r="AL149" s="4">
        <v>7.1703391643931705E-2</v>
      </c>
      <c r="AM149" s="4">
        <v>-0.114256884356068</v>
      </c>
      <c r="AN149" s="4">
        <v>3.5924081399904399E-4</v>
      </c>
    </row>
    <row r="150" spans="1:40">
      <c r="A150" s="228"/>
      <c r="B150" s="87">
        <v>10</v>
      </c>
      <c r="C150" s="80">
        <v>3.4749508840864439E-2</v>
      </c>
      <c r="D150" s="80">
        <v>3.6357120101943294E-2</v>
      </c>
      <c r="E150" s="80">
        <v>3.5825929582099375E-2</v>
      </c>
      <c r="F150" s="80">
        <v>4.8135403329065303E-2</v>
      </c>
      <c r="G150" s="80">
        <v>4.9335787451984636E-2</v>
      </c>
      <c r="H150" s="80">
        <v>5.1638812266753209E-2</v>
      </c>
      <c r="I150" s="80">
        <v>9.7194800921355726E-2</v>
      </c>
      <c r="J150" s="80">
        <v>9.9751920614596687E-2</v>
      </c>
      <c r="K150" s="80">
        <v>8.9326778209499649E-2</v>
      </c>
      <c r="AC150" s="4" t="s">
        <v>1354</v>
      </c>
      <c r="AD150" s="4" t="s">
        <v>134</v>
      </c>
      <c r="AE150" s="4" t="s">
        <v>208</v>
      </c>
      <c r="AF150" s="4">
        <v>20</v>
      </c>
      <c r="AG150" s="4">
        <v>0.4</v>
      </c>
      <c r="AH150" s="4" t="s">
        <v>1446</v>
      </c>
      <c r="AI150" s="4">
        <v>100</v>
      </c>
      <c r="AJ150" s="4">
        <v>1</v>
      </c>
      <c r="AK150" s="4">
        <v>1.593071355</v>
      </c>
      <c r="AL150" s="4">
        <v>1.4923853809925101</v>
      </c>
      <c r="AM150" s="4">
        <v>-0.100685974007481</v>
      </c>
      <c r="AN150" s="4">
        <v>0.24254194614105101</v>
      </c>
    </row>
    <row r="151" spans="1:40">
      <c r="A151" s="228"/>
      <c r="B151" s="87">
        <v>100</v>
      </c>
      <c r="C151" s="80">
        <v>3.5696496762410761E-2</v>
      </c>
      <c r="D151" s="80">
        <v>3.4221783481408363E-2</v>
      </c>
      <c r="E151" s="80">
        <v>3.5490180099421398E-2</v>
      </c>
      <c r="F151" s="80">
        <v>5.7993730407523522E-2</v>
      </c>
      <c r="G151" s="80">
        <v>5.6815478550471817E-2</v>
      </c>
      <c r="H151" s="80">
        <v>5.7338348271446869E-2</v>
      </c>
      <c r="I151" s="80">
        <v>0.26609712987122297</v>
      </c>
      <c r="J151" s="80">
        <v>0.27885559921414538</v>
      </c>
      <c r="K151" s="80">
        <v>0.25108004084518104</v>
      </c>
      <c r="AC151" s="4" t="s">
        <v>1354</v>
      </c>
      <c r="AD151" s="4" t="s">
        <v>134</v>
      </c>
      <c r="AE151" s="4" t="s">
        <v>208</v>
      </c>
      <c r="AF151" s="4">
        <v>20</v>
      </c>
      <c r="AG151" s="4">
        <v>0.4</v>
      </c>
      <c r="AH151" s="4" t="s">
        <v>1446</v>
      </c>
      <c r="AI151" s="4">
        <v>100</v>
      </c>
      <c r="AJ151" s="4">
        <v>2</v>
      </c>
      <c r="AK151" s="4">
        <v>1.3496978260000001</v>
      </c>
      <c r="AL151" s="4">
        <v>1.4923853809925101</v>
      </c>
      <c r="AM151" s="4">
        <v>0.14268755499251701</v>
      </c>
      <c r="AN151" s="4">
        <v>0.24254194614105101</v>
      </c>
    </row>
    <row r="152" spans="1:40">
      <c r="A152" s="228"/>
      <c r="B152" s="87">
        <v>1000</v>
      </c>
      <c r="C152" s="80">
        <v>3.1499878846619825E-2</v>
      </c>
      <c r="D152" s="80">
        <v>3.4730635651401345E-2</v>
      </c>
      <c r="E152" s="80">
        <v>3.4468575189206978E-2</v>
      </c>
      <c r="F152" s="80">
        <v>0.27529615004935837</v>
      </c>
      <c r="G152" s="80">
        <v>0.30061619718309862</v>
      </c>
      <c r="H152" s="80">
        <v>0.30331474353939203</v>
      </c>
      <c r="I152" s="80">
        <v>3.4336079476617396</v>
      </c>
      <c r="J152" s="80">
        <v>3.5077478500730161</v>
      </c>
      <c r="K152" s="80">
        <v>3.5876602304072693</v>
      </c>
      <c r="AC152" s="4" t="s">
        <v>1354</v>
      </c>
      <c r="AD152" s="4" t="s">
        <v>134</v>
      </c>
      <c r="AE152" s="4" t="s">
        <v>208</v>
      </c>
      <c r="AF152" s="4">
        <v>20</v>
      </c>
      <c r="AG152" s="4">
        <v>0.4</v>
      </c>
      <c r="AH152" s="4" t="s">
        <v>1446</v>
      </c>
      <c r="AI152" s="4">
        <v>100</v>
      </c>
      <c r="AJ152" s="4">
        <v>3</v>
      </c>
      <c r="AK152" s="4">
        <v>1.3934380260000001</v>
      </c>
      <c r="AL152" s="4">
        <v>1.4923853809925101</v>
      </c>
      <c r="AM152" s="4">
        <v>9.8947354992517902E-2</v>
      </c>
      <c r="AN152" s="4">
        <v>0.24254194614105101</v>
      </c>
    </row>
    <row r="153" spans="1:40">
      <c r="A153" s="228"/>
      <c r="B153" s="87">
        <v>5000</v>
      </c>
      <c r="C153" s="80">
        <v>3.1222998978870476E-2</v>
      </c>
      <c r="D153" s="80">
        <v>3.2436271801752035E-2</v>
      </c>
      <c r="E153" s="80">
        <v>2.7351619401828606E-2</v>
      </c>
      <c r="F153" s="80">
        <v>1.7961384922462769</v>
      </c>
      <c r="G153" s="80">
        <v>1.948972442783746</v>
      </c>
      <c r="H153" s="80">
        <v>1.7878006872852235</v>
      </c>
      <c r="I153" s="80">
        <v>6.5802705565968544</v>
      </c>
      <c r="J153" s="80">
        <v>6.7177936821322808</v>
      </c>
      <c r="K153" s="80">
        <v>6.9381713916484937</v>
      </c>
      <c r="L153" t="s">
        <v>1166</v>
      </c>
      <c r="M153">
        <f>C154-C149</f>
        <v>-1.0221807957561946E-3</v>
      </c>
      <c r="N153">
        <f t="shared" ref="N153" si="49">D154-D149</f>
        <v>2.327715044000124E-3</v>
      </c>
      <c r="O153">
        <f t="shared" ref="O153" si="50">E154-E149</f>
        <v>3.9318466792177542E-3</v>
      </c>
      <c r="P153">
        <f t="shared" ref="P153" si="51">F154-F149</f>
        <v>4.1617353986773917</v>
      </c>
      <c r="Q153">
        <f t="shared" ref="Q153" si="52">G154-G149</f>
        <v>4.2310389516776885</v>
      </c>
      <c r="R153">
        <f t="shared" ref="R153" si="53">H154-H149</f>
        <v>3.7811011644931161</v>
      </c>
      <c r="S153">
        <f t="shared" ref="S153" si="54">I154-I149</f>
        <v>7.6353278973324628</v>
      </c>
      <c r="T153">
        <f t="shared" ref="T153" si="55">J154-J149</f>
        <v>7.3430261154887813</v>
      </c>
      <c r="U153">
        <f t="shared" ref="U153" si="56">K154-K149</f>
        <v>7.7287989890389026</v>
      </c>
      <c r="AC153" s="4" t="s">
        <v>1354</v>
      </c>
      <c r="AD153" s="4" t="s">
        <v>134</v>
      </c>
      <c r="AE153" s="4" t="s">
        <v>208</v>
      </c>
      <c r="AF153" s="4">
        <v>500</v>
      </c>
      <c r="AG153" s="4">
        <v>3.02</v>
      </c>
      <c r="AH153" s="4" t="s">
        <v>1445</v>
      </c>
      <c r="AI153" s="4">
        <v>0</v>
      </c>
      <c r="AJ153" s="4">
        <v>1</v>
      </c>
      <c r="AK153" s="4">
        <v>0.57847175500000003</v>
      </c>
      <c r="AL153" s="4">
        <v>0.187351948198758</v>
      </c>
      <c r="AM153" s="4">
        <v>-0.39111980680124098</v>
      </c>
      <c r="AN153" s="4">
        <v>2.0073772639984101E-2</v>
      </c>
    </row>
    <row r="154" spans="1:40">
      <c r="A154" s="228"/>
      <c r="B154" s="87">
        <v>10000</v>
      </c>
      <c r="C154" s="80">
        <v>3.3417215602101993E-2</v>
      </c>
      <c r="D154" s="80">
        <v>3.5480067791614472E-2</v>
      </c>
      <c r="E154" s="80">
        <v>3.7022435667694073E-2</v>
      </c>
      <c r="F154" s="80">
        <v>4.2194656488549622</v>
      </c>
      <c r="G154" s="80">
        <v>4.2855172901492118</v>
      </c>
      <c r="H154" s="80">
        <v>3.8376077359680472</v>
      </c>
      <c r="I154" s="80">
        <v>7.7238657962151889</v>
      </c>
      <c r="J154" s="80">
        <v>7.4344204598779919</v>
      </c>
      <c r="K154" s="80">
        <v>7.8238236235595391</v>
      </c>
      <c r="L154" t="s">
        <v>1167</v>
      </c>
      <c r="M154">
        <f t="shared" ref="M154" si="57">C154/C149</f>
        <v>0.97031943347823124</v>
      </c>
      <c r="N154">
        <f t="shared" ref="N154" si="58">D154/D149</f>
        <v>1.0702126651981774</v>
      </c>
      <c r="O154">
        <f t="shared" ref="O154" si="59">E154/E149</f>
        <v>1.1188206919069046</v>
      </c>
      <c r="P154">
        <f t="shared" ref="P154" si="60">F154/F149</f>
        <v>73.089335935257992</v>
      </c>
      <c r="Q154">
        <f t="shared" ref="Q154" si="61">G154/G149</f>
        <v>78.664610749633908</v>
      </c>
      <c r="R154">
        <f t="shared" ref="R154" si="62">H154/H149</f>
        <v>67.914361742343345</v>
      </c>
      <c r="S154">
        <f t="shared" ref="S154" si="63">I154/I149</f>
        <v>87.237961298877124</v>
      </c>
      <c r="T154">
        <f t="shared" ref="T154" si="64">J154/J149</f>
        <v>81.344425736212955</v>
      </c>
      <c r="U154">
        <f>K154/K149</f>
        <v>82.334687873600203</v>
      </c>
      <c r="V154">
        <f>AVERAGE(M154:O154)</f>
        <v>1.0531175968611044</v>
      </c>
      <c r="W154">
        <f>AVERAGE(P154:R154)</f>
        <v>73.222769475745082</v>
      </c>
      <c r="X154">
        <f>AVERAGE(S154:U154)</f>
        <v>83.639024969563422</v>
      </c>
      <c r="AC154" s="4" t="s">
        <v>1354</v>
      </c>
      <c r="AD154" s="4" t="s">
        <v>134</v>
      </c>
      <c r="AE154" s="4" t="s">
        <v>208</v>
      </c>
      <c r="AF154" s="4">
        <v>500</v>
      </c>
      <c r="AG154" s="4">
        <v>3.02</v>
      </c>
      <c r="AH154" s="4" t="s">
        <v>1445</v>
      </c>
      <c r="AI154" s="4">
        <v>0</v>
      </c>
      <c r="AJ154" s="4">
        <v>2</v>
      </c>
      <c r="AK154" s="4">
        <v>0.61962593099999996</v>
      </c>
      <c r="AL154" s="4">
        <v>0.187351948198758</v>
      </c>
      <c r="AM154" s="4">
        <v>-0.43227398280124102</v>
      </c>
      <c r="AN154" s="4">
        <v>2.0073772639984101E-2</v>
      </c>
    </row>
    <row r="155" spans="1:40">
      <c r="AC155" s="4" t="s">
        <v>1354</v>
      </c>
      <c r="AD155" s="4" t="s">
        <v>134</v>
      </c>
      <c r="AE155" s="4" t="s">
        <v>208</v>
      </c>
      <c r="AF155" s="4">
        <v>500</v>
      </c>
      <c r="AG155" s="4">
        <v>3.02</v>
      </c>
      <c r="AH155" s="4" t="s">
        <v>1445</v>
      </c>
      <c r="AI155" s="4">
        <v>0</v>
      </c>
      <c r="AJ155" s="4">
        <v>3</v>
      </c>
      <c r="AK155" s="4">
        <v>0.65220886899999997</v>
      </c>
      <c r="AL155" s="4">
        <v>0.187351948198758</v>
      </c>
      <c r="AM155" s="4">
        <v>-0.46485692080124102</v>
      </c>
      <c r="AN155" s="4">
        <v>2.0073772639984101E-2</v>
      </c>
    </row>
    <row r="156" spans="1:40">
      <c r="L156" t="s">
        <v>1168</v>
      </c>
      <c r="M156">
        <f>M153+M154</f>
        <v>0.96929725268247502</v>
      </c>
      <c r="N156">
        <f t="shared" ref="N156:U156" si="65">N153+N154</f>
        <v>1.0725403802421776</v>
      </c>
      <c r="O156">
        <f t="shared" si="65"/>
        <v>1.1227525385861223</v>
      </c>
      <c r="P156">
        <f t="shared" si="65"/>
        <v>77.251071333935386</v>
      </c>
      <c r="Q156">
        <f t="shared" si="65"/>
        <v>82.895649701311598</v>
      </c>
      <c r="R156">
        <f t="shared" si="65"/>
        <v>71.695462906836468</v>
      </c>
      <c r="S156" s="67">
        <f t="shared" si="65"/>
        <v>94.873289196209583</v>
      </c>
      <c r="T156" s="67">
        <f t="shared" si="65"/>
        <v>88.687451851701738</v>
      </c>
      <c r="U156" s="67">
        <f t="shared" si="65"/>
        <v>90.06348686263911</v>
      </c>
      <c r="AC156" s="4" t="s">
        <v>1354</v>
      </c>
      <c r="AD156" s="4" t="s">
        <v>134</v>
      </c>
      <c r="AE156" s="4" t="s">
        <v>208</v>
      </c>
      <c r="AF156" s="4">
        <v>500</v>
      </c>
      <c r="AG156" s="4">
        <v>3.02</v>
      </c>
      <c r="AH156" s="4" t="s">
        <v>1446</v>
      </c>
      <c r="AI156" s="4">
        <v>100</v>
      </c>
      <c r="AJ156" s="4">
        <v>1</v>
      </c>
      <c r="AK156" s="4">
        <v>6.0384519040000004</v>
      </c>
      <c r="AL156" s="4">
        <v>5.6310578988589102</v>
      </c>
      <c r="AM156" s="4">
        <v>-0.40739400514108298</v>
      </c>
      <c r="AN156" s="4">
        <v>0.94805867286410095</v>
      </c>
    </row>
    <row r="157" spans="1:40">
      <c r="AC157" s="4" t="s">
        <v>1354</v>
      </c>
      <c r="AD157" s="4" t="s">
        <v>134</v>
      </c>
      <c r="AE157" s="4" t="s">
        <v>208</v>
      </c>
      <c r="AF157" s="4">
        <v>500</v>
      </c>
      <c r="AG157" s="4">
        <v>3.02</v>
      </c>
      <c r="AH157" s="4" t="s">
        <v>1446</v>
      </c>
      <c r="AI157" s="4">
        <v>100</v>
      </c>
      <c r="AJ157" s="4">
        <v>2</v>
      </c>
      <c r="AK157" s="4">
        <v>5.6760604539999999</v>
      </c>
      <c r="AL157" s="4">
        <v>5.6310578988589102</v>
      </c>
      <c r="AM157" s="4">
        <v>-4.5002555141082597E-2</v>
      </c>
      <c r="AN157" s="4">
        <v>0.94805867286410095</v>
      </c>
    </row>
    <row r="158" spans="1:40">
      <c r="A158" s="80"/>
      <c r="B158" s="81"/>
      <c r="C158" s="80"/>
      <c r="D158" s="80"/>
      <c r="E158" s="80"/>
      <c r="F158" s="80"/>
      <c r="G158" s="80"/>
      <c r="H158" s="80"/>
      <c r="I158" s="80"/>
      <c r="J158" s="80"/>
      <c r="K158" s="80"/>
      <c r="AC158" s="4" t="s">
        <v>1354</v>
      </c>
      <c r="AD158" s="4" t="s">
        <v>134</v>
      </c>
      <c r="AE158" s="4" t="s">
        <v>208</v>
      </c>
      <c r="AF158" s="4">
        <v>500</v>
      </c>
      <c r="AG158" s="4">
        <v>3.02</v>
      </c>
      <c r="AH158" s="4" t="s">
        <v>1446</v>
      </c>
      <c r="AI158" s="4">
        <v>100</v>
      </c>
      <c r="AJ158" s="4">
        <v>3</v>
      </c>
      <c r="AK158" s="4">
        <v>5.1873086879999999</v>
      </c>
      <c r="AL158" s="4">
        <v>5.6310578988589102</v>
      </c>
      <c r="AM158" s="4">
        <v>0.443749210858917</v>
      </c>
      <c r="AN158" s="4">
        <v>0.94805867286410095</v>
      </c>
    </row>
    <row r="159" spans="1:40" ht="17.25">
      <c r="A159" s="80"/>
      <c r="B159" s="80"/>
      <c r="C159" s="229" t="s">
        <v>1691</v>
      </c>
      <c r="D159" s="229"/>
      <c r="E159" s="229"/>
      <c r="F159" s="229"/>
      <c r="G159" s="229"/>
      <c r="H159" s="229"/>
      <c r="I159" s="229"/>
      <c r="J159" s="229"/>
      <c r="K159" s="229"/>
      <c r="AC159" s="4" t="s">
        <v>1355</v>
      </c>
      <c r="AD159" s="4" t="s">
        <v>234</v>
      </c>
      <c r="AE159" s="4" t="s">
        <v>214</v>
      </c>
      <c r="AF159" s="4">
        <v>0</v>
      </c>
      <c r="AG159" s="4">
        <v>0.01</v>
      </c>
      <c r="AH159" s="4" t="s">
        <v>1445</v>
      </c>
      <c r="AI159" s="4">
        <v>0</v>
      </c>
      <c r="AJ159" s="4">
        <v>1</v>
      </c>
      <c r="AK159" s="4">
        <v>1.7098530000000001E-2</v>
      </c>
      <c r="AL159" s="4">
        <v>1.5729408053880699E-2</v>
      </c>
      <c r="AM159" s="4">
        <v>-1.3691219461192199E-3</v>
      </c>
      <c r="AN159" s="106">
        <v>4.9562046315753796E-9</v>
      </c>
    </row>
    <row r="160" spans="1:40">
      <c r="A160" s="82" t="s">
        <v>1161</v>
      </c>
      <c r="B160" s="83"/>
      <c r="C160" s="83">
        <v>7.8495155929566504E-3</v>
      </c>
      <c r="D160" s="83">
        <v>9.0799939966981838E-3</v>
      </c>
      <c r="E160" s="83">
        <v>8.2431366927102016E-3</v>
      </c>
      <c r="F160" s="80">
        <v>0.32898234612500854</v>
      </c>
      <c r="G160" s="80">
        <v>0.32619014859658779</v>
      </c>
      <c r="H160" s="80">
        <v>0.31716091722143769</v>
      </c>
      <c r="I160" s="83">
        <v>2.7071147824928388</v>
      </c>
      <c r="J160" s="83">
        <v>2.6859133017466941</v>
      </c>
      <c r="K160" s="83">
        <v>2.7579827849507152</v>
      </c>
      <c r="AC160" s="4" t="s">
        <v>1355</v>
      </c>
      <c r="AD160" s="4" t="s">
        <v>234</v>
      </c>
      <c r="AE160" s="4" t="s">
        <v>214</v>
      </c>
      <c r="AF160" s="4">
        <v>0</v>
      </c>
      <c r="AG160" s="4">
        <v>0.01</v>
      </c>
      <c r="AH160" s="4" t="s">
        <v>1445</v>
      </c>
      <c r="AI160" s="4">
        <v>0</v>
      </c>
      <c r="AJ160" s="4">
        <v>2</v>
      </c>
      <c r="AK160" s="4">
        <v>1.7223298000000001E-2</v>
      </c>
      <c r="AL160" s="4">
        <v>1.5729408053880699E-2</v>
      </c>
      <c r="AM160" s="4">
        <v>-1.4938899461192201E-3</v>
      </c>
      <c r="AN160" s="106">
        <v>4.9562046315753796E-9</v>
      </c>
    </row>
    <row r="161" spans="1:40">
      <c r="A161" s="84" t="s">
        <v>1162</v>
      </c>
      <c r="B161" s="85"/>
      <c r="C161" s="223">
        <v>0</v>
      </c>
      <c r="D161" s="223"/>
      <c r="E161" s="223"/>
      <c r="F161" s="223">
        <v>20</v>
      </c>
      <c r="G161" s="223"/>
      <c r="H161" s="223"/>
      <c r="I161" s="223">
        <v>500</v>
      </c>
      <c r="J161" s="223"/>
      <c r="K161" s="223"/>
      <c r="AC161" s="4" t="s">
        <v>1355</v>
      </c>
      <c r="AD161" s="4" t="s">
        <v>234</v>
      </c>
      <c r="AE161" s="4" t="s">
        <v>214</v>
      </c>
      <c r="AF161" s="4">
        <v>0</v>
      </c>
      <c r="AG161" s="4">
        <v>0.01</v>
      </c>
      <c r="AH161" s="4" t="s">
        <v>1445</v>
      </c>
      <c r="AI161" s="4">
        <v>0</v>
      </c>
      <c r="AJ161" s="4">
        <v>3</v>
      </c>
      <c r="AK161" s="4">
        <v>1.5745133000000001E-2</v>
      </c>
      <c r="AL161" s="4">
        <v>1.5729408053880699E-2</v>
      </c>
      <c r="AM161" s="106">
        <v>-1.5724946119229701E-5</v>
      </c>
      <c r="AN161" s="106">
        <v>4.9562046315753796E-9</v>
      </c>
    </row>
    <row r="162" spans="1:40">
      <c r="A162" s="228" t="s">
        <v>1163</v>
      </c>
      <c r="B162" s="81">
        <v>0</v>
      </c>
      <c r="C162" s="80">
        <v>1.1805127301559335E-2</v>
      </c>
      <c r="D162" s="80">
        <v>1.5515172295559749E-2</v>
      </c>
      <c r="E162" s="80">
        <v>1.6002075944987457E-2</v>
      </c>
      <c r="F162" s="80">
        <v>2.1883920076117981E-2</v>
      </c>
      <c r="G162" s="80">
        <v>2.2118894489831398E-2</v>
      </c>
      <c r="H162" s="80">
        <v>2.0885367324089226E-2</v>
      </c>
      <c r="I162" s="80">
        <v>4.6809083565209589E-2</v>
      </c>
      <c r="J162" s="80">
        <v>4.7057331303906651E-2</v>
      </c>
      <c r="K162" s="80">
        <v>4.6204758713136729E-2</v>
      </c>
      <c r="AC162" s="4" t="s">
        <v>1355</v>
      </c>
      <c r="AD162" s="4" t="s">
        <v>234</v>
      </c>
      <c r="AE162" s="4" t="s">
        <v>214</v>
      </c>
      <c r="AF162" s="4">
        <v>0</v>
      </c>
      <c r="AG162" s="4">
        <v>0.01</v>
      </c>
      <c r="AH162" s="4" t="s">
        <v>1446</v>
      </c>
      <c r="AI162" s="4">
        <v>100</v>
      </c>
      <c r="AJ162" s="4">
        <v>1</v>
      </c>
      <c r="AK162" s="4">
        <v>1.9813520000000001E-2</v>
      </c>
      <c r="AL162" s="4">
        <v>1.7850498989328001E-2</v>
      </c>
      <c r="AM162" s="4">
        <v>-1.9630210106719101E-3</v>
      </c>
      <c r="AN162" s="4">
        <v>5.2076697144292803E-4</v>
      </c>
    </row>
    <row r="163" spans="1:40">
      <c r="A163" s="228"/>
      <c r="B163" s="87">
        <v>1</v>
      </c>
      <c r="C163" s="80">
        <v>1.5455163043478265E-2</v>
      </c>
      <c r="D163" s="80">
        <v>1.7181982602704336E-2</v>
      </c>
      <c r="E163" s="80">
        <v>1.5459478081129966E-2</v>
      </c>
      <c r="F163" s="80">
        <v>2.0295041899441344E-2</v>
      </c>
      <c r="G163" s="80">
        <v>2.2489404030793185E-2</v>
      </c>
      <c r="H163" s="80">
        <v>2.1710924660496501E-2</v>
      </c>
      <c r="I163" s="80">
        <v>8.5822324334673572E-2</v>
      </c>
      <c r="J163" s="80">
        <v>8.0973525469168917E-2</v>
      </c>
      <c r="K163" s="80">
        <v>8.0234102606674421E-2</v>
      </c>
      <c r="AC163" s="4" t="s">
        <v>1355</v>
      </c>
      <c r="AD163" s="4" t="s">
        <v>234</v>
      </c>
      <c r="AE163" s="4" t="s">
        <v>214</v>
      </c>
      <c r="AF163" s="4">
        <v>0</v>
      </c>
      <c r="AG163" s="4">
        <v>0.01</v>
      </c>
      <c r="AH163" s="4" t="s">
        <v>1446</v>
      </c>
      <c r="AI163" s="4">
        <v>100</v>
      </c>
      <c r="AJ163" s="4">
        <v>2</v>
      </c>
      <c r="AK163" s="4">
        <v>2.1308349000000001E-2</v>
      </c>
      <c r="AL163" s="4">
        <v>1.7850498989328001E-2</v>
      </c>
      <c r="AM163" s="4">
        <v>-3.4578500106719101E-3</v>
      </c>
      <c r="AN163" s="4">
        <v>5.2076697144292803E-4</v>
      </c>
    </row>
    <row r="164" spans="1:40">
      <c r="A164" s="228"/>
      <c r="B164" s="87">
        <v>10</v>
      </c>
      <c r="C164" s="80">
        <v>1.3866161398673674E-2</v>
      </c>
      <c r="D164" s="80">
        <v>1.6665231246232023E-2</v>
      </c>
      <c r="E164" s="80">
        <v>1.4700840048002742E-2</v>
      </c>
      <c r="F164" s="80">
        <v>4.4621619240595545E-2</v>
      </c>
      <c r="G164" s="80">
        <v>4.2761174748083719E-2</v>
      </c>
      <c r="H164" s="80">
        <v>3.9703005513071314E-2</v>
      </c>
      <c r="I164" s="80">
        <v>0.37635338003821311</v>
      </c>
      <c r="J164" s="80">
        <v>0.35919078242229369</v>
      </c>
      <c r="K164" s="80">
        <v>0.38152556126589127</v>
      </c>
      <c r="AC164" s="4" t="s">
        <v>1355</v>
      </c>
      <c r="AD164" s="4" t="s">
        <v>234</v>
      </c>
      <c r="AE164" s="4" t="s">
        <v>214</v>
      </c>
      <c r="AF164" s="4">
        <v>0</v>
      </c>
      <c r="AG164" s="4">
        <v>0.01</v>
      </c>
      <c r="AH164" s="4" t="s">
        <v>1446</v>
      </c>
      <c r="AI164" s="4">
        <v>100</v>
      </c>
      <c r="AJ164" s="4">
        <v>3</v>
      </c>
      <c r="AK164" s="4">
        <v>2.2944319000000001E-2</v>
      </c>
      <c r="AL164" s="4">
        <v>1.7850498989328001E-2</v>
      </c>
      <c r="AM164" s="4">
        <v>-5.0938200106719102E-3</v>
      </c>
      <c r="AN164" s="4">
        <v>5.2076697144292803E-4</v>
      </c>
    </row>
    <row r="165" spans="1:40">
      <c r="A165" s="228"/>
      <c r="B165" s="87">
        <v>100</v>
      </c>
      <c r="C165" s="80">
        <v>2.2359857232836445E-2</v>
      </c>
      <c r="D165" s="80">
        <v>2.2150582362728783E-2</v>
      </c>
      <c r="E165" s="80">
        <v>2.2826539101497508E-2</v>
      </c>
      <c r="F165" s="80">
        <v>0.21585735963581185</v>
      </c>
      <c r="G165" s="80">
        <v>0.24064771269773408</v>
      </c>
      <c r="H165" s="80">
        <v>0.2077640080499947</v>
      </c>
      <c r="I165" s="80">
        <v>1.1188932901212338</v>
      </c>
      <c r="J165" s="80">
        <v>1.1203230304438763</v>
      </c>
      <c r="K165" s="80">
        <v>1.1566385174759559</v>
      </c>
      <c r="AC165" s="4" t="s">
        <v>1355</v>
      </c>
      <c r="AD165" s="4" t="s">
        <v>234</v>
      </c>
      <c r="AE165" s="4" t="s">
        <v>214</v>
      </c>
      <c r="AF165" s="4">
        <v>20</v>
      </c>
      <c r="AG165" s="4">
        <v>0.4</v>
      </c>
      <c r="AH165" s="4" t="s">
        <v>1445</v>
      </c>
      <c r="AI165" s="4">
        <v>0</v>
      </c>
      <c r="AJ165" s="4">
        <v>1</v>
      </c>
      <c r="AK165" s="4">
        <v>2.9617001E-2</v>
      </c>
      <c r="AL165" s="4">
        <v>1.57616866202871E-2</v>
      </c>
      <c r="AM165" s="4">
        <v>-1.3855314379712901E-2</v>
      </c>
      <c r="AN165" s="106">
        <v>7.9298645665722492E-6</v>
      </c>
    </row>
    <row r="166" spans="1:40">
      <c r="A166" s="228"/>
      <c r="B166" s="87">
        <v>500</v>
      </c>
      <c r="C166" s="80">
        <v>3.2664152617568762E-2</v>
      </c>
      <c r="D166" s="80">
        <v>3.4667261174896893E-2</v>
      </c>
      <c r="E166" s="80">
        <v>3.1998669032830523E-2</v>
      </c>
      <c r="F166" s="80">
        <v>0.75097161700624182</v>
      </c>
      <c r="G166" s="80">
        <v>0.73222170578666046</v>
      </c>
      <c r="H166" s="80">
        <v>0.84926792641721927</v>
      </c>
      <c r="I166" s="80">
        <v>2.5069701455711817</v>
      </c>
      <c r="J166" s="80">
        <v>2.2828575102880659</v>
      </c>
      <c r="K166" s="80">
        <v>2.6349919527896994</v>
      </c>
      <c r="L166" t="s">
        <v>1166</v>
      </c>
      <c r="M166">
        <f>C167-C162</f>
        <v>4.7642560586495533E-2</v>
      </c>
      <c r="N166">
        <f t="shared" ref="N166" si="66">D167-D162</f>
        <v>4.4488569169223724E-2</v>
      </c>
      <c r="O166">
        <f t="shared" ref="O166" si="67">E167-E162</f>
        <v>4.3066299323930329E-2</v>
      </c>
      <c r="P166">
        <f t="shared" ref="P166" si="68">F167-F162</f>
        <v>1.7021786751885908</v>
      </c>
      <c r="Q166">
        <f t="shared" ref="Q166" si="69">G167-G162</f>
        <v>1.7292592190258893</v>
      </c>
      <c r="R166">
        <f t="shared" ref="R166" si="70">H167-H162</f>
        <v>1.6917014027861599</v>
      </c>
      <c r="S166">
        <f t="shared" ref="S166" si="71">I167-I162</f>
        <v>3.2742492578041249</v>
      </c>
      <c r="T166">
        <f t="shared" ref="T166" si="72">J167-J162</f>
        <v>3.33963133756298</v>
      </c>
      <c r="U166">
        <f t="shared" ref="U166" si="73">K167-K162</f>
        <v>3.3215375710753978</v>
      </c>
      <c r="AC166" s="4" t="s">
        <v>1355</v>
      </c>
      <c r="AD166" s="4" t="s">
        <v>234</v>
      </c>
      <c r="AE166" s="4" t="s">
        <v>214</v>
      </c>
      <c r="AF166" s="4">
        <v>20</v>
      </c>
      <c r="AG166" s="4">
        <v>0.4</v>
      </c>
      <c r="AH166" s="4" t="s">
        <v>1445</v>
      </c>
      <c r="AI166" s="4">
        <v>0</v>
      </c>
      <c r="AJ166" s="4">
        <v>2</v>
      </c>
      <c r="AK166" s="4">
        <v>2.8293545999999999E-2</v>
      </c>
      <c r="AL166" s="4">
        <v>1.57616866202871E-2</v>
      </c>
      <c r="AM166" s="4">
        <v>-1.2531859379712899E-2</v>
      </c>
      <c r="AN166" s="106">
        <v>7.9298645665722492E-6</v>
      </c>
    </row>
    <row r="167" spans="1:40">
      <c r="A167" s="228"/>
      <c r="B167" s="87">
        <v>2000</v>
      </c>
      <c r="C167" s="80">
        <v>5.9447687888054872E-2</v>
      </c>
      <c r="D167" s="80">
        <v>6.0003741464783475E-2</v>
      </c>
      <c r="E167" s="80">
        <v>5.9068375268917783E-2</v>
      </c>
      <c r="F167" s="80">
        <v>1.7240625952647088</v>
      </c>
      <c r="G167" s="80">
        <v>1.7513781135157207</v>
      </c>
      <c r="H167" s="80">
        <v>1.7125867701102491</v>
      </c>
      <c r="I167" s="80">
        <v>3.3210583413693344</v>
      </c>
      <c r="J167" s="80">
        <v>3.3866886688668867</v>
      </c>
      <c r="K167" s="80">
        <v>3.3677423297885345</v>
      </c>
      <c r="L167" t="s">
        <v>1167</v>
      </c>
      <c r="M167">
        <f t="shared" ref="M167" si="74">C167/C162</f>
        <v>5.0357515314724681</v>
      </c>
      <c r="N167">
        <f t="shared" ref="N167" si="75">D167/D162</f>
        <v>3.8674234692163751</v>
      </c>
      <c r="O167">
        <f t="shared" ref="O167" si="76">E167/E162</f>
        <v>3.6912945215349109</v>
      </c>
      <c r="P167">
        <f t="shared" ref="P167" si="77">F167/F162</f>
        <v>78.782164679269968</v>
      </c>
      <c r="Q167">
        <f t="shared" ref="Q167" si="78">G167/G162</f>
        <v>79.180183002404235</v>
      </c>
      <c r="R167">
        <f t="shared" ref="R167" si="79">H167/H162</f>
        <v>81.999360774227227</v>
      </c>
      <c r="S167">
        <f t="shared" ref="S167" si="80">I167/I162</f>
        <v>70.949014345533556</v>
      </c>
      <c r="T167">
        <f t="shared" ref="T167" si="81">J167/J162</f>
        <v>71.969416348642937</v>
      </c>
      <c r="U167">
        <f>K167/K162</f>
        <v>72.887348047789573</v>
      </c>
      <c r="V167">
        <f>AVERAGE(M167:O167)</f>
        <v>4.1981565074079183</v>
      </c>
      <c r="W167">
        <f>AVERAGE(P167:R167)</f>
        <v>79.987236151967139</v>
      </c>
      <c r="X167">
        <f>AVERAGE(S167:U167)</f>
        <v>71.935259580655355</v>
      </c>
      <c r="AC167" s="4" t="s">
        <v>1355</v>
      </c>
      <c r="AD167" s="4" t="s">
        <v>234</v>
      </c>
      <c r="AE167" s="4" t="s">
        <v>214</v>
      </c>
      <c r="AF167" s="4">
        <v>20</v>
      </c>
      <c r="AG167" s="4">
        <v>0.4</v>
      </c>
      <c r="AH167" s="4" t="s">
        <v>1445</v>
      </c>
      <c r="AI167" s="4">
        <v>0</v>
      </c>
      <c r="AJ167" s="4">
        <v>3</v>
      </c>
      <c r="AK167" s="4">
        <v>2.8389245E-2</v>
      </c>
      <c r="AL167" s="4">
        <v>1.57616866202871E-2</v>
      </c>
      <c r="AM167" s="4">
        <v>-1.2627558379712901E-2</v>
      </c>
      <c r="AN167" s="106">
        <v>7.9298645665722492E-6</v>
      </c>
    </row>
    <row r="168" spans="1:40">
      <c r="AC168" s="4" t="s">
        <v>1355</v>
      </c>
      <c r="AD168" s="4" t="s">
        <v>234</v>
      </c>
      <c r="AE168" s="4" t="s">
        <v>214</v>
      </c>
      <c r="AF168" s="4">
        <v>20</v>
      </c>
      <c r="AG168" s="4">
        <v>0.4</v>
      </c>
      <c r="AH168" s="4" t="s">
        <v>1446</v>
      </c>
      <c r="AI168" s="4">
        <v>100</v>
      </c>
      <c r="AJ168" s="4">
        <v>1</v>
      </c>
      <c r="AK168" s="4">
        <v>1.9234398539999999</v>
      </c>
      <c r="AL168" s="4">
        <v>1.8675141686554899</v>
      </c>
      <c r="AM168" s="4">
        <v>-5.592568534451E-2</v>
      </c>
      <c r="AN168" s="4">
        <v>0.45464301323208101</v>
      </c>
    </row>
    <row r="169" spans="1:40">
      <c r="L169" t="s">
        <v>1168</v>
      </c>
      <c r="M169">
        <f>M166+M167</f>
        <v>5.0833940920589633</v>
      </c>
      <c r="N169">
        <f t="shared" ref="N169:U169" si="82">N166+N167</f>
        <v>3.9119120383855988</v>
      </c>
      <c r="O169">
        <f t="shared" si="82"/>
        <v>3.734360820858841</v>
      </c>
      <c r="P169" s="67">
        <f t="shared" si="82"/>
        <v>80.484343354458559</v>
      </c>
      <c r="Q169" s="67">
        <f t="shared" si="82"/>
        <v>80.909442221430126</v>
      </c>
      <c r="R169" s="67">
        <f t="shared" si="82"/>
        <v>83.691062177013393</v>
      </c>
      <c r="S169">
        <f t="shared" si="82"/>
        <v>74.223263603337685</v>
      </c>
      <c r="T169">
        <f t="shared" si="82"/>
        <v>75.309047686205915</v>
      </c>
      <c r="U169">
        <f t="shared" si="82"/>
        <v>76.208885618864969</v>
      </c>
      <c r="AC169" s="4" t="s">
        <v>1355</v>
      </c>
      <c r="AD169" s="4" t="s">
        <v>234</v>
      </c>
      <c r="AE169" s="4" t="s">
        <v>214</v>
      </c>
      <c r="AF169" s="4">
        <v>20</v>
      </c>
      <c r="AG169" s="4">
        <v>0.4</v>
      </c>
      <c r="AH169" s="4" t="s">
        <v>1446</v>
      </c>
      <c r="AI169" s="4">
        <v>100</v>
      </c>
      <c r="AJ169" s="4">
        <v>2</v>
      </c>
      <c r="AK169" s="4">
        <v>1.9337152209999999</v>
      </c>
      <c r="AL169" s="4">
        <v>1.8675141686554899</v>
      </c>
      <c r="AM169" s="4">
        <v>-6.620105234451E-2</v>
      </c>
      <c r="AN169" s="4">
        <v>0.45464301323208101</v>
      </c>
    </row>
    <row r="170" spans="1:40">
      <c r="AC170" s="4" t="s">
        <v>1355</v>
      </c>
      <c r="AD170" s="4" t="s">
        <v>234</v>
      </c>
      <c r="AE170" s="4" t="s">
        <v>214</v>
      </c>
      <c r="AF170" s="4">
        <v>20</v>
      </c>
      <c r="AG170" s="4">
        <v>0.4</v>
      </c>
      <c r="AH170" s="4" t="s">
        <v>1446</v>
      </c>
      <c r="AI170" s="4">
        <v>100</v>
      </c>
      <c r="AJ170" s="4">
        <v>3</v>
      </c>
      <c r="AK170" s="4">
        <v>1.7452562789999999</v>
      </c>
      <c r="AL170" s="4">
        <v>1.8675141686554899</v>
      </c>
      <c r="AM170" s="4">
        <v>0.12225788965549</v>
      </c>
      <c r="AN170" s="4">
        <v>0.45464301323208101</v>
      </c>
    </row>
    <row r="171" spans="1:40">
      <c r="A171" s="80"/>
      <c r="B171" s="81"/>
      <c r="C171" s="80"/>
      <c r="D171" s="80"/>
      <c r="E171" s="80"/>
      <c r="F171" s="80"/>
      <c r="G171" s="80"/>
      <c r="H171" s="80"/>
      <c r="I171" s="80"/>
      <c r="J171" s="80"/>
      <c r="K171" s="80"/>
      <c r="AC171" s="4" t="s">
        <v>1355</v>
      </c>
      <c r="AD171" s="4" t="s">
        <v>234</v>
      </c>
      <c r="AE171" s="4" t="s">
        <v>214</v>
      </c>
      <c r="AF171" s="4">
        <v>500</v>
      </c>
      <c r="AG171" s="4">
        <v>3.02</v>
      </c>
      <c r="AH171" s="4" t="s">
        <v>1445</v>
      </c>
      <c r="AI171" s="4">
        <v>0</v>
      </c>
      <c r="AJ171" s="4">
        <v>1</v>
      </c>
      <c r="AK171" s="4">
        <v>3.5484933000000003E-2</v>
      </c>
      <c r="AL171" s="4">
        <v>1.7569680291662702E-2</v>
      </c>
      <c r="AM171" s="4">
        <v>-1.7915252708337201E-2</v>
      </c>
      <c r="AN171" s="4">
        <v>4.5182145455402499E-4</v>
      </c>
    </row>
    <row r="172" spans="1:40" ht="17.25">
      <c r="A172" s="80"/>
      <c r="B172" s="80"/>
      <c r="C172" s="229" t="s">
        <v>1693</v>
      </c>
      <c r="D172" s="229"/>
      <c r="E172" s="229"/>
      <c r="F172" s="229"/>
      <c r="G172" s="229"/>
      <c r="H172" s="229"/>
      <c r="I172" s="229"/>
      <c r="J172" s="229"/>
      <c r="K172" s="229"/>
      <c r="AC172" s="4" t="s">
        <v>1355</v>
      </c>
      <c r="AD172" s="4" t="s">
        <v>234</v>
      </c>
      <c r="AE172" s="4" t="s">
        <v>214</v>
      </c>
      <c r="AF172" s="4">
        <v>500</v>
      </c>
      <c r="AG172" s="4">
        <v>3.02</v>
      </c>
      <c r="AH172" s="4" t="s">
        <v>1445</v>
      </c>
      <c r="AI172" s="4">
        <v>0</v>
      </c>
      <c r="AJ172" s="4">
        <v>2</v>
      </c>
      <c r="AK172" s="4">
        <v>3.7700401000000001E-2</v>
      </c>
      <c r="AL172" s="4">
        <v>1.7569680291662702E-2</v>
      </c>
      <c r="AM172" s="4">
        <v>-2.0130720708337199E-2</v>
      </c>
      <c r="AN172" s="4">
        <v>4.5182145455402499E-4</v>
      </c>
    </row>
    <row r="173" spans="1:40">
      <c r="A173" s="82" t="s">
        <v>1161</v>
      </c>
      <c r="B173" s="83"/>
      <c r="C173" s="83">
        <v>7.8495155929566504E-3</v>
      </c>
      <c r="D173" s="83">
        <v>9.0799939966981838E-3</v>
      </c>
      <c r="E173" s="83">
        <v>8.2431366927102016E-3</v>
      </c>
      <c r="F173" s="80">
        <v>0.32898234612500854</v>
      </c>
      <c r="G173" s="80">
        <v>0.32619014859658779</v>
      </c>
      <c r="H173" s="80">
        <v>0.31716091722143769</v>
      </c>
      <c r="I173" s="83">
        <v>2.7071147824928388</v>
      </c>
      <c r="J173" s="83">
        <v>2.6859133017466941</v>
      </c>
      <c r="K173" s="83">
        <v>2.7579827849507152</v>
      </c>
      <c r="AC173" s="4" t="s">
        <v>1355</v>
      </c>
      <c r="AD173" s="4" t="s">
        <v>234</v>
      </c>
      <c r="AE173" s="4" t="s">
        <v>214</v>
      </c>
      <c r="AF173" s="4">
        <v>500</v>
      </c>
      <c r="AG173" s="4">
        <v>3.02</v>
      </c>
      <c r="AH173" s="4" t="s">
        <v>1445</v>
      </c>
      <c r="AI173" s="4">
        <v>0</v>
      </c>
      <c r="AJ173" s="4">
        <v>3</v>
      </c>
      <c r="AK173" s="4">
        <v>3.7486800000000001E-2</v>
      </c>
      <c r="AL173" s="4">
        <v>1.7569680291662702E-2</v>
      </c>
      <c r="AM173" s="4">
        <v>-1.9917119708337198E-2</v>
      </c>
      <c r="AN173" s="4">
        <v>4.5182145455402499E-4</v>
      </c>
    </row>
    <row r="174" spans="1:40">
      <c r="A174" s="84" t="s">
        <v>1162</v>
      </c>
      <c r="B174" s="85"/>
      <c r="C174" s="86">
        <v>0</v>
      </c>
      <c r="D174" s="86"/>
      <c r="E174" s="86"/>
      <c r="F174" s="86">
        <v>20</v>
      </c>
      <c r="G174" s="86"/>
      <c r="H174" s="86"/>
      <c r="I174" s="86">
        <v>500</v>
      </c>
      <c r="J174" s="86"/>
      <c r="K174" s="86"/>
      <c r="AC174" s="4" t="s">
        <v>1355</v>
      </c>
      <c r="AD174" s="4" t="s">
        <v>234</v>
      </c>
      <c r="AE174" s="4" t="s">
        <v>214</v>
      </c>
      <c r="AF174" s="4">
        <v>500</v>
      </c>
      <c r="AG174" s="4">
        <v>3.02</v>
      </c>
      <c r="AH174" s="4" t="s">
        <v>1446</v>
      </c>
      <c r="AI174" s="4">
        <v>100</v>
      </c>
      <c r="AJ174" s="4">
        <v>1</v>
      </c>
      <c r="AK174" s="4">
        <v>4.0408478280000004</v>
      </c>
      <c r="AL174" s="4">
        <v>4.0048372128146204</v>
      </c>
      <c r="AM174" s="4">
        <v>-3.6010615185379097E-2</v>
      </c>
      <c r="AN174" s="4">
        <v>0.97939027281000801</v>
      </c>
    </row>
    <row r="175" spans="1:40">
      <c r="A175" s="228" t="s">
        <v>1163</v>
      </c>
      <c r="B175" s="81">
        <v>0</v>
      </c>
      <c r="C175" s="80">
        <v>1.3971887888224899E-2</v>
      </c>
      <c r="D175" s="80">
        <v>1.3887719888898241E-2</v>
      </c>
      <c r="E175" s="80">
        <v>1.3825469304921362E-2</v>
      </c>
      <c r="F175" s="80">
        <v>1.8056926620598886E-2</v>
      </c>
      <c r="G175" s="80">
        <v>1.83037183283975E-2</v>
      </c>
      <c r="H175" s="80">
        <v>1.8680677174547577E-2</v>
      </c>
      <c r="I175" s="80">
        <v>2.1127345176822184E-2</v>
      </c>
      <c r="J175" s="80">
        <v>2.0442359249329758E-2</v>
      </c>
      <c r="K175" s="80">
        <v>2.2078804347826088E-2</v>
      </c>
      <c r="AC175" s="4" t="s">
        <v>1355</v>
      </c>
      <c r="AD175" s="4" t="s">
        <v>234</v>
      </c>
      <c r="AE175" s="4" t="s">
        <v>214</v>
      </c>
      <c r="AF175" s="4">
        <v>500</v>
      </c>
      <c r="AG175" s="4">
        <v>3.02</v>
      </c>
      <c r="AH175" s="4" t="s">
        <v>1446</v>
      </c>
      <c r="AI175" s="4">
        <v>100</v>
      </c>
      <c r="AJ175" s="4">
        <v>2</v>
      </c>
      <c r="AK175" s="4">
        <v>3.9690019780000001</v>
      </c>
      <c r="AL175" s="4">
        <v>4.0048372128146204</v>
      </c>
      <c r="AM175" s="4">
        <v>3.58352348146211E-2</v>
      </c>
      <c r="AN175" s="4">
        <v>0.97939027281000801</v>
      </c>
    </row>
    <row r="176" spans="1:40">
      <c r="A176" s="228"/>
      <c r="B176" s="87">
        <v>1</v>
      </c>
      <c r="C176" s="80">
        <v>1.3106714019956032E-2</v>
      </c>
      <c r="D176" s="80">
        <v>1.3009757317988492E-2</v>
      </c>
      <c r="E176" s="80">
        <v>1.3218247018597282E-2</v>
      </c>
      <c r="F176" s="80">
        <v>1.618794620620953E-2</v>
      </c>
      <c r="G176" s="80">
        <v>1.8305395713451758E-2</v>
      </c>
      <c r="H176" s="80">
        <v>1.8013510132599452E-2</v>
      </c>
      <c r="I176" s="80">
        <v>1.9158628081457667E-2</v>
      </c>
      <c r="J176" s="80">
        <v>2.3039544235924934E-2</v>
      </c>
      <c r="K176" s="80">
        <v>2.1386936396365512E-2</v>
      </c>
      <c r="AC176" s="4" t="s">
        <v>1355</v>
      </c>
      <c r="AD176" s="4" t="s">
        <v>234</v>
      </c>
      <c r="AE176" s="4" t="s">
        <v>214</v>
      </c>
      <c r="AF176" s="4">
        <v>500</v>
      </c>
      <c r="AG176" s="4">
        <v>3.02</v>
      </c>
      <c r="AH176" s="4" t="s">
        <v>1446</v>
      </c>
      <c r="AI176" s="4">
        <v>100</v>
      </c>
      <c r="AJ176" s="4">
        <v>3</v>
      </c>
      <c r="AK176" s="4">
        <v>4.0046900799999996</v>
      </c>
      <c r="AL176" s="4">
        <v>4.0048372128146204</v>
      </c>
      <c r="AM176" s="4">
        <v>1.4713281462164199E-4</v>
      </c>
      <c r="AN176" s="4">
        <v>0.97939027281000801</v>
      </c>
    </row>
    <row r="177" spans="1:40">
      <c r="A177" s="228"/>
      <c r="B177" s="87">
        <v>10</v>
      </c>
      <c r="C177" s="80">
        <v>1.4077297158945484E-2</v>
      </c>
      <c r="D177" s="80">
        <v>1.3814577668625563E-2</v>
      </c>
      <c r="E177" s="80">
        <v>1.3466879892264963E-2</v>
      </c>
      <c r="F177" s="80">
        <v>1.8515415549597857E-2</v>
      </c>
      <c r="G177" s="80">
        <v>1.8904487124278706E-2</v>
      </c>
      <c r="H177" s="80">
        <v>2.0543205605051469E-2</v>
      </c>
      <c r="I177" s="80">
        <v>2.6128868594622021E-2</v>
      </c>
      <c r="J177" s="80">
        <v>2.5124147799006822E-2</v>
      </c>
      <c r="K177" s="80">
        <v>2.6917498506953332E-2</v>
      </c>
      <c r="AC177" s="4" t="s">
        <v>1356</v>
      </c>
      <c r="AD177" s="4" t="s">
        <v>135</v>
      </c>
      <c r="AE177" s="4" t="s">
        <v>206</v>
      </c>
      <c r="AF177" s="4">
        <v>0</v>
      </c>
      <c r="AG177" s="4">
        <v>0.01</v>
      </c>
      <c r="AH177" s="4" t="s">
        <v>1445</v>
      </c>
      <c r="AI177" s="4">
        <v>0</v>
      </c>
      <c r="AJ177" s="4">
        <v>1</v>
      </c>
      <c r="AK177" s="4">
        <v>0.12415533300000001</v>
      </c>
      <c r="AL177" s="4">
        <v>9.4449566065282806E-2</v>
      </c>
      <c r="AM177" s="4">
        <v>-2.97057669347171E-2</v>
      </c>
      <c r="AN177" s="106">
        <v>1.7150498668560999E-7</v>
      </c>
    </row>
    <row r="178" spans="1:40">
      <c r="A178" s="228"/>
      <c r="B178" s="87">
        <v>100</v>
      </c>
      <c r="C178" s="80">
        <v>1.8324034569521933E-2</v>
      </c>
      <c r="D178" s="80">
        <v>1.9569041336851358E-2</v>
      </c>
      <c r="E178" s="80">
        <v>1.8940211526009061E-2</v>
      </c>
      <c r="F178" s="80">
        <v>2.5434853954709551E-2</v>
      </c>
      <c r="G178" s="80">
        <v>2.8419085312225156E-2</v>
      </c>
      <c r="H178" s="80">
        <v>2.8710247349823321E-2</v>
      </c>
      <c r="I178" s="80">
        <v>8.8228976479432938E-2</v>
      </c>
      <c r="J178" s="80">
        <v>8.7565963060686022E-2</v>
      </c>
      <c r="K178" s="80">
        <v>0.10652731939860653</v>
      </c>
      <c r="AC178" s="4" t="s">
        <v>1356</v>
      </c>
      <c r="AD178" s="4" t="s">
        <v>135</v>
      </c>
      <c r="AE178" s="4" t="s">
        <v>206</v>
      </c>
      <c r="AF178" s="4">
        <v>0</v>
      </c>
      <c r="AG178" s="4">
        <v>0.01</v>
      </c>
      <c r="AH178" s="4" t="s">
        <v>1445</v>
      </c>
      <c r="AI178" s="4">
        <v>0</v>
      </c>
      <c r="AJ178" s="4">
        <v>2</v>
      </c>
      <c r="AK178" s="4">
        <v>9.4542882999999994E-2</v>
      </c>
      <c r="AL178" s="4">
        <v>9.4449566065282806E-2</v>
      </c>
      <c r="AM178" s="106">
        <v>-9.3316934717160795E-5</v>
      </c>
      <c r="AN178" s="106">
        <v>1.7150498668560999E-7</v>
      </c>
    </row>
    <row r="179" spans="1:40">
      <c r="A179" s="228"/>
      <c r="B179" s="87">
        <v>500</v>
      </c>
      <c r="C179" s="80">
        <v>2.5058346640461856E-2</v>
      </c>
      <c r="D179" s="80">
        <v>2.4770973963355831E-2</v>
      </c>
      <c r="E179" s="80">
        <v>2.2795302786092559E-2</v>
      </c>
      <c r="F179" s="80">
        <v>4.5975017349063146E-2</v>
      </c>
      <c r="G179" s="80">
        <v>4.8243136368771887E-2</v>
      </c>
      <c r="H179" s="80">
        <v>4.2650547960682406E-2</v>
      </c>
      <c r="I179" s="80">
        <v>0.25458525618270028</v>
      </c>
      <c r="J179" s="80">
        <v>0.25654887972355367</v>
      </c>
      <c r="K179" s="80">
        <v>0.23850868232890704</v>
      </c>
      <c r="L179" t="s">
        <v>1166</v>
      </c>
      <c r="M179">
        <f>C180-C175</f>
        <v>2.4410161122699225E-2</v>
      </c>
      <c r="N179">
        <f t="shared" ref="N179:U179" si="83">D180-D175</f>
        <v>2.4912201028460403E-2</v>
      </c>
      <c r="O179">
        <f t="shared" si="83"/>
        <v>2.1183507355760866E-2</v>
      </c>
      <c r="P179">
        <f t="shared" si="83"/>
        <v>6.2592844720864543E-2</v>
      </c>
      <c r="Q179">
        <f t="shared" si="83"/>
        <v>7.4585857557990298E-2</v>
      </c>
      <c r="R179">
        <f t="shared" si="83"/>
        <v>6.2060836195450539E-2</v>
      </c>
      <c r="S179">
        <f t="shared" si="83"/>
        <v>1.2580287491752127</v>
      </c>
      <c r="T179">
        <f t="shared" si="83"/>
        <v>1.2446173155932605</v>
      </c>
      <c r="U179">
        <f t="shared" si="83"/>
        <v>0.96434164485807583</v>
      </c>
      <c r="AC179" s="4" t="s">
        <v>1356</v>
      </c>
      <c r="AD179" s="4" t="s">
        <v>135</v>
      </c>
      <c r="AE179" s="4" t="s">
        <v>206</v>
      </c>
      <c r="AF179" s="4">
        <v>0</v>
      </c>
      <c r="AG179" s="4">
        <v>0.01</v>
      </c>
      <c r="AH179" s="4" t="s">
        <v>1445</v>
      </c>
      <c r="AI179" s="4">
        <v>0</v>
      </c>
      <c r="AJ179" s="4">
        <v>3</v>
      </c>
      <c r="AK179" s="4">
        <v>0.111226266</v>
      </c>
      <c r="AL179" s="4">
        <v>9.4449566065282806E-2</v>
      </c>
      <c r="AM179" s="4">
        <v>-1.6776699934717101E-2</v>
      </c>
      <c r="AN179" s="106">
        <v>1.7150498668560999E-7</v>
      </c>
    </row>
    <row r="180" spans="1:40">
      <c r="A180" s="228"/>
      <c r="B180" s="87">
        <v>2000</v>
      </c>
      <c r="C180" s="80">
        <v>3.8382049010924124E-2</v>
      </c>
      <c r="D180" s="80">
        <v>3.8799920917358642E-2</v>
      </c>
      <c r="E180" s="80">
        <v>3.5008976660682228E-2</v>
      </c>
      <c r="F180" s="80">
        <v>8.0649771341463422E-2</v>
      </c>
      <c r="G180" s="80">
        <v>9.2889575886387798E-2</v>
      </c>
      <c r="H180" s="80">
        <v>8.0741513369998116E-2</v>
      </c>
      <c r="I180" s="80">
        <v>1.2791560943520348</v>
      </c>
      <c r="J180" s="80">
        <v>1.2650596748425902</v>
      </c>
      <c r="K180" s="80">
        <v>0.98642044920590188</v>
      </c>
      <c r="L180" t="s">
        <v>1167</v>
      </c>
      <c r="M180">
        <f t="shared" ref="M180:T180" si="84">C180/C175</f>
        <v>2.7470911102336713</v>
      </c>
      <c r="N180">
        <f t="shared" si="84"/>
        <v>2.793829457085685</v>
      </c>
      <c r="O180">
        <f t="shared" si="84"/>
        <v>2.5322089173653084</v>
      </c>
      <c r="P180">
        <f t="shared" si="84"/>
        <v>4.4664174051336181</v>
      </c>
      <c r="Q180">
        <f t="shared" si="84"/>
        <v>5.0749019526963144</v>
      </c>
      <c r="R180">
        <f t="shared" si="84"/>
        <v>4.3221941375877115</v>
      </c>
      <c r="S180">
        <f t="shared" si="84"/>
        <v>60.545046414792182</v>
      </c>
      <c r="T180">
        <f t="shared" si="84"/>
        <v>61.884230651316216</v>
      </c>
      <c r="U180">
        <f>K180/K175</f>
        <v>44.67725849941808</v>
      </c>
      <c r="V180">
        <f>AVERAGE(M180:O180)</f>
        <v>2.6910431615615544</v>
      </c>
      <c r="W180">
        <f>AVERAGE(P180:R180)</f>
        <v>4.6211711651392147</v>
      </c>
      <c r="X180">
        <f>AVERAGE(S180:U180)</f>
        <v>55.702178521842164</v>
      </c>
      <c r="AC180" s="4" t="s">
        <v>1356</v>
      </c>
      <c r="AD180" s="4" t="s">
        <v>135</v>
      </c>
      <c r="AE180" s="4" t="s">
        <v>206</v>
      </c>
      <c r="AF180" s="4">
        <v>0</v>
      </c>
      <c r="AG180" s="4">
        <v>0.01</v>
      </c>
      <c r="AH180" s="4" t="s">
        <v>1446</v>
      </c>
      <c r="AI180" s="4">
        <v>200</v>
      </c>
      <c r="AJ180" s="4">
        <v>1</v>
      </c>
      <c r="AK180" s="4">
        <v>0.145305088</v>
      </c>
      <c r="AL180" s="4">
        <v>0.29712068168175099</v>
      </c>
      <c r="AM180" s="4">
        <v>0.15181559368175099</v>
      </c>
      <c r="AN180" s="4">
        <v>2.8353004549316701E-2</v>
      </c>
    </row>
    <row r="181" spans="1:40">
      <c r="AC181" s="4" t="s">
        <v>1356</v>
      </c>
      <c r="AD181" s="4" t="s">
        <v>135</v>
      </c>
      <c r="AE181" s="4" t="s">
        <v>206</v>
      </c>
      <c r="AF181" s="4">
        <v>0</v>
      </c>
      <c r="AG181" s="4">
        <v>0.01</v>
      </c>
      <c r="AH181" s="4" t="s">
        <v>1446</v>
      </c>
      <c r="AI181" s="4">
        <v>200</v>
      </c>
      <c r="AJ181" s="4">
        <v>2</v>
      </c>
      <c r="AK181" s="4">
        <v>0.13242174900000001</v>
      </c>
      <c r="AL181" s="4">
        <v>0.29712068168175099</v>
      </c>
      <c r="AM181" s="4">
        <v>0.16469893268175101</v>
      </c>
      <c r="AN181" s="4">
        <v>2.8353004549316701E-2</v>
      </c>
    </row>
    <row r="182" spans="1:40">
      <c r="L182" t="s">
        <v>1168</v>
      </c>
      <c r="M182">
        <f>M179+M180</f>
        <v>2.7715012713563705</v>
      </c>
      <c r="N182">
        <f t="shared" ref="N182:U182" si="85">N179+N180</f>
        <v>2.8187416581141456</v>
      </c>
      <c r="O182">
        <f t="shared" si="85"/>
        <v>2.5533924247210691</v>
      </c>
      <c r="P182">
        <f t="shared" si="85"/>
        <v>4.5290102498544824</v>
      </c>
      <c r="Q182">
        <f t="shared" si="85"/>
        <v>5.1494878102543051</v>
      </c>
      <c r="R182">
        <f t="shared" si="85"/>
        <v>4.384254973783162</v>
      </c>
      <c r="S182" s="67">
        <f t="shared" si="85"/>
        <v>61.803075163967392</v>
      </c>
      <c r="T182" s="67">
        <f t="shared" si="85"/>
        <v>63.128847966909476</v>
      </c>
      <c r="U182" s="67">
        <f t="shared" si="85"/>
        <v>45.641600144276154</v>
      </c>
      <c r="AC182" s="4" t="s">
        <v>1356</v>
      </c>
      <c r="AD182" s="4" t="s">
        <v>135</v>
      </c>
      <c r="AE182" s="4" t="s">
        <v>206</v>
      </c>
      <c r="AF182" s="4">
        <v>0</v>
      </c>
      <c r="AG182" s="4">
        <v>0.01</v>
      </c>
      <c r="AH182" s="4" t="s">
        <v>1446</v>
      </c>
      <c r="AI182" s="4">
        <v>200</v>
      </c>
      <c r="AJ182" s="4">
        <v>3</v>
      </c>
      <c r="AK182" s="4">
        <v>0.123138556</v>
      </c>
      <c r="AL182" s="4">
        <v>0.29712068168175099</v>
      </c>
      <c r="AM182" s="4">
        <v>0.173982125681751</v>
      </c>
      <c r="AN182" s="4">
        <v>2.8353004549316701E-2</v>
      </c>
    </row>
    <row r="183" spans="1:40">
      <c r="AC183" s="4" t="s">
        <v>1356</v>
      </c>
      <c r="AD183" s="4" t="s">
        <v>135</v>
      </c>
      <c r="AE183" s="4" t="s">
        <v>206</v>
      </c>
      <c r="AF183" s="4">
        <v>20</v>
      </c>
      <c r="AG183" s="4">
        <v>0.4</v>
      </c>
      <c r="AH183" s="4" t="s">
        <v>1445</v>
      </c>
      <c r="AI183" s="4">
        <v>0</v>
      </c>
      <c r="AJ183" s="4">
        <v>1</v>
      </c>
      <c r="AK183" s="4">
        <v>0.25609448600000001</v>
      </c>
      <c r="AL183" s="4">
        <v>9.6409319597503401E-2</v>
      </c>
      <c r="AM183" s="4">
        <v>-0.159685166402496</v>
      </c>
      <c r="AN183" s="4">
        <v>2.74332746651911E-4</v>
      </c>
    </row>
    <row r="184" spans="1:40">
      <c r="A184" s="80"/>
      <c r="B184" s="81"/>
      <c r="C184" s="80"/>
      <c r="D184" s="80"/>
      <c r="E184" s="80"/>
      <c r="F184" s="80"/>
      <c r="G184" s="80"/>
      <c r="H184" s="80"/>
      <c r="I184" s="80"/>
      <c r="J184" s="80"/>
      <c r="K184" s="80"/>
      <c r="AC184" s="4" t="s">
        <v>1356</v>
      </c>
      <c r="AD184" s="4" t="s">
        <v>135</v>
      </c>
      <c r="AE184" s="4" t="s">
        <v>206</v>
      </c>
      <c r="AF184" s="4">
        <v>20</v>
      </c>
      <c r="AG184" s="4">
        <v>0.4</v>
      </c>
      <c r="AH184" s="4" t="s">
        <v>1445</v>
      </c>
      <c r="AI184" s="4">
        <v>0</v>
      </c>
      <c r="AJ184" s="4">
        <v>2</v>
      </c>
      <c r="AK184" s="4">
        <v>0.27771665499999998</v>
      </c>
      <c r="AL184" s="4">
        <v>9.6409319597503401E-2</v>
      </c>
      <c r="AM184" s="4">
        <v>-0.18130733540249599</v>
      </c>
      <c r="AN184" s="4">
        <v>2.74332746651911E-4</v>
      </c>
    </row>
    <row r="185" spans="1:40" ht="17.25">
      <c r="A185" s="80"/>
      <c r="B185" s="80"/>
      <c r="C185" s="229" t="s">
        <v>1692</v>
      </c>
      <c r="D185" s="229"/>
      <c r="E185" s="229"/>
      <c r="F185" s="229"/>
      <c r="G185" s="229"/>
      <c r="H185" s="229"/>
      <c r="I185" s="229"/>
      <c r="J185" s="229"/>
      <c r="K185" s="229"/>
      <c r="AC185" s="4" t="s">
        <v>1356</v>
      </c>
      <c r="AD185" s="4" t="s">
        <v>135</v>
      </c>
      <c r="AE185" s="4" t="s">
        <v>206</v>
      </c>
      <c r="AF185" s="4">
        <v>20</v>
      </c>
      <c r="AG185" s="4">
        <v>0.4</v>
      </c>
      <c r="AH185" s="4" t="s">
        <v>1445</v>
      </c>
      <c r="AI185" s="4">
        <v>0</v>
      </c>
      <c r="AJ185" s="4">
        <v>3</v>
      </c>
      <c r="AK185" s="4">
        <v>0.26679346100000001</v>
      </c>
      <c r="AL185" s="4">
        <v>9.6409319597503401E-2</v>
      </c>
      <c r="AM185" s="4">
        <v>-0.170384141402496</v>
      </c>
      <c r="AN185" s="4">
        <v>2.74332746651911E-4</v>
      </c>
    </row>
    <row r="186" spans="1:40">
      <c r="A186" s="82" t="s">
        <v>1161</v>
      </c>
      <c r="B186" s="83"/>
      <c r="C186" s="83">
        <v>7.8495155929566504E-3</v>
      </c>
      <c r="D186" s="83">
        <v>9.0799939966981838E-3</v>
      </c>
      <c r="E186" s="83">
        <v>8.2431366927102016E-3</v>
      </c>
      <c r="F186" s="80">
        <v>0.32898234612500854</v>
      </c>
      <c r="G186" s="80">
        <v>0.32619014859658779</v>
      </c>
      <c r="H186" s="80">
        <v>0.31716091722143769</v>
      </c>
      <c r="I186" s="83">
        <v>2.7071147824928388</v>
      </c>
      <c r="J186" s="83">
        <v>2.6859133017466941</v>
      </c>
      <c r="K186" s="83">
        <v>2.7579827849507152</v>
      </c>
      <c r="AC186" s="4" t="s">
        <v>1356</v>
      </c>
      <c r="AD186" s="4" t="s">
        <v>135</v>
      </c>
      <c r="AE186" s="4" t="s">
        <v>206</v>
      </c>
      <c r="AF186" s="4">
        <v>20</v>
      </c>
      <c r="AG186" s="4">
        <v>0.4</v>
      </c>
      <c r="AH186" s="4" t="s">
        <v>1446</v>
      </c>
      <c r="AI186" s="4">
        <v>200</v>
      </c>
      <c r="AJ186" s="4">
        <v>1</v>
      </c>
      <c r="AK186" s="4">
        <v>7.2358895959999998</v>
      </c>
      <c r="AL186" s="4">
        <v>7.0927340652950797</v>
      </c>
      <c r="AM186" s="4">
        <v>-0.14315553070491899</v>
      </c>
      <c r="AN186" s="4">
        <v>0.97903061400215097</v>
      </c>
    </row>
    <row r="187" spans="1:40">
      <c r="A187" s="84" t="s">
        <v>1162</v>
      </c>
      <c r="B187" s="85"/>
      <c r="C187" s="223">
        <v>0</v>
      </c>
      <c r="D187" s="223"/>
      <c r="E187" s="223"/>
      <c r="F187" s="223">
        <v>20</v>
      </c>
      <c r="G187" s="223"/>
      <c r="H187" s="223"/>
      <c r="I187" s="223">
        <v>500</v>
      </c>
      <c r="J187" s="223"/>
      <c r="K187" s="223"/>
      <c r="AC187" s="4" t="s">
        <v>1356</v>
      </c>
      <c r="AD187" s="4" t="s">
        <v>135</v>
      </c>
      <c r="AE187" s="4" t="s">
        <v>206</v>
      </c>
      <c r="AF187" s="4">
        <v>20</v>
      </c>
      <c r="AG187" s="4">
        <v>0.4</v>
      </c>
      <c r="AH187" s="4" t="s">
        <v>1446</v>
      </c>
      <c r="AI187" s="4">
        <v>200</v>
      </c>
      <c r="AJ187" s="4">
        <v>2</v>
      </c>
      <c r="AK187" s="4">
        <v>7.0636899</v>
      </c>
      <c r="AL187" s="4">
        <v>7.0927340652950797</v>
      </c>
      <c r="AM187" s="4">
        <v>2.9044165295080498E-2</v>
      </c>
      <c r="AN187" s="4">
        <v>0.97903061400215097</v>
      </c>
    </row>
    <row r="188" spans="1:40">
      <c r="A188" s="228" t="s">
        <v>1165</v>
      </c>
      <c r="B188" s="81">
        <v>0</v>
      </c>
      <c r="C188" s="80">
        <v>3.1064965390709701E-2</v>
      </c>
      <c r="D188" s="80">
        <v>3.5079745475580529E-2</v>
      </c>
      <c r="E188" s="80">
        <v>2.9304333388676738E-2</v>
      </c>
      <c r="F188" s="80">
        <v>4.4529155495978558E-2</v>
      </c>
      <c r="G188" s="80">
        <v>4.536775693176158E-2</v>
      </c>
      <c r="H188" s="80">
        <v>4.3508800925543344E-2</v>
      </c>
      <c r="I188" s="80">
        <v>8.3161296113454825E-2</v>
      </c>
      <c r="J188" s="80">
        <v>8.1282120638355437E-2</v>
      </c>
      <c r="K188" s="80">
        <v>8.7768656028041708E-2</v>
      </c>
      <c r="AC188" s="4" t="s">
        <v>1356</v>
      </c>
      <c r="AD188" s="4" t="s">
        <v>135</v>
      </c>
      <c r="AE188" s="4" t="s">
        <v>206</v>
      </c>
      <c r="AF188" s="4">
        <v>20</v>
      </c>
      <c r="AG188" s="4">
        <v>0.4</v>
      </c>
      <c r="AH188" s="4" t="s">
        <v>1446</v>
      </c>
      <c r="AI188" s="4">
        <v>200</v>
      </c>
      <c r="AJ188" s="4">
        <v>3</v>
      </c>
      <c r="AK188" s="4">
        <v>7.046900291</v>
      </c>
      <c r="AL188" s="4">
        <v>7.0927340652950797</v>
      </c>
      <c r="AM188" s="4">
        <v>4.5833774295080502E-2</v>
      </c>
      <c r="AN188" s="4">
        <v>0.97903061400215097</v>
      </c>
    </row>
    <row r="189" spans="1:40">
      <c r="A189" s="228"/>
      <c r="B189" s="87">
        <v>0.1</v>
      </c>
      <c r="C189" s="80">
        <v>3.4803467721572265E-2</v>
      </c>
      <c r="D189" s="80">
        <v>3.2420441941813843E-2</v>
      </c>
      <c r="E189" s="80">
        <v>3.4340543725275653E-2</v>
      </c>
      <c r="F189" s="80">
        <v>4.9433440013839633E-2</v>
      </c>
      <c r="G189" s="80">
        <v>4.4957222770648245E-2</v>
      </c>
      <c r="H189" s="80">
        <v>4.7640690851995703E-2</v>
      </c>
      <c r="I189" s="80">
        <v>0.18292453716755946</v>
      </c>
      <c r="J189" s="80">
        <v>0.21440269311254664</v>
      </c>
      <c r="K189" s="80">
        <v>0.18974382517675148</v>
      </c>
      <c r="AC189" s="4" t="s">
        <v>1356</v>
      </c>
      <c r="AD189" s="4" t="s">
        <v>135</v>
      </c>
      <c r="AE189" s="4" t="s">
        <v>206</v>
      </c>
      <c r="AF189" s="4">
        <v>500</v>
      </c>
      <c r="AG189" s="4">
        <v>3.02</v>
      </c>
      <c r="AH189" s="4" t="s">
        <v>1445</v>
      </c>
      <c r="AI189" s="4">
        <v>0</v>
      </c>
      <c r="AJ189" s="4">
        <v>1</v>
      </c>
      <c r="AK189" s="4">
        <v>0.45741338300000001</v>
      </c>
      <c r="AL189" s="4">
        <v>0.204537734400567</v>
      </c>
      <c r="AM189" s="4">
        <v>-0.25287564859943201</v>
      </c>
      <c r="AN189" s="4">
        <v>1.54010412711211E-2</v>
      </c>
    </row>
    <row r="190" spans="1:40">
      <c r="A190" s="228"/>
      <c r="B190" s="87">
        <v>1</v>
      </c>
      <c r="C190" s="80">
        <v>3.1898924193144863E-2</v>
      </c>
      <c r="D190" s="80">
        <v>2.8897966278463413E-2</v>
      </c>
      <c r="E190" s="80">
        <v>2.7908486126886258E-2</v>
      </c>
      <c r="F190" s="80">
        <v>5.7627261965161519E-2</v>
      </c>
      <c r="G190" s="80">
        <v>5.9885531520915754E-2</v>
      </c>
      <c r="H190" s="80">
        <v>6.2831411497348721E-2</v>
      </c>
      <c r="I190" s="80">
        <v>0.65725591321358712</v>
      </c>
      <c r="J190" s="80">
        <v>0.7123317988668556</v>
      </c>
      <c r="K190" s="80">
        <v>0.53778834934027464</v>
      </c>
      <c r="AC190" s="4" t="s">
        <v>1356</v>
      </c>
      <c r="AD190" s="4" t="s">
        <v>135</v>
      </c>
      <c r="AE190" s="4" t="s">
        <v>206</v>
      </c>
      <c r="AF190" s="4">
        <v>500</v>
      </c>
      <c r="AG190" s="4">
        <v>3.02</v>
      </c>
      <c r="AH190" s="4" t="s">
        <v>1445</v>
      </c>
      <c r="AI190" s="4">
        <v>0</v>
      </c>
      <c r="AJ190" s="4">
        <v>2</v>
      </c>
      <c r="AK190" s="4">
        <v>0.47517701299999998</v>
      </c>
      <c r="AL190" s="4">
        <v>0.204537734400567</v>
      </c>
      <c r="AM190" s="4">
        <v>-0.27063927859943199</v>
      </c>
      <c r="AN190" s="4">
        <v>1.54010412711211E-2</v>
      </c>
    </row>
    <row r="191" spans="1:40">
      <c r="A191" s="228"/>
      <c r="B191" s="87">
        <v>10</v>
      </c>
      <c r="C191" s="80">
        <v>2.3765856640684705E-2</v>
      </c>
      <c r="D191" s="80">
        <v>1.8494295472712741E-2</v>
      </c>
      <c r="E191" s="80">
        <v>2.0383693045563547E-2</v>
      </c>
      <c r="F191" s="80">
        <v>8.6707127525719796E-2</v>
      </c>
      <c r="G191" s="80">
        <v>8.4177798249654545E-2</v>
      </c>
      <c r="H191" s="80">
        <v>7.3232323232323246E-2</v>
      </c>
      <c r="I191" s="80">
        <v>2.7238875679347827</v>
      </c>
      <c r="J191" s="80">
        <v>2.8058092338914258</v>
      </c>
      <c r="K191" s="80">
        <v>2.653956893715038</v>
      </c>
      <c r="L191" t="s">
        <v>1166</v>
      </c>
      <c r="M191">
        <f>C192-C188</f>
        <v>-1.9064385113232614E-3</v>
      </c>
      <c r="N191">
        <f t="shared" ref="N191" si="86">D192-D188</f>
        <v>-6.5571090392750261E-3</v>
      </c>
      <c r="O191">
        <f t="shared" ref="O191" si="87">E192-E188</f>
        <v>-1.0864041505608268E-3</v>
      </c>
      <c r="P191">
        <f t="shared" ref="P191" si="88">F192-F188</f>
        <v>0.18949060816928301</v>
      </c>
      <c r="Q191">
        <f t="shared" ref="Q191" si="89">G192-G188</f>
        <v>0.20152216304672005</v>
      </c>
      <c r="R191">
        <f t="shared" ref="R191" si="90">H192-H188</f>
        <v>0.19850841412374168</v>
      </c>
      <c r="S191">
        <f t="shared" ref="S191" si="91">I192-I188</f>
        <v>4.1645255055625228</v>
      </c>
      <c r="T191">
        <f t="shared" ref="T191" si="92">J192-J188</f>
        <v>4.1606602760700282</v>
      </c>
      <c r="U191">
        <f t="shared" ref="U191" si="93">K192-K188</f>
        <v>4.0619989082207084</v>
      </c>
      <c r="AC191" s="4" t="s">
        <v>1356</v>
      </c>
      <c r="AD191" s="4" t="s">
        <v>135</v>
      </c>
      <c r="AE191" s="4" t="s">
        <v>206</v>
      </c>
      <c r="AF191" s="4">
        <v>500</v>
      </c>
      <c r="AG191" s="4">
        <v>3.02</v>
      </c>
      <c r="AH191" s="4" t="s">
        <v>1445</v>
      </c>
      <c r="AI191" s="4">
        <v>0</v>
      </c>
      <c r="AJ191" s="4">
        <v>3</v>
      </c>
      <c r="AK191" s="4">
        <v>0.47206772499999999</v>
      </c>
      <c r="AL191" s="4">
        <v>0.204537734400567</v>
      </c>
      <c r="AM191" s="4">
        <v>-0.267529990599432</v>
      </c>
      <c r="AN191" s="4">
        <v>1.54010412711211E-2</v>
      </c>
    </row>
    <row r="192" spans="1:40">
      <c r="A192" s="228"/>
      <c r="B192" s="87">
        <v>20</v>
      </c>
      <c r="C192" s="80">
        <v>2.9158526879386439E-2</v>
      </c>
      <c r="D192" s="80">
        <v>2.8522636436305503E-2</v>
      </c>
      <c r="E192" s="80">
        <v>2.8217929238115912E-2</v>
      </c>
      <c r="F192" s="80">
        <v>0.23401976366526156</v>
      </c>
      <c r="G192" s="80">
        <v>0.24688991997848161</v>
      </c>
      <c r="H192" s="80">
        <v>0.24201721504928503</v>
      </c>
      <c r="I192" s="80">
        <v>4.2476868016759779</v>
      </c>
      <c r="J192" s="80">
        <v>4.2419423967083834</v>
      </c>
      <c r="K192" s="80">
        <v>4.1497675642487497</v>
      </c>
      <c r="L192" t="s">
        <v>1167</v>
      </c>
      <c r="M192">
        <f>C192/C188</f>
        <v>0.93863059278046379</v>
      </c>
      <c r="N192">
        <f t="shared" ref="N192" si="94">D192/D188</f>
        <v>0.81307991405355218</v>
      </c>
      <c r="O192">
        <f t="shared" ref="O192" si="95">E192/E188</f>
        <v>0.96292684306613108</v>
      </c>
      <c r="P192">
        <f t="shared" ref="P192" si="96">F192/F188</f>
        <v>5.2554278440424493</v>
      </c>
      <c r="Q192">
        <f t="shared" ref="Q192" si="97">G192/G188</f>
        <v>5.4419688491505758</v>
      </c>
      <c r="R192">
        <f t="shared" ref="R192" si="98">H192/H188</f>
        <v>5.5624887356341848</v>
      </c>
      <c r="S192">
        <f t="shared" ref="S192" si="99">I192/I188</f>
        <v>51.07768878302435</v>
      </c>
      <c r="T192">
        <f t="shared" ref="T192" si="100">J192/J188</f>
        <v>52.187890318239234</v>
      </c>
      <c r="U192">
        <f>K192/K188</f>
        <v>47.280746362607132</v>
      </c>
      <c r="V192">
        <f>AVERAGE(M192:O192)</f>
        <v>0.90487911663338227</v>
      </c>
      <c r="W192">
        <f>AVERAGE(P192:R192)</f>
        <v>5.4199618096090703</v>
      </c>
      <c r="X192">
        <f>AVERAGE(S192:U192)</f>
        <v>50.182108487956903</v>
      </c>
      <c r="AC192" s="4" t="s">
        <v>1356</v>
      </c>
      <c r="AD192" s="4" t="s">
        <v>135</v>
      </c>
      <c r="AE192" s="4" t="s">
        <v>206</v>
      </c>
      <c r="AF192" s="4">
        <v>500</v>
      </c>
      <c r="AG192" s="4">
        <v>3.02</v>
      </c>
      <c r="AH192" s="4" t="s">
        <v>1446</v>
      </c>
      <c r="AI192" s="4">
        <v>200</v>
      </c>
      <c r="AJ192" s="4">
        <v>1</v>
      </c>
      <c r="AK192" s="4">
        <v>7.0886659200000004</v>
      </c>
      <c r="AL192" s="4">
        <v>7.2399420844856497</v>
      </c>
      <c r="AM192" s="4">
        <v>0.15127616448565101</v>
      </c>
      <c r="AN192" s="4">
        <v>0.99962439411828297</v>
      </c>
    </row>
    <row r="193" spans="1:40">
      <c r="A193" s="228"/>
      <c r="B193" s="87"/>
      <c r="C193" s="80"/>
      <c r="D193" s="80"/>
      <c r="E193" s="80"/>
      <c r="F193" s="80"/>
      <c r="G193" s="80"/>
      <c r="H193" s="80"/>
      <c r="I193" s="80"/>
      <c r="J193" s="80"/>
      <c r="K193" s="80"/>
      <c r="AC193" s="4" t="s">
        <v>1356</v>
      </c>
      <c r="AD193" s="4" t="s">
        <v>135</v>
      </c>
      <c r="AE193" s="4" t="s">
        <v>206</v>
      </c>
      <c r="AF193" s="4">
        <v>500</v>
      </c>
      <c r="AG193" s="4">
        <v>3.02</v>
      </c>
      <c r="AH193" s="4" t="s">
        <v>1446</v>
      </c>
      <c r="AI193" s="4">
        <v>200</v>
      </c>
      <c r="AJ193" s="4">
        <v>2</v>
      </c>
      <c r="AK193" s="4">
        <v>7.3854166670000003</v>
      </c>
      <c r="AL193" s="4">
        <v>7.2399420844856497</v>
      </c>
      <c r="AM193" s="4">
        <v>-0.145474582514347</v>
      </c>
      <c r="AN193" s="4">
        <v>0.99962439411828297</v>
      </c>
    </row>
    <row r="194" spans="1:40">
      <c r="L194" t="s">
        <v>1168</v>
      </c>
      <c r="M194">
        <f>M191+M192</f>
        <v>0.93672415426914057</v>
      </c>
      <c r="N194">
        <f t="shared" ref="N194:U194" si="101">N191+N192</f>
        <v>0.8065228050142772</v>
      </c>
      <c r="O194">
        <f t="shared" si="101"/>
        <v>0.96184043891557025</v>
      </c>
      <c r="P194">
        <f t="shared" si="101"/>
        <v>5.4449184522117324</v>
      </c>
      <c r="Q194">
        <f t="shared" si="101"/>
        <v>5.6434910121972957</v>
      </c>
      <c r="R194">
        <f t="shared" si="101"/>
        <v>5.7609971497579266</v>
      </c>
      <c r="S194" s="67">
        <f t="shared" si="101"/>
        <v>55.242214288586872</v>
      </c>
      <c r="T194" s="67">
        <f t="shared" si="101"/>
        <v>56.348550594309259</v>
      </c>
      <c r="U194" s="67">
        <f t="shared" si="101"/>
        <v>51.342745270827841</v>
      </c>
      <c r="AC194" s="4" t="s">
        <v>1356</v>
      </c>
      <c r="AD194" s="4" t="s">
        <v>135</v>
      </c>
      <c r="AE194" s="4" t="s">
        <v>206</v>
      </c>
      <c r="AF194" s="4">
        <v>500</v>
      </c>
      <c r="AG194" s="4">
        <v>3.02</v>
      </c>
      <c r="AH194" s="4" t="s">
        <v>1446</v>
      </c>
      <c r="AI194" s="4">
        <v>200</v>
      </c>
      <c r="AJ194" s="4">
        <v>3</v>
      </c>
      <c r="AK194" s="4">
        <v>7.1804571519999998</v>
      </c>
      <c r="AL194" s="4">
        <v>7.2399420844856497</v>
      </c>
      <c r="AM194" s="4">
        <v>5.9484932485652502E-2</v>
      </c>
      <c r="AN194" s="4">
        <v>0.99962439411828297</v>
      </c>
    </row>
    <row r="195" spans="1:40">
      <c r="AC195" s="4" t="s">
        <v>1357</v>
      </c>
      <c r="AD195" s="4" t="s">
        <v>136</v>
      </c>
      <c r="AE195" s="4" t="s">
        <v>215</v>
      </c>
      <c r="AF195" s="4">
        <v>0</v>
      </c>
      <c r="AG195" s="4">
        <v>0.01</v>
      </c>
      <c r="AH195" s="4" t="s">
        <v>1445</v>
      </c>
      <c r="AI195" s="4">
        <v>0</v>
      </c>
      <c r="AJ195" s="4">
        <v>1</v>
      </c>
      <c r="AK195" s="4">
        <v>1.9545131E-2</v>
      </c>
      <c r="AL195" s="4">
        <v>1.9525630445308601E-2</v>
      </c>
      <c r="AM195" s="106">
        <v>-1.9500554691371299E-5</v>
      </c>
      <c r="AN195" s="106">
        <v>1.11180948595815E-8</v>
      </c>
    </row>
    <row r="196" spans="1:40">
      <c r="AC196" s="4" t="s">
        <v>1357</v>
      </c>
      <c r="AD196" s="4" t="s">
        <v>136</v>
      </c>
      <c r="AE196" s="4" t="s">
        <v>215</v>
      </c>
      <c r="AF196" s="4">
        <v>0</v>
      </c>
      <c r="AG196" s="4">
        <v>0.01</v>
      </c>
      <c r="AH196" s="4" t="s">
        <v>1445</v>
      </c>
      <c r="AI196" s="4">
        <v>0</v>
      </c>
      <c r="AJ196" s="4">
        <v>2</v>
      </c>
      <c r="AK196" s="4">
        <v>2.0007128999999998E-2</v>
      </c>
      <c r="AL196" s="4">
        <v>1.9525630445308601E-2</v>
      </c>
      <c r="AM196" s="4">
        <v>-4.8149855469136903E-4</v>
      </c>
      <c r="AN196" s="106">
        <v>1.11180948595815E-8</v>
      </c>
    </row>
    <row r="197" spans="1:40">
      <c r="AC197" s="4" t="s">
        <v>1357</v>
      </c>
      <c r="AD197" s="4" t="s">
        <v>136</v>
      </c>
      <c r="AE197" s="4" t="s">
        <v>215</v>
      </c>
      <c r="AF197" s="4">
        <v>0</v>
      </c>
      <c r="AG197" s="4">
        <v>0.01</v>
      </c>
      <c r="AH197" s="4" t="s">
        <v>1445</v>
      </c>
      <c r="AI197" s="4">
        <v>0</v>
      </c>
      <c r="AJ197" s="4">
        <v>3</v>
      </c>
      <c r="AK197" s="4">
        <v>2.0278556E-2</v>
      </c>
      <c r="AL197" s="4">
        <v>1.9525630445308601E-2</v>
      </c>
      <c r="AM197" s="4">
        <v>-7.5292555469136998E-4</v>
      </c>
      <c r="AN197" s="106">
        <v>1.11180948595815E-8</v>
      </c>
    </row>
    <row r="198" spans="1:40">
      <c r="AC198" s="4" t="s">
        <v>1357</v>
      </c>
      <c r="AD198" s="4" t="s">
        <v>136</v>
      </c>
      <c r="AE198" s="4" t="s">
        <v>215</v>
      </c>
      <c r="AF198" s="4">
        <v>0</v>
      </c>
      <c r="AG198" s="4">
        <v>0.01</v>
      </c>
      <c r="AH198" s="4" t="s">
        <v>1446</v>
      </c>
      <c r="AI198" s="4">
        <v>0.1</v>
      </c>
      <c r="AJ198" s="4">
        <v>1</v>
      </c>
      <c r="AK198" s="4">
        <v>2.0759560999999999E-2</v>
      </c>
      <c r="AL198" s="4">
        <v>1.9670846940521802E-2</v>
      </c>
      <c r="AM198" s="4">
        <v>-1.0887140594781099E-3</v>
      </c>
      <c r="AN198" s="106">
        <v>3.6230599212552397E-5</v>
      </c>
    </row>
    <row r="199" spans="1:40">
      <c r="AC199" s="4" t="s">
        <v>1357</v>
      </c>
      <c r="AD199" s="4" t="s">
        <v>136</v>
      </c>
      <c r="AE199" s="4" t="s">
        <v>215</v>
      </c>
      <c r="AF199" s="4">
        <v>0</v>
      </c>
      <c r="AG199" s="4">
        <v>0.01</v>
      </c>
      <c r="AH199" s="4" t="s">
        <v>1446</v>
      </c>
      <c r="AI199" s="4">
        <v>0.1</v>
      </c>
      <c r="AJ199" s="4">
        <v>2</v>
      </c>
      <c r="AK199" s="4">
        <v>1.9596717999999999E-2</v>
      </c>
      <c r="AL199" s="4">
        <v>1.9670846940521802E-2</v>
      </c>
      <c r="AM199" s="106">
        <v>7.4128940521882197E-5</v>
      </c>
      <c r="AN199" s="106">
        <v>3.6230599212552397E-5</v>
      </c>
    </row>
    <row r="200" spans="1:40">
      <c r="AC200" s="4" t="s">
        <v>1357</v>
      </c>
      <c r="AD200" s="4" t="s">
        <v>136</v>
      </c>
      <c r="AE200" s="4" t="s">
        <v>215</v>
      </c>
      <c r="AF200" s="4">
        <v>0</v>
      </c>
      <c r="AG200" s="4">
        <v>0.01</v>
      </c>
      <c r="AH200" s="4" t="s">
        <v>1446</v>
      </c>
      <c r="AI200" s="4">
        <v>0.1</v>
      </c>
      <c r="AJ200" s="4">
        <v>3</v>
      </c>
      <c r="AK200" s="4">
        <v>2.0799241999999999E-2</v>
      </c>
      <c r="AL200" s="4">
        <v>1.9670846940521802E-2</v>
      </c>
      <c r="AM200" s="4">
        <v>-1.1283950594781101E-3</v>
      </c>
      <c r="AN200" s="106">
        <v>3.6230599212552397E-5</v>
      </c>
    </row>
    <row r="201" spans="1:40">
      <c r="AC201" s="4" t="s">
        <v>1357</v>
      </c>
      <c r="AD201" s="4" t="s">
        <v>136</v>
      </c>
      <c r="AE201" s="4" t="s">
        <v>215</v>
      </c>
      <c r="AF201" s="4">
        <v>20</v>
      </c>
      <c r="AG201" s="4">
        <v>0.4</v>
      </c>
      <c r="AH201" s="4" t="s">
        <v>1445</v>
      </c>
      <c r="AI201" s="4">
        <v>0</v>
      </c>
      <c r="AJ201" s="4">
        <v>1</v>
      </c>
      <c r="AK201" s="4">
        <v>2.9488009999999999E-2</v>
      </c>
      <c r="AL201" s="4">
        <v>1.9596906694888599E-2</v>
      </c>
      <c r="AM201" s="4">
        <v>-9.8911033051113494E-3</v>
      </c>
      <c r="AN201" s="106">
        <v>1.77886355319265E-5</v>
      </c>
    </row>
    <row r="202" spans="1:40">
      <c r="AC202" s="4" t="s">
        <v>1357</v>
      </c>
      <c r="AD202" s="4" t="s">
        <v>136</v>
      </c>
      <c r="AE202" s="4" t="s">
        <v>215</v>
      </c>
      <c r="AF202" s="4">
        <v>20</v>
      </c>
      <c r="AG202" s="4">
        <v>0.4</v>
      </c>
      <c r="AH202" s="4" t="s">
        <v>1445</v>
      </c>
      <c r="AI202" s="4">
        <v>0</v>
      </c>
      <c r="AJ202" s="4">
        <v>2</v>
      </c>
      <c r="AK202" s="4">
        <v>2.7896996E-2</v>
      </c>
      <c r="AL202" s="4">
        <v>1.9596906694888599E-2</v>
      </c>
      <c r="AM202" s="4">
        <v>-8.3000893051113495E-3</v>
      </c>
      <c r="AN202" s="106">
        <v>1.77886355319265E-5</v>
      </c>
    </row>
    <row r="203" spans="1:40">
      <c r="AC203" s="4" t="s">
        <v>1357</v>
      </c>
      <c r="AD203" s="4" t="s">
        <v>136</v>
      </c>
      <c r="AE203" s="4" t="s">
        <v>215</v>
      </c>
      <c r="AF203" s="4">
        <v>20</v>
      </c>
      <c r="AG203" s="4">
        <v>0.4</v>
      </c>
      <c r="AH203" s="4" t="s">
        <v>1445</v>
      </c>
      <c r="AI203" s="4">
        <v>0</v>
      </c>
      <c r="AJ203" s="4">
        <v>3</v>
      </c>
      <c r="AK203" s="4">
        <v>2.7746050000000001E-2</v>
      </c>
      <c r="AL203" s="4">
        <v>1.9596906694888599E-2</v>
      </c>
      <c r="AM203" s="4">
        <v>-8.1491433051113504E-3</v>
      </c>
      <c r="AN203" s="106">
        <v>1.77886355319265E-5</v>
      </c>
    </row>
    <row r="204" spans="1:40">
      <c r="AC204" s="4" t="s">
        <v>1357</v>
      </c>
      <c r="AD204" s="4" t="s">
        <v>136</v>
      </c>
      <c r="AE204" s="4" t="s">
        <v>215</v>
      </c>
      <c r="AF204" s="4">
        <v>20</v>
      </c>
      <c r="AG204" s="4">
        <v>0.4</v>
      </c>
      <c r="AH204" s="4" t="s">
        <v>1446</v>
      </c>
      <c r="AI204" s="4">
        <v>0.1</v>
      </c>
      <c r="AJ204" s="4">
        <v>1</v>
      </c>
      <c r="AK204" s="4">
        <v>0.223193523</v>
      </c>
      <c r="AL204" s="4">
        <v>0.23921603333578201</v>
      </c>
      <c r="AM204" s="4">
        <v>1.6022510335782301E-2</v>
      </c>
      <c r="AN204" s="4">
        <v>5.4794560370538897E-2</v>
      </c>
    </row>
    <row r="205" spans="1:40">
      <c r="AC205" s="4" t="s">
        <v>1357</v>
      </c>
      <c r="AD205" s="4" t="s">
        <v>136</v>
      </c>
      <c r="AE205" s="4" t="s">
        <v>215</v>
      </c>
      <c r="AF205" s="4">
        <v>20</v>
      </c>
      <c r="AG205" s="4">
        <v>0.4</v>
      </c>
      <c r="AH205" s="4" t="s">
        <v>1446</v>
      </c>
      <c r="AI205" s="4">
        <v>0.1</v>
      </c>
      <c r="AJ205" s="4">
        <v>2</v>
      </c>
      <c r="AK205" s="4">
        <v>0.24388464500000001</v>
      </c>
      <c r="AL205" s="4">
        <v>0.23921603333578201</v>
      </c>
      <c r="AM205" s="4">
        <v>-4.66861166421767E-3</v>
      </c>
      <c r="AN205" s="4">
        <v>5.4794560370538897E-2</v>
      </c>
    </row>
    <row r="206" spans="1:40">
      <c r="AC206" s="4" t="s">
        <v>1357</v>
      </c>
      <c r="AD206" s="4" t="s">
        <v>136</v>
      </c>
      <c r="AE206" s="4" t="s">
        <v>215</v>
      </c>
      <c r="AF206" s="4">
        <v>20</v>
      </c>
      <c r="AG206" s="4">
        <v>0.4</v>
      </c>
      <c r="AH206" s="4" t="s">
        <v>1446</v>
      </c>
      <c r="AI206" s="4">
        <v>0.1</v>
      </c>
      <c r="AJ206" s="4">
        <v>3</v>
      </c>
      <c r="AK206" s="4">
        <v>0.24946722399999999</v>
      </c>
      <c r="AL206" s="4">
        <v>0.23921603333578201</v>
      </c>
      <c r="AM206" s="4">
        <v>-1.02511906642176E-2</v>
      </c>
      <c r="AN206" s="4">
        <v>5.4794560370538897E-2</v>
      </c>
    </row>
    <row r="207" spans="1:40">
      <c r="AC207" s="4" t="s">
        <v>1357</v>
      </c>
      <c r="AD207" s="4" t="s">
        <v>136</v>
      </c>
      <c r="AE207" s="4" t="s">
        <v>215</v>
      </c>
      <c r="AF207" s="4">
        <v>500</v>
      </c>
      <c r="AG207" s="4">
        <v>3.02</v>
      </c>
      <c r="AH207" s="4" t="s">
        <v>1445</v>
      </c>
      <c r="AI207" s="4">
        <v>0</v>
      </c>
      <c r="AJ207" s="4">
        <v>1</v>
      </c>
      <c r="AK207" s="4">
        <v>4.6871351999999998E-2</v>
      </c>
      <c r="AL207" s="4">
        <v>2.3587005228011802E-2</v>
      </c>
      <c r="AM207" s="4">
        <v>-2.3284346771988099E-2</v>
      </c>
      <c r="AN207" s="4">
        <v>1.01298755054471E-3</v>
      </c>
    </row>
    <row r="208" spans="1:40">
      <c r="AC208" s="4" t="s">
        <v>1357</v>
      </c>
      <c r="AD208" s="4" t="s">
        <v>136</v>
      </c>
      <c r="AE208" s="4" t="s">
        <v>215</v>
      </c>
      <c r="AF208" s="4">
        <v>500</v>
      </c>
      <c r="AG208" s="4">
        <v>3.02</v>
      </c>
      <c r="AH208" s="4" t="s">
        <v>1445</v>
      </c>
      <c r="AI208" s="4">
        <v>0</v>
      </c>
      <c r="AJ208" s="4">
        <v>2</v>
      </c>
      <c r="AK208" s="4">
        <v>3.8190623E-2</v>
      </c>
      <c r="AL208" s="4">
        <v>2.3587005228011802E-2</v>
      </c>
      <c r="AM208" s="4">
        <v>-1.4603617771988099E-2</v>
      </c>
      <c r="AN208" s="4">
        <v>1.01298755054471E-3</v>
      </c>
    </row>
    <row r="209" spans="29:40">
      <c r="AC209" s="4" t="s">
        <v>1357</v>
      </c>
      <c r="AD209" s="4" t="s">
        <v>136</v>
      </c>
      <c r="AE209" s="4" t="s">
        <v>215</v>
      </c>
      <c r="AF209" s="4">
        <v>500</v>
      </c>
      <c r="AG209" s="4">
        <v>3.02</v>
      </c>
      <c r="AH209" s="4" t="s">
        <v>1445</v>
      </c>
      <c r="AI209" s="4">
        <v>0</v>
      </c>
      <c r="AJ209" s="4">
        <v>3</v>
      </c>
      <c r="AK209" s="4">
        <v>4.0750761000000003E-2</v>
      </c>
      <c r="AL209" s="4">
        <v>2.3587005228011802E-2</v>
      </c>
      <c r="AM209" s="4">
        <v>-1.7163755771988198E-2</v>
      </c>
      <c r="AN209" s="4">
        <v>1.01298755054471E-3</v>
      </c>
    </row>
    <row r="210" spans="29:40">
      <c r="AC210" s="4" t="s">
        <v>1357</v>
      </c>
      <c r="AD210" s="4" t="s">
        <v>136</v>
      </c>
      <c r="AE210" s="4" t="s">
        <v>215</v>
      </c>
      <c r="AF210" s="4">
        <v>500</v>
      </c>
      <c r="AG210" s="4">
        <v>3.02</v>
      </c>
      <c r="AH210" s="4" t="s">
        <v>1446</v>
      </c>
      <c r="AI210" s="4">
        <v>0.1</v>
      </c>
      <c r="AJ210" s="4">
        <v>1</v>
      </c>
      <c r="AK210" s="4">
        <v>3.161030394</v>
      </c>
      <c r="AL210" s="4">
        <v>3.0974406201275202</v>
      </c>
      <c r="AM210" s="4">
        <v>-6.3589773872471694E-2</v>
      </c>
      <c r="AN210" s="4">
        <v>0.76768472687265599</v>
      </c>
    </row>
    <row r="211" spans="29:40">
      <c r="AC211" s="4" t="s">
        <v>1357</v>
      </c>
      <c r="AD211" s="4" t="s">
        <v>136</v>
      </c>
      <c r="AE211" s="4" t="s">
        <v>215</v>
      </c>
      <c r="AF211" s="4">
        <v>500</v>
      </c>
      <c r="AG211" s="4">
        <v>3.02</v>
      </c>
      <c r="AH211" s="4" t="s">
        <v>1446</v>
      </c>
      <c r="AI211" s="4">
        <v>0.1</v>
      </c>
      <c r="AJ211" s="4">
        <v>2</v>
      </c>
      <c r="AK211" s="4">
        <v>3.1283778199999999</v>
      </c>
      <c r="AL211" s="4">
        <v>3.0974406201275202</v>
      </c>
      <c r="AM211" s="4">
        <v>-3.09371998724716E-2</v>
      </c>
      <c r="AN211" s="4">
        <v>0.76768472687265599</v>
      </c>
    </row>
    <row r="212" spans="29:40">
      <c r="AC212" s="4" t="s">
        <v>1357</v>
      </c>
      <c r="AD212" s="4" t="s">
        <v>136</v>
      </c>
      <c r="AE212" s="4" t="s">
        <v>215</v>
      </c>
      <c r="AF212" s="4">
        <v>500</v>
      </c>
      <c r="AG212" s="4">
        <v>3.02</v>
      </c>
      <c r="AH212" s="4" t="s">
        <v>1446</v>
      </c>
      <c r="AI212" s="4">
        <v>0.1</v>
      </c>
      <c r="AJ212" s="4">
        <v>3</v>
      </c>
      <c r="AK212" s="4">
        <v>3.0029242319999998</v>
      </c>
      <c r="AL212" s="4">
        <v>3.0974406201275202</v>
      </c>
      <c r="AM212" s="4">
        <v>9.45163881275283E-2</v>
      </c>
      <c r="AN212" s="4">
        <v>0.76768472687265599</v>
      </c>
    </row>
    <row r="213" spans="29:40">
      <c r="AC213" s="4" t="s">
        <v>1107</v>
      </c>
      <c r="AD213" s="4" t="s">
        <v>133</v>
      </c>
      <c r="AE213" s="4" t="s">
        <v>213</v>
      </c>
      <c r="AF213" s="4">
        <v>0</v>
      </c>
      <c r="AG213" s="4">
        <v>0.01</v>
      </c>
      <c r="AH213" s="4" t="s">
        <v>1445</v>
      </c>
      <c r="AI213" s="4">
        <v>0</v>
      </c>
      <c r="AJ213" s="4">
        <v>1</v>
      </c>
      <c r="AK213" s="4">
        <v>7.8355471999999995E-2</v>
      </c>
      <c r="AL213" s="4">
        <v>1.3812286922548499E-2</v>
      </c>
      <c r="AM213" s="4">
        <v>-6.4543185077451395E-2</v>
      </c>
      <c r="AN213" s="106">
        <v>8.8522890180494902E-8</v>
      </c>
    </row>
    <row r="214" spans="29:40">
      <c r="AC214" s="4" t="s">
        <v>1107</v>
      </c>
      <c r="AD214" s="4" t="s">
        <v>133</v>
      </c>
      <c r="AE214" s="4" t="s">
        <v>213</v>
      </c>
      <c r="AF214" s="4">
        <v>0</v>
      </c>
      <c r="AG214" s="4">
        <v>0.01</v>
      </c>
      <c r="AH214" s="4" t="s">
        <v>1445</v>
      </c>
      <c r="AI214" s="4">
        <v>0</v>
      </c>
      <c r="AJ214" s="4">
        <v>2</v>
      </c>
      <c r="AK214" s="4">
        <v>8.8940732999999994E-2</v>
      </c>
      <c r="AL214" s="4">
        <v>1.3812286922548499E-2</v>
      </c>
      <c r="AM214" s="4">
        <v>-7.5128446077451394E-2</v>
      </c>
      <c r="AN214" s="106">
        <v>8.8522890180494902E-8</v>
      </c>
    </row>
    <row r="215" spans="29:40">
      <c r="AC215" s="4" t="s">
        <v>1107</v>
      </c>
      <c r="AD215" s="4" t="s">
        <v>133</v>
      </c>
      <c r="AE215" s="4" t="s">
        <v>213</v>
      </c>
      <c r="AF215" s="4">
        <v>0</v>
      </c>
      <c r="AG215" s="4">
        <v>0.01</v>
      </c>
      <c r="AH215" s="4" t="s">
        <v>1445</v>
      </c>
      <c r="AI215" s="4">
        <v>0</v>
      </c>
      <c r="AJ215" s="4">
        <v>3</v>
      </c>
      <c r="AK215" s="4">
        <v>9.0171950000000001E-2</v>
      </c>
      <c r="AL215" s="4">
        <v>1.3812286922548499E-2</v>
      </c>
      <c r="AM215" s="4">
        <v>-7.6359663077451498E-2</v>
      </c>
      <c r="AN215" s="106">
        <v>8.8522890180494902E-8</v>
      </c>
    </row>
    <row r="216" spans="29:40">
      <c r="AC216" s="4" t="s">
        <v>1107</v>
      </c>
      <c r="AD216" s="4" t="s">
        <v>133</v>
      </c>
      <c r="AE216" s="4" t="s">
        <v>213</v>
      </c>
      <c r="AF216" s="4">
        <v>0</v>
      </c>
      <c r="AG216" s="4">
        <v>0.01</v>
      </c>
      <c r="AH216" s="4" t="s">
        <v>1446</v>
      </c>
      <c r="AI216" s="4">
        <v>0.01</v>
      </c>
      <c r="AJ216" s="4">
        <v>1</v>
      </c>
      <c r="AK216" s="4">
        <v>1.659024544</v>
      </c>
      <c r="AL216" s="4">
        <v>0.80148817175060405</v>
      </c>
      <c r="AM216" s="4">
        <v>-0.85753637224939505</v>
      </c>
      <c r="AN216" s="4">
        <v>0.108374757122096</v>
      </c>
    </row>
    <row r="217" spans="29:40">
      <c r="AC217" s="4" t="s">
        <v>1107</v>
      </c>
      <c r="AD217" s="4" t="s">
        <v>133</v>
      </c>
      <c r="AE217" s="4" t="s">
        <v>213</v>
      </c>
      <c r="AF217" s="4">
        <v>0</v>
      </c>
      <c r="AG217" s="4">
        <v>0.01</v>
      </c>
      <c r="AH217" s="4" t="s">
        <v>1446</v>
      </c>
      <c r="AI217" s="4">
        <v>0.01</v>
      </c>
      <c r="AJ217" s="4">
        <v>2</v>
      </c>
      <c r="AK217" s="4">
        <v>1.766814573</v>
      </c>
      <c r="AL217" s="4">
        <v>0.80148817175060405</v>
      </c>
      <c r="AM217" s="4">
        <v>-0.96532640124939595</v>
      </c>
      <c r="AN217" s="4">
        <v>0.108374757122096</v>
      </c>
    </row>
    <row r="218" spans="29:40">
      <c r="AC218" s="4" t="s">
        <v>1107</v>
      </c>
      <c r="AD218" s="4" t="s">
        <v>133</v>
      </c>
      <c r="AE218" s="4" t="s">
        <v>213</v>
      </c>
      <c r="AF218" s="4">
        <v>0</v>
      </c>
      <c r="AG218" s="4">
        <v>0.01</v>
      </c>
      <c r="AH218" s="4" t="s">
        <v>1446</v>
      </c>
      <c r="AI218" s="4">
        <v>0.01</v>
      </c>
      <c r="AJ218" s="4">
        <v>3</v>
      </c>
      <c r="AK218" s="4">
        <v>1.6878863260000001</v>
      </c>
      <c r="AL218" s="4">
        <v>0.80148817175060405</v>
      </c>
      <c r="AM218" s="4">
        <v>-0.88639815424939605</v>
      </c>
      <c r="AN218" s="4">
        <v>0.108374757122096</v>
      </c>
    </row>
    <row r="219" spans="29:40">
      <c r="AC219" s="4" t="s">
        <v>1107</v>
      </c>
      <c r="AD219" s="4" t="s">
        <v>133</v>
      </c>
      <c r="AE219" s="4" t="s">
        <v>213</v>
      </c>
      <c r="AF219" s="4">
        <v>20</v>
      </c>
      <c r="AG219" s="4">
        <v>0.4</v>
      </c>
      <c r="AH219" s="4" t="s">
        <v>1445</v>
      </c>
      <c r="AI219" s="4">
        <v>0</v>
      </c>
      <c r="AJ219" s="4">
        <v>1</v>
      </c>
      <c r="AK219" s="4">
        <v>8.8147006E-2</v>
      </c>
      <c r="AL219" s="4">
        <v>1.4840924315892101E-2</v>
      </c>
      <c r="AM219" s="4">
        <v>-7.3306081684107793E-2</v>
      </c>
      <c r="AN219" s="4">
        <v>1.4161657873094501E-4</v>
      </c>
    </row>
    <row r="220" spans="29:40">
      <c r="AC220" s="4" t="s">
        <v>1107</v>
      </c>
      <c r="AD220" s="4" t="s">
        <v>133</v>
      </c>
      <c r="AE220" s="4" t="s">
        <v>213</v>
      </c>
      <c r="AF220" s="4">
        <v>20</v>
      </c>
      <c r="AG220" s="4">
        <v>0.4</v>
      </c>
      <c r="AH220" s="4" t="s">
        <v>1445</v>
      </c>
      <c r="AI220" s="4">
        <v>0</v>
      </c>
      <c r="AJ220" s="4">
        <v>2</v>
      </c>
      <c r="AK220" s="4">
        <v>0.104641242</v>
      </c>
      <c r="AL220" s="4">
        <v>1.4840924315892101E-2</v>
      </c>
      <c r="AM220" s="4">
        <v>-8.9800317684107803E-2</v>
      </c>
      <c r="AN220" s="4">
        <v>1.4161657873094501E-4</v>
      </c>
    </row>
    <row r="221" spans="29:40">
      <c r="AC221" s="4" t="s">
        <v>1107</v>
      </c>
      <c r="AD221" s="4" t="s">
        <v>133</v>
      </c>
      <c r="AE221" s="4" t="s">
        <v>213</v>
      </c>
      <c r="AF221" s="4">
        <v>20</v>
      </c>
      <c r="AG221" s="4">
        <v>0.4</v>
      </c>
      <c r="AH221" s="4" t="s">
        <v>1445</v>
      </c>
      <c r="AI221" s="4">
        <v>0</v>
      </c>
      <c r="AJ221" s="4">
        <v>3</v>
      </c>
      <c r="AK221" s="4">
        <v>9.2455212999999994E-2</v>
      </c>
      <c r="AL221" s="4">
        <v>1.4840924315892101E-2</v>
      </c>
      <c r="AM221" s="4">
        <v>-7.7614288684107802E-2</v>
      </c>
      <c r="AN221" s="4">
        <v>1.4161657873094501E-4</v>
      </c>
    </row>
    <row r="222" spans="29:40">
      <c r="AC222" s="4" t="s">
        <v>1107</v>
      </c>
      <c r="AD222" s="4" t="s">
        <v>133</v>
      </c>
      <c r="AE222" s="4" t="s">
        <v>213</v>
      </c>
      <c r="AF222" s="4">
        <v>20</v>
      </c>
      <c r="AG222" s="4">
        <v>0.4</v>
      </c>
      <c r="AH222" s="4" t="s">
        <v>1446</v>
      </c>
      <c r="AI222" s="4">
        <v>0.01</v>
      </c>
      <c r="AJ222" s="4">
        <v>1</v>
      </c>
      <c r="AK222" s="4">
        <v>8.0554160960000001</v>
      </c>
      <c r="AL222" s="4">
        <v>7.24471131158068</v>
      </c>
      <c r="AM222" s="4">
        <v>-0.81070478441931704</v>
      </c>
      <c r="AN222" s="4">
        <v>0.99488427955371805</v>
      </c>
    </row>
    <row r="223" spans="29:40">
      <c r="AC223" s="4" t="s">
        <v>1107</v>
      </c>
      <c r="AD223" s="4" t="s">
        <v>133</v>
      </c>
      <c r="AE223" s="4" t="s">
        <v>213</v>
      </c>
      <c r="AF223" s="4">
        <v>20</v>
      </c>
      <c r="AG223" s="4">
        <v>0.4</v>
      </c>
      <c r="AH223" s="4" t="s">
        <v>1446</v>
      </c>
      <c r="AI223" s="4">
        <v>0.01</v>
      </c>
      <c r="AJ223" s="4">
        <v>2</v>
      </c>
      <c r="AK223" s="4">
        <v>8.238089854</v>
      </c>
      <c r="AL223" s="4">
        <v>7.24471131158068</v>
      </c>
      <c r="AM223" s="4">
        <v>-0.993378542419317</v>
      </c>
      <c r="AN223" s="4">
        <v>0.99488427955371805</v>
      </c>
    </row>
    <row r="224" spans="29:40">
      <c r="AC224" s="4" t="s">
        <v>1107</v>
      </c>
      <c r="AD224" s="4" t="s">
        <v>133</v>
      </c>
      <c r="AE224" s="4" t="s">
        <v>213</v>
      </c>
      <c r="AF224" s="4">
        <v>20</v>
      </c>
      <c r="AG224" s="4">
        <v>0.4</v>
      </c>
      <c r="AH224" s="4" t="s">
        <v>1446</v>
      </c>
      <c r="AI224" s="4">
        <v>0.01</v>
      </c>
      <c r="AJ224" s="4">
        <v>3</v>
      </c>
      <c r="AK224" s="4">
        <v>8.3104782260000007</v>
      </c>
      <c r="AL224" s="4">
        <v>7.24471131158068</v>
      </c>
      <c r="AM224" s="4">
        <v>-1.06576691441931</v>
      </c>
      <c r="AN224" s="4">
        <v>0.99488427955371805</v>
      </c>
    </row>
    <row r="225" spans="29:40">
      <c r="AC225" s="4" t="s">
        <v>1107</v>
      </c>
      <c r="AD225" s="4" t="s">
        <v>133</v>
      </c>
      <c r="AE225" s="4" t="s">
        <v>213</v>
      </c>
      <c r="AF225" s="4">
        <v>500</v>
      </c>
      <c r="AG225" s="4">
        <v>3.02</v>
      </c>
      <c r="AH225" s="4" t="s">
        <v>1445</v>
      </c>
      <c r="AI225" s="4">
        <v>0</v>
      </c>
      <c r="AJ225" s="4">
        <v>1</v>
      </c>
      <c r="AK225" s="4">
        <v>8.6439829999999995E-2</v>
      </c>
      <c r="AL225" s="4">
        <v>7.2021565423837794E-2</v>
      </c>
      <c r="AM225" s="4">
        <v>-1.4418264576162101E-2</v>
      </c>
      <c r="AN225" s="4">
        <v>8.0089807442805007E-3</v>
      </c>
    </row>
    <row r="226" spans="29:40">
      <c r="AC226" s="4" t="s">
        <v>1107</v>
      </c>
      <c r="AD226" s="4" t="s">
        <v>133</v>
      </c>
      <c r="AE226" s="4" t="s">
        <v>213</v>
      </c>
      <c r="AF226" s="4">
        <v>500</v>
      </c>
      <c r="AG226" s="4">
        <v>3.02</v>
      </c>
      <c r="AH226" s="4" t="s">
        <v>1445</v>
      </c>
      <c r="AI226" s="4">
        <v>0</v>
      </c>
      <c r="AJ226" s="4">
        <v>2</v>
      </c>
      <c r="AK226" s="4">
        <v>0.101499665</v>
      </c>
      <c r="AL226" s="4">
        <v>7.2021565423837794E-2</v>
      </c>
      <c r="AM226" s="4">
        <v>-2.9478099576162101E-2</v>
      </c>
      <c r="AN226" s="4">
        <v>8.0089807442805007E-3</v>
      </c>
    </row>
    <row r="227" spans="29:40">
      <c r="AC227" s="4" t="s">
        <v>1107</v>
      </c>
      <c r="AD227" s="4" t="s">
        <v>133</v>
      </c>
      <c r="AE227" s="4" t="s">
        <v>213</v>
      </c>
      <c r="AF227" s="4">
        <v>500</v>
      </c>
      <c r="AG227" s="4">
        <v>3.02</v>
      </c>
      <c r="AH227" s="4" t="s">
        <v>1445</v>
      </c>
      <c r="AI227" s="4">
        <v>0</v>
      </c>
      <c r="AJ227" s="4">
        <v>3</v>
      </c>
      <c r="AK227" s="4">
        <v>9.1392179000000004E-2</v>
      </c>
      <c r="AL227" s="4">
        <v>7.2021565423837794E-2</v>
      </c>
      <c r="AM227" s="4">
        <v>-1.9370613576162099E-2</v>
      </c>
      <c r="AN227" s="4">
        <v>8.0089807442805007E-3</v>
      </c>
    </row>
    <row r="228" spans="29:40">
      <c r="AC228" s="4" t="s">
        <v>1107</v>
      </c>
      <c r="AD228" s="4" t="s">
        <v>133</v>
      </c>
      <c r="AE228" s="4" t="s">
        <v>213</v>
      </c>
      <c r="AF228" s="4">
        <v>500</v>
      </c>
      <c r="AG228" s="4">
        <v>3.02</v>
      </c>
      <c r="AH228" s="4" t="s">
        <v>1446</v>
      </c>
      <c r="AI228" s="4">
        <v>0.01</v>
      </c>
      <c r="AJ228" s="4">
        <v>1</v>
      </c>
      <c r="AK228" s="4">
        <v>6.3574497980000002</v>
      </c>
      <c r="AL228" s="4">
        <v>7.2812372100728302</v>
      </c>
      <c r="AM228" s="4">
        <v>0.92378741207283199</v>
      </c>
      <c r="AN228" s="4">
        <v>0.99990980111737404</v>
      </c>
    </row>
    <row r="229" spans="29:40">
      <c r="AC229" s="4" t="s">
        <v>1107</v>
      </c>
      <c r="AD229" s="4" t="s">
        <v>133</v>
      </c>
      <c r="AE229" s="4" t="s">
        <v>213</v>
      </c>
      <c r="AF229" s="4">
        <v>500</v>
      </c>
      <c r="AG229" s="4">
        <v>3.02</v>
      </c>
      <c r="AH229" s="4" t="s">
        <v>1446</v>
      </c>
      <c r="AI229" s="4">
        <v>0.01</v>
      </c>
      <c r="AJ229" s="4">
        <v>2</v>
      </c>
      <c r="AK229" s="4">
        <v>6.2958131789999996</v>
      </c>
      <c r="AL229" s="4">
        <v>7.2812372100728302</v>
      </c>
      <c r="AM229" s="4">
        <v>0.98542403107283305</v>
      </c>
      <c r="AN229" s="4">
        <v>0.99990980111737404</v>
      </c>
    </row>
    <row r="230" spans="29:40">
      <c r="AC230" s="4" t="s">
        <v>1107</v>
      </c>
      <c r="AD230" s="4" t="s">
        <v>133</v>
      </c>
      <c r="AE230" s="4" t="s">
        <v>213</v>
      </c>
      <c r="AF230" s="4">
        <v>500</v>
      </c>
      <c r="AG230" s="4">
        <v>3.02</v>
      </c>
      <c r="AH230" s="4" t="s">
        <v>1446</v>
      </c>
      <c r="AI230" s="4">
        <v>0.01</v>
      </c>
      <c r="AJ230" s="4">
        <v>3</v>
      </c>
      <c r="AK230" s="4">
        <v>6.3793602380000003</v>
      </c>
      <c r="AL230" s="4">
        <v>7.2812372100728302</v>
      </c>
      <c r="AM230" s="4">
        <v>0.90187697207283202</v>
      </c>
      <c r="AN230" s="4">
        <v>0.99990980111737404</v>
      </c>
    </row>
    <row r="231" spans="29:40">
      <c r="AC231" s="4" t="s">
        <v>1358</v>
      </c>
      <c r="AD231" s="4" t="s">
        <v>1331</v>
      </c>
      <c r="AE231" s="4" t="s">
        <v>213</v>
      </c>
      <c r="AF231" s="4">
        <v>0</v>
      </c>
      <c r="AG231" s="4">
        <v>0.01</v>
      </c>
      <c r="AH231" s="4" t="s">
        <v>1445</v>
      </c>
      <c r="AI231" s="4">
        <v>0</v>
      </c>
      <c r="AJ231" s="4">
        <v>1</v>
      </c>
      <c r="AK231" s="4">
        <v>4.6534891000000002E-2</v>
      </c>
      <c r="AL231" s="4">
        <v>1.17947983692408E-2</v>
      </c>
      <c r="AM231" s="4">
        <v>-3.4740092630759098E-2</v>
      </c>
      <c r="AN231" s="106">
        <v>1.8813711664698799E-7</v>
      </c>
    </row>
    <row r="232" spans="29:40">
      <c r="AC232" s="4" t="s">
        <v>1358</v>
      </c>
      <c r="AD232" s="4" t="s">
        <v>1331</v>
      </c>
      <c r="AE232" s="4" t="s">
        <v>213</v>
      </c>
      <c r="AF232" s="4">
        <v>0</v>
      </c>
      <c r="AG232" s="4">
        <v>0.01</v>
      </c>
      <c r="AH232" s="4" t="s">
        <v>1445</v>
      </c>
      <c r="AI232" s="4">
        <v>0</v>
      </c>
      <c r="AJ232" s="4">
        <v>2</v>
      </c>
      <c r="AK232" s="4">
        <v>4.2682422999999997E-2</v>
      </c>
      <c r="AL232" s="4">
        <v>1.17947983692408E-2</v>
      </c>
      <c r="AM232" s="4">
        <v>-3.08876246307591E-2</v>
      </c>
      <c r="AN232" s="106">
        <v>1.8813711664698799E-7</v>
      </c>
    </row>
    <row r="233" spans="29:40">
      <c r="AC233" s="4" t="s">
        <v>1358</v>
      </c>
      <c r="AD233" s="4" t="s">
        <v>1331</v>
      </c>
      <c r="AE233" s="4" t="s">
        <v>213</v>
      </c>
      <c r="AF233" s="4">
        <v>0</v>
      </c>
      <c r="AG233" s="4">
        <v>0.01</v>
      </c>
      <c r="AH233" s="4" t="s">
        <v>1445</v>
      </c>
      <c r="AI233" s="4">
        <v>0</v>
      </c>
      <c r="AJ233" s="4">
        <v>3</v>
      </c>
      <c r="AK233" s="4">
        <v>4.3917813E-2</v>
      </c>
      <c r="AL233" s="4">
        <v>1.17947983692408E-2</v>
      </c>
      <c r="AM233" s="4">
        <v>-3.2123014630759103E-2</v>
      </c>
      <c r="AN233" s="106">
        <v>1.8813711664698799E-7</v>
      </c>
    </row>
    <row r="234" spans="29:40">
      <c r="AC234" s="4" t="s">
        <v>1358</v>
      </c>
      <c r="AD234" s="4" t="s">
        <v>1331</v>
      </c>
      <c r="AE234" s="4" t="s">
        <v>213</v>
      </c>
      <c r="AF234" s="4">
        <v>0</v>
      </c>
      <c r="AG234" s="4">
        <v>0.01</v>
      </c>
      <c r="AH234" s="4" t="s">
        <v>1446</v>
      </c>
      <c r="AI234" s="4">
        <v>0.01</v>
      </c>
      <c r="AJ234" s="4">
        <v>1</v>
      </c>
      <c r="AK234" s="4">
        <v>1.0422393700000001</v>
      </c>
      <c r="AL234" s="4">
        <v>1.62292157164564</v>
      </c>
      <c r="AM234" s="4">
        <v>0.58068220164564499</v>
      </c>
      <c r="AN234" s="4">
        <v>0.205292106452026</v>
      </c>
    </row>
    <row r="235" spans="29:40">
      <c r="AC235" s="4" t="s">
        <v>1358</v>
      </c>
      <c r="AD235" s="4" t="s">
        <v>1331</v>
      </c>
      <c r="AE235" s="4" t="s">
        <v>213</v>
      </c>
      <c r="AF235" s="4">
        <v>0</v>
      </c>
      <c r="AG235" s="4">
        <v>0.01</v>
      </c>
      <c r="AH235" s="4" t="s">
        <v>1446</v>
      </c>
      <c r="AI235" s="4">
        <v>0.01</v>
      </c>
      <c r="AJ235" s="4">
        <v>2</v>
      </c>
      <c r="AK235" s="4">
        <v>1.01018173</v>
      </c>
      <c r="AL235" s="4">
        <v>1.62292157164564</v>
      </c>
      <c r="AM235" s="4">
        <v>0.61273984164564499</v>
      </c>
      <c r="AN235" s="4">
        <v>0.205292106452026</v>
      </c>
    </row>
    <row r="236" spans="29:40">
      <c r="AC236" s="4" t="s">
        <v>1358</v>
      </c>
      <c r="AD236" s="4" t="s">
        <v>1331</v>
      </c>
      <c r="AE236" s="4" t="s">
        <v>213</v>
      </c>
      <c r="AF236" s="4">
        <v>0</v>
      </c>
      <c r="AG236" s="4">
        <v>0.01</v>
      </c>
      <c r="AH236" s="4" t="s">
        <v>1446</v>
      </c>
      <c r="AI236" s="4">
        <v>0.01</v>
      </c>
      <c r="AJ236" s="4">
        <v>3</v>
      </c>
      <c r="AK236" s="4">
        <v>1.1348250799999999</v>
      </c>
      <c r="AL236" s="4">
        <v>1.62292157164564</v>
      </c>
      <c r="AM236" s="4">
        <v>0.488096491645645</v>
      </c>
      <c r="AN236" s="4">
        <v>0.205292106452026</v>
      </c>
    </row>
    <row r="237" spans="29:40">
      <c r="AC237" s="4" t="s">
        <v>1358</v>
      </c>
      <c r="AD237" s="4" t="s">
        <v>1331</v>
      </c>
      <c r="AE237" s="4" t="s">
        <v>213</v>
      </c>
      <c r="AF237" s="4">
        <v>20</v>
      </c>
      <c r="AG237" s="4">
        <v>0.4</v>
      </c>
      <c r="AH237" s="4" t="s">
        <v>1445</v>
      </c>
      <c r="AI237" s="4">
        <v>0</v>
      </c>
      <c r="AJ237" s="4">
        <v>1</v>
      </c>
      <c r="AK237" s="4">
        <v>6.7459030000000003E-2</v>
      </c>
      <c r="AL237" s="4">
        <v>1.41550053902199E-2</v>
      </c>
      <c r="AM237" s="4">
        <v>-5.3304024609780003E-2</v>
      </c>
      <c r="AN237" s="4">
        <v>3.0092885783086402E-4</v>
      </c>
    </row>
    <row r="238" spans="29:40">
      <c r="AC238" s="4" t="s">
        <v>1358</v>
      </c>
      <c r="AD238" s="4" t="s">
        <v>1331</v>
      </c>
      <c r="AE238" s="4" t="s">
        <v>213</v>
      </c>
      <c r="AF238" s="4">
        <v>20</v>
      </c>
      <c r="AG238" s="4">
        <v>0.4</v>
      </c>
      <c r="AH238" s="4" t="s">
        <v>1445</v>
      </c>
      <c r="AI238" s="4">
        <v>0</v>
      </c>
      <c r="AJ238" s="4">
        <v>2</v>
      </c>
      <c r="AK238" s="4">
        <v>6.3140970000000005E-2</v>
      </c>
      <c r="AL238" s="4">
        <v>1.41550053902199E-2</v>
      </c>
      <c r="AM238" s="4">
        <v>-4.8985964609779997E-2</v>
      </c>
      <c r="AN238" s="4">
        <v>3.0092885783086402E-4</v>
      </c>
    </row>
    <row r="239" spans="29:40">
      <c r="AC239" s="4" t="s">
        <v>1358</v>
      </c>
      <c r="AD239" s="4" t="s">
        <v>1331</v>
      </c>
      <c r="AE239" s="4" t="s">
        <v>213</v>
      </c>
      <c r="AF239" s="4">
        <v>20</v>
      </c>
      <c r="AG239" s="4">
        <v>0.4</v>
      </c>
      <c r="AH239" s="4" t="s">
        <v>1445</v>
      </c>
      <c r="AI239" s="4">
        <v>0</v>
      </c>
      <c r="AJ239" s="4">
        <v>3</v>
      </c>
      <c r="AK239" s="4">
        <v>5.9061886000000001E-2</v>
      </c>
      <c r="AL239" s="4">
        <v>1.41550053902199E-2</v>
      </c>
      <c r="AM239" s="4">
        <v>-4.4906880609780001E-2</v>
      </c>
      <c r="AN239" s="4">
        <v>3.0092885783086402E-4</v>
      </c>
    </row>
    <row r="240" spans="29:40">
      <c r="AC240" s="4" t="s">
        <v>1358</v>
      </c>
      <c r="AD240" s="4" t="s">
        <v>1331</v>
      </c>
      <c r="AE240" s="4" t="s">
        <v>213</v>
      </c>
      <c r="AF240" s="4">
        <v>20</v>
      </c>
      <c r="AG240" s="4">
        <v>0.4</v>
      </c>
      <c r="AH240" s="4" t="s">
        <v>1446</v>
      </c>
      <c r="AI240" s="4">
        <v>0.01</v>
      </c>
      <c r="AJ240" s="4">
        <v>1</v>
      </c>
      <c r="AK240" s="4">
        <v>10.59011973</v>
      </c>
      <c r="AL240" s="4">
        <v>7.84083094927621</v>
      </c>
      <c r="AM240" s="4">
        <v>-2.7492887807237798</v>
      </c>
      <c r="AN240" s="4">
        <v>0.997586397140381</v>
      </c>
    </row>
    <row r="241" spans="29:40">
      <c r="AC241" s="4" t="s">
        <v>1358</v>
      </c>
      <c r="AD241" s="4" t="s">
        <v>1331</v>
      </c>
      <c r="AE241" s="4" t="s">
        <v>213</v>
      </c>
      <c r="AF241" s="4">
        <v>20</v>
      </c>
      <c r="AG241" s="4">
        <v>0.4</v>
      </c>
      <c r="AH241" s="4" t="s">
        <v>1446</v>
      </c>
      <c r="AI241" s="4">
        <v>0.01</v>
      </c>
      <c r="AJ241" s="4">
        <v>2</v>
      </c>
      <c r="AK241" s="4">
        <v>10.127560000000001</v>
      </c>
      <c r="AL241" s="4">
        <v>7.84083094927621</v>
      </c>
      <c r="AM241" s="4">
        <v>-2.2867290507237801</v>
      </c>
      <c r="AN241" s="4">
        <v>0.997586397140381</v>
      </c>
    </row>
    <row r="242" spans="29:40">
      <c r="AC242" s="4" t="s">
        <v>1358</v>
      </c>
      <c r="AD242" s="4" t="s">
        <v>1331</v>
      </c>
      <c r="AE242" s="4" t="s">
        <v>213</v>
      </c>
      <c r="AF242" s="4">
        <v>20</v>
      </c>
      <c r="AG242" s="4">
        <v>0.4</v>
      </c>
      <c r="AH242" s="4" t="s">
        <v>1446</v>
      </c>
      <c r="AI242" s="4">
        <v>0.01</v>
      </c>
      <c r="AJ242" s="4">
        <v>3</v>
      </c>
      <c r="AK242" s="4">
        <v>10.40091893</v>
      </c>
      <c r="AL242" s="4">
        <v>7.84083094927621</v>
      </c>
      <c r="AM242" s="4">
        <v>-2.5600879807237802</v>
      </c>
      <c r="AN242" s="4">
        <v>0.997586397140381</v>
      </c>
    </row>
    <row r="243" spans="29:40">
      <c r="AC243" s="4" t="s">
        <v>1358</v>
      </c>
      <c r="AD243" s="4" t="s">
        <v>1331</v>
      </c>
      <c r="AE243" s="4" t="s">
        <v>213</v>
      </c>
      <c r="AF243" s="4">
        <v>500</v>
      </c>
      <c r="AG243" s="4">
        <v>3.02</v>
      </c>
      <c r="AH243" s="4" t="s">
        <v>1445</v>
      </c>
      <c r="AI243" s="4">
        <v>0</v>
      </c>
      <c r="AJ243" s="4">
        <v>1</v>
      </c>
      <c r="AK243" s="4">
        <v>0.136195923</v>
      </c>
      <c r="AL243" s="4">
        <v>0.14418403651634401</v>
      </c>
      <c r="AM243" s="4">
        <v>7.9881135163440108E-3</v>
      </c>
      <c r="AN243" s="4">
        <v>1.68694011092267E-2</v>
      </c>
    </row>
    <row r="244" spans="29:40">
      <c r="AC244" s="4" t="s">
        <v>1358</v>
      </c>
      <c r="AD244" s="4" t="s">
        <v>1331</v>
      </c>
      <c r="AE244" s="4" t="s">
        <v>213</v>
      </c>
      <c r="AF244" s="4">
        <v>500</v>
      </c>
      <c r="AG244" s="4">
        <v>3.02</v>
      </c>
      <c r="AH244" s="4" t="s">
        <v>1445</v>
      </c>
      <c r="AI244" s="4">
        <v>0</v>
      </c>
      <c r="AJ244" s="4">
        <v>2</v>
      </c>
      <c r="AK244" s="4">
        <v>0.12804057099999999</v>
      </c>
      <c r="AL244" s="4">
        <v>0.14418403651634401</v>
      </c>
      <c r="AM244" s="4">
        <v>1.6143465516344001E-2</v>
      </c>
      <c r="AN244" s="4">
        <v>1.68694011092267E-2</v>
      </c>
    </row>
    <row r="245" spans="29:40">
      <c r="AC245" s="4" t="s">
        <v>1358</v>
      </c>
      <c r="AD245" s="4" t="s">
        <v>1331</v>
      </c>
      <c r="AE245" s="4" t="s">
        <v>213</v>
      </c>
      <c r="AF245" s="4">
        <v>500</v>
      </c>
      <c r="AG245" s="4">
        <v>3.02</v>
      </c>
      <c r="AH245" s="4" t="s">
        <v>1445</v>
      </c>
      <c r="AI245" s="4">
        <v>0</v>
      </c>
      <c r="AJ245" s="4">
        <v>3</v>
      </c>
      <c r="AK245" s="4">
        <v>0.13567004799999999</v>
      </c>
      <c r="AL245" s="4">
        <v>0.14418403651634401</v>
      </c>
      <c r="AM245" s="4">
        <v>8.5139885163440197E-3</v>
      </c>
      <c r="AN245" s="4">
        <v>1.68694011092267E-2</v>
      </c>
    </row>
    <row r="246" spans="29:40">
      <c r="AC246" s="4" t="s">
        <v>1358</v>
      </c>
      <c r="AD246" s="4" t="s">
        <v>1331</v>
      </c>
      <c r="AE246" s="4" t="s">
        <v>213</v>
      </c>
      <c r="AF246" s="4">
        <v>500</v>
      </c>
      <c r="AG246" s="4">
        <v>3.02</v>
      </c>
      <c r="AH246" s="4" t="s">
        <v>1446</v>
      </c>
      <c r="AI246" s="4">
        <v>0.01</v>
      </c>
      <c r="AJ246" s="4">
        <v>1</v>
      </c>
      <c r="AK246" s="4">
        <v>10.480469230000001</v>
      </c>
      <c r="AL246" s="4">
        <v>7.8594397657149697</v>
      </c>
      <c r="AM246" s="4">
        <v>-2.6210294642850198</v>
      </c>
      <c r="AN246" s="4">
        <v>0.99995755730458902</v>
      </c>
    </row>
    <row r="247" spans="29:40">
      <c r="AC247" s="4" t="s">
        <v>1358</v>
      </c>
      <c r="AD247" s="4" t="s">
        <v>1331</v>
      </c>
      <c r="AE247" s="4" t="s">
        <v>213</v>
      </c>
      <c r="AF247" s="4">
        <v>500</v>
      </c>
      <c r="AG247" s="4">
        <v>3.02</v>
      </c>
      <c r="AH247" s="4" t="s">
        <v>1446</v>
      </c>
      <c r="AI247" s="4">
        <v>0.01</v>
      </c>
      <c r="AJ247" s="4">
        <v>2</v>
      </c>
      <c r="AK247" s="4">
        <v>11.32413837</v>
      </c>
      <c r="AL247" s="4">
        <v>7.8594397657149697</v>
      </c>
      <c r="AM247" s="4">
        <v>-3.4646986042850201</v>
      </c>
      <c r="AN247" s="4">
        <v>0.99995755730458902</v>
      </c>
    </row>
    <row r="248" spans="29:40">
      <c r="AC248" s="4" t="s">
        <v>1358</v>
      </c>
      <c r="AD248" s="4" t="s">
        <v>1331</v>
      </c>
      <c r="AE248" s="4" t="s">
        <v>213</v>
      </c>
      <c r="AF248" s="4">
        <v>500</v>
      </c>
      <c r="AG248" s="4">
        <v>3.02</v>
      </c>
      <c r="AH248" s="4" t="s">
        <v>1446</v>
      </c>
      <c r="AI248" s="4">
        <v>0.01</v>
      </c>
      <c r="AJ248" s="4">
        <v>3</v>
      </c>
      <c r="AK248" s="4">
        <v>9.6101923530000004</v>
      </c>
      <c r="AL248" s="4">
        <v>7.8594397657149697</v>
      </c>
      <c r="AM248" s="4">
        <v>-1.75075258728502</v>
      </c>
      <c r="AN248" s="4">
        <v>0.99995755730458902</v>
      </c>
    </row>
    <row r="249" spans="29:40">
      <c r="AC249" s="4" t="s">
        <v>1244</v>
      </c>
      <c r="AD249" s="4" t="s">
        <v>236</v>
      </c>
      <c r="AE249" s="4" t="s">
        <v>213</v>
      </c>
      <c r="AF249" s="4">
        <v>0</v>
      </c>
      <c r="AG249" s="4">
        <v>0.01</v>
      </c>
      <c r="AH249" s="4" t="s">
        <v>1445</v>
      </c>
      <c r="AI249" s="4">
        <v>0</v>
      </c>
      <c r="AJ249" s="4">
        <v>1</v>
      </c>
      <c r="AK249" s="4">
        <v>5.7933981000000002E-2</v>
      </c>
      <c r="AL249" s="4">
        <v>3.4684580713893402E-2</v>
      </c>
      <c r="AM249" s="4">
        <v>-2.32494002861065E-2</v>
      </c>
      <c r="AN249" s="106">
        <v>2.0810582772879499E-12</v>
      </c>
    </row>
    <row r="250" spans="29:40">
      <c r="AC250" s="4" t="s">
        <v>1244</v>
      </c>
      <c r="AD250" s="4" t="s">
        <v>236</v>
      </c>
      <c r="AE250" s="4" t="s">
        <v>213</v>
      </c>
      <c r="AF250" s="4">
        <v>0</v>
      </c>
      <c r="AG250" s="4">
        <v>0.01</v>
      </c>
      <c r="AH250" s="4" t="s">
        <v>1445</v>
      </c>
      <c r="AI250" s="4">
        <v>0</v>
      </c>
      <c r="AJ250" s="4">
        <v>2</v>
      </c>
      <c r="AK250" s="4">
        <v>5.6022519999999999E-2</v>
      </c>
      <c r="AL250" s="4">
        <v>3.4684580713893402E-2</v>
      </c>
      <c r="AM250" s="4">
        <v>-2.13379392861065E-2</v>
      </c>
      <c r="AN250" s="106">
        <v>2.0810582772879499E-12</v>
      </c>
    </row>
    <row r="251" spans="29:40">
      <c r="AC251" s="4" t="s">
        <v>1244</v>
      </c>
      <c r="AD251" s="4" t="s">
        <v>236</v>
      </c>
      <c r="AE251" s="4" t="s">
        <v>213</v>
      </c>
      <c r="AF251" s="4">
        <v>0</v>
      </c>
      <c r="AG251" s="4">
        <v>0.01</v>
      </c>
      <c r="AH251" s="4" t="s">
        <v>1445</v>
      </c>
      <c r="AI251" s="4">
        <v>0</v>
      </c>
      <c r="AJ251" s="4">
        <v>3</v>
      </c>
      <c r="AK251" s="4">
        <v>6.3123626000000002E-2</v>
      </c>
      <c r="AL251" s="4">
        <v>3.4684580713893402E-2</v>
      </c>
      <c r="AM251" s="4">
        <v>-2.8439045286106499E-2</v>
      </c>
      <c r="AN251" s="106">
        <v>2.0810582772879499E-12</v>
      </c>
    </row>
    <row r="252" spans="29:40">
      <c r="AC252" s="4" t="s">
        <v>1244</v>
      </c>
      <c r="AD252" s="4" t="s">
        <v>236</v>
      </c>
      <c r="AE252" s="4" t="s">
        <v>213</v>
      </c>
      <c r="AF252" s="4">
        <v>0</v>
      </c>
      <c r="AG252" s="4">
        <v>0.01</v>
      </c>
      <c r="AH252" s="4" t="s">
        <v>1446</v>
      </c>
      <c r="AI252" s="4">
        <v>0.5</v>
      </c>
      <c r="AJ252" s="4">
        <v>1</v>
      </c>
      <c r="AK252" s="4">
        <v>0.100617863</v>
      </c>
      <c r="AL252" s="4">
        <v>8.2037817443225802E-2</v>
      </c>
      <c r="AM252" s="4">
        <v>-1.8580045556774099E-2</v>
      </c>
      <c r="AN252" s="4">
        <v>7.0928868461541698E-3</v>
      </c>
    </row>
    <row r="253" spans="29:40">
      <c r="AC253" s="4" t="s">
        <v>1244</v>
      </c>
      <c r="AD253" s="4" t="s">
        <v>236</v>
      </c>
      <c r="AE253" s="4" t="s">
        <v>213</v>
      </c>
      <c r="AF253" s="4">
        <v>0</v>
      </c>
      <c r="AG253" s="4">
        <v>0.01</v>
      </c>
      <c r="AH253" s="4" t="s">
        <v>1446</v>
      </c>
      <c r="AI253" s="4">
        <v>0.5</v>
      </c>
      <c r="AJ253" s="4">
        <v>2</v>
      </c>
      <c r="AK253" s="4">
        <v>0.104553457</v>
      </c>
      <c r="AL253" s="4">
        <v>8.2037817443225802E-2</v>
      </c>
      <c r="AM253" s="4">
        <v>-2.25156395567741E-2</v>
      </c>
      <c r="AN253" s="4">
        <v>7.0928868461541698E-3</v>
      </c>
    </row>
    <row r="254" spans="29:40">
      <c r="AC254" s="4" t="s">
        <v>1244</v>
      </c>
      <c r="AD254" s="4" t="s">
        <v>236</v>
      </c>
      <c r="AE254" s="4" t="s">
        <v>213</v>
      </c>
      <c r="AF254" s="4">
        <v>0</v>
      </c>
      <c r="AG254" s="4">
        <v>0.01</v>
      </c>
      <c r="AH254" s="4" t="s">
        <v>1446</v>
      </c>
      <c r="AI254" s="4">
        <v>0.5</v>
      </c>
      <c r="AJ254" s="4">
        <v>3</v>
      </c>
      <c r="AK254" s="4">
        <v>0.114304708</v>
      </c>
      <c r="AL254" s="4">
        <v>8.2037817443225802E-2</v>
      </c>
      <c r="AM254" s="4">
        <v>-3.2266890556774099E-2</v>
      </c>
      <c r="AN254" s="4">
        <v>7.0928868461541698E-3</v>
      </c>
    </row>
    <row r="255" spans="29:40">
      <c r="AC255" s="4" t="s">
        <v>1244</v>
      </c>
      <c r="AD255" s="4" t="s">
        <v>236</v>
      </c>
      <c r="AE255" s="4" t="s">
        <v>213</v>
      </c>
      <c r="AF255" s="4">
        <v>20</v>
      </c>
      <c r="AG255" s="4">
        <v>0.4</v>
      </c>
      <c r="AH255" s="4" t="s">
        <v>1445</v>
      </c>
      <c r="AI255" s="4">
        <v>0</v>
      </c>
      <c r="AJ255" s="4">
        <v>1</v>
      </c>
      <c r="AK255" s="4">
        <v>5.9453647999999998E-2</v>
      </c>
      <c r="AL255" s="4">
        <v>3.4684602929559702E-2</v>
      </c>
      <c r="AM255" s="4">
        <v>-2.4769045070440199E-2</v>
      </c>
      <c r="AN255" s="106">
        <v>3.3296932325807899E-9</v>
      </c>
    </row>
    <row r="256" spans="29:40">
      <c r="AC256" s="4" t="s">
        <v>1244</v>
      </c>
      <c r="AD256" s="4" t="s">
        <v>236</v>
      </c>
      <c r="AE256" s="4" t="s">
        <v>213</v>
      </c>
      <c r="AF256" s="4">
        <v>20</v>
      </c>
      <c r="AG256" s="4">
        <v>0.4</v>
      </c>
      <c r="AH256" s="4" t="s">
        <v>1445</v>
      </c>
      <c r="AI256" s="4">
        <v>0</v>
      </c>
      <c r="AJ256" s="4">
        <v>2</v>
      </c>
      <c r="AK256" s="4">
        <v>7.4458975999999996E-2</v>
      </c>
      <c r="AL256" s="4">
        <v>3.4684602929559702E-2</v>
      </c>
      <c r="AM256" s="4">
        <v>-3.9774373070440197E-2</v>
      </c>
      <c r="AN256" s="106">
        <v>3.3296932325807899E-9</v>
      </c>
    </row>
    <row r="257" spans="29:40">
      <c r="AC257" s="4" t="s">
        <v>1244</v>
      </c>
      <c r="AD257" s="4" t="s">
        <v>236</v>
      </c>
      <c r="AE257" s="4" t="s">
        <v>213</v>
      </c>
      <c r="AF257" s="4">
        <v>20</v>
      </c>
      <c r="AG257" s="4">
        <v>0.4</v>
      </c>
      <c r="AH257" s="4" t="s">
        <v>1445</v>
      </c>
      <c r="AI257" s="4">
        <v>0</v>
      </c>
      <c r="AJ257" s="4">
        <v>3</v>
      </c>
      <c r="AK257" s="4">
        <v>7.1146713E-2</v>
      </c>
      <c r="AL257" s="4">
        <v>3.4684602929559702E-2</v>
      </c>
      <c r="AM257" s="4">
        <v>-3.6462110070440201E-2</v>
      </c>
      <c r="AN257" s="106">
        <v>3.3296932325807899E-9</v>
      </c>
    </row>
    <row r="258" spans="29:40">
      <c r="AC258" s="4" t="s">
        <v>1244</v>
      </c>
      <c r="AD258" s="4" t="s">
        <v>236</v>
      </c>
      <c r="AE258" s="4" t="s">
        <v>213</v>
      </c>
      <c r="AF258" s="4">
        <v>20</v>
      </c>
      <c r="AG258" s="4">
        <v>0.4</v>
      </c>
      <c r="AH258" s="4" t="s">
        <v>1446</v>
      </c>
      <c r="AI258" s="4">
        <v>0.5</v>
      </c>
      <c r="AJ258" s="4">
        <v>1</v>
      </c>
      <c r="AK258" s="4">
        <v>6.0362130089999999</v>
      </c>
      <c r="AL258" s="4">
        <v>6.1737291670697996</v>
      </c>
      <c r="AM258" s="4">
        <v>0.13751615806980899</v>
      </c>
      <c r="AN258" s="4">
        <v>0.91954746051959102</v>
      </c>
    </row>
    <row r="259" spans="29:40">
      <c r="AC259" s="4" t="s">
        <v>1244</v>
      </c>
      <c r="AD259" s="4" t="s">
        <v>236</v>
      </c>
      <c r="AE259" s="4" t="s">
        <v>213</v>
      </c>
      <c r="AF259" s="4">
        <v>20</v>
      </c>
      <c r="AG259" s="4">
        <v>0.4</v>
      </c>
      <c r="AH259" s="4" t="s">
        <v>1446</v>
      </c>
      <c r="AI259" s="4">
        <v>0.5</v>
      </c>
      <c r="AJ259" s="4">
        <v>2</v>
      </c>
      <c r="AK259" s="4">
        <v>6.256049258</v>
      </c>
      <c r="AL259" s="4">
        <v>6.1737291670697996</v>
      </c>
      <c r="AM259" s="4">
        <v>-8.2320090930190604E-2</v>
      </c>
      <c r="AN259" s="4">
        <v>0.91954746051959102</v>
      </c>
    </row>
    <row r="260" spans="29:40">
      <c r="AC260" s="4" t="s">
        <v>1244</v>
      </c>
      <c r="AD260" s="4" t="s">
        <v>236</v>
      </c>
      <c r="AE260" s="4" t="s">
        <v>213</v>
      </c>
      <c r="AF260" s="4">
        <v>20</v>
      </c>
      <c r="AG260" s="4">
        <v>0.4</v>
      </c>
      <c r="AH260" s="4" t="s">
        <v>1446</v>
      </c>
      <c r="AI260" s="4">
        <v>0.5</v>
      </c>
      <c r="AJ260" s="4">
        <v>3</v>
      </c>
      <c r="AK260" s="4">
        <v>6.283169665</v>
      </c>
      <c r="AL260" s="4">
        <v>6.1737291670697996</v>
      </c>
      <c r="AM260" s="4">
        <v>-0.10944049793019001</v>
      </c>
      <c r="AN260" s="4">
        <v>0.91954746051959102</v>
      </c>
    </row>
    <row r="261" spans="29:40">
      <c r="AC261" s="4" t="s">
        <v>1244</v>
      </c>
      <c r="AD261" s="4" t="s">
        <v>236</v>
      </c>
      <c r="AE261" s="4" t="s">
        <v>213</v>
      </c>
      <c r="AF261" s="4">
        <v>500</v>
      </c>
      <c r="AG261" s="4">
        <v>3.02</v>
      </c>
      <c r="AH261" s="4" t="s">
        <v>1445</v>
      </c>
      <c r="AI261" s="4">
        <v>0</v>
      </c>
      <c r="AJ261" s="4">
        <v>1</v>
      </c>
      <c r="AK261" s="4">
        <v>5.7833988000000003E-2</v>
      </c>
      <c r="AL261" s="4">
        <v>3.4685847840243103E-2</v>
      </c>
      <c r="AM261" s="4">
        <v>-2.3148140159756799E-2</v>
      </c>
      <c r="AN261" s="106">
        <v>1.89800803097813E-7</v>
      </c>
    </row>
    <row r="262" spans="29:40">
      <c r="AC262" s="4" t="s">
        <v>1244</v>
      </c>
      <c r="AD262" s="4" t="s">
        <v>236</v>
      </c>
      <c r="AE262" s="4" t="s">
        <v>213</v>
      </c>
      <c r="AF262" s="4">
        <v>500</v>
      </c>
      <c r="AG262" s="4">
        <v>3.02</v>
      </c>
      <c r="AH262" s="4" t="s">
        <v>1445</v>
      </c>
      <c r="AI262" s="4">
        <v>0</v>
      </c>
      <c r="AJ262" s="4">
        <v>2</v>
      </c>
      <c r="AK262" s="4">
        <v>5.8797163999999999E-2</v>
      </c>
      <c r="AL262" s="4">
        <v>3.4685847840243103E-2</v>
      </c>
      <c r="AM262" s="4">
        <v>-2.4111316159756799E-2</v>
      </c>
      <c r="AN262" s="106">
        <v>1.89800803097813E-7</v>
      </c>
    </row>
    <row r="263" spans="29:40">
      <c r="AC263" s="4" t="s">
        <v>1244</v>
      </c>
      <c r="AD263" s="4" t="s">
        <v>236</v>
      </c>
      <c r="AE263" s="4" t="s">
        <v>213</v>
      </c>
      <c r="AF263" s="4">
        <v>500</v>
      </c>
      <c r="AG263" s="4">
        <v>3.02</v>
      </c>
      <c r="AH263" s="4" t="s">
        <v>1445</v>
      </c>
      <c r="AI263" s="4">
        <v>0</v>
      </c>
      <c r="AJ263" s="4">
        <v>3</v>
      </c>
      <c r="AK263" s="4">
        <v>5.6788039999999998E-2</v>
      </c>
      <c r="AL263" s="4">
        <v>3.4685847840243103E-2</v>
      </c>
      <c r="AM263" s="4">
        <v>-2.2102192159756801E-2</v>
      </c>
      <c r="AN263" s="106">
        <v>1.89800803097813E-7</v>
      </c>
    </row>
    <row r="264" spans="29:40">
      <c r="AC264" s="4" t="s">
        <v>1244</v>
      </c>
      <c r="AD264" s="4" t="s">
        <v>236</v>
      </c>
      <c r="AE264" s="4" t="s">
        <v>213</v>
      </c>
      <c r="AF264" s="4">
        <v>500</v>
      </c>
      <c r="AG264" s="4">
        <v>3.02</v>
      </c>
      <c r="AH264" s="4" t="s">
        <v>1446</v>
      </c>
      <c r="AI264" s="4">
        <v>0.5</v>
      </c>
      <c r="AJ264" s="4">
        <v>1</v>
      </c>
      <c r="AK264" s="4">
        <v>5.6418855370000003</v>
      </c>
      <c r="AL264" s="4">
        <v>6.7006117375058496</v>
      </c>
      <c r="AM264" s="4">
        <v>1.05872620050585</v>
      </c>
      <c r="AN264" s="4">
        <v>0.99846748183890099</v>
      </c>
    </row>
    <row r="265" spans="29:40">
      <c r="AC265" s="4" t="s">
        <v>1244</v>
      </c>
      <c r="AD265" s="4" t="s">
        <v>236</v>
      </c>
      <c r="AE265" s="4" t="s">
        <v>213</v>
      </c>
      <c r="AF265" s="4">
        <v>500</v>
      </c>
      <c r="AG265" s="4">
        <v>3.02</v>
      </c>
      <c r="AH265" s="4" t="s">
        <v>1446</v>
      </c>
      <c r="AI265" s="4">
        <v>0.5</v>
      </c>
      <c r="AJ265" s="4">
        <v>2</v>
      </c>
      <c r="AK265" s="4">
        <v>5.544971726</v>
      </c>
      <c r="AL265" s="4">
        <v>6.7006117375058496</v>
      </c>
      <c r="AM265" s="4">
        <v>1.1556400115058501</v>
      </c>
      <c r="AN265" s="4">
        <v>0.99846748183890099</v>
      </c>
    </row>
    <row r="266" spans="29:40">
      <c r="AC266" s="4" t="s">
        <v>1244</v>
      </c>
      <c r="AD266" s="4" t="s">
        <v>236</v>
      </c>
      <c r="AE266" s="4" t="s">
        <v>213</v>
      </c>
      <c r="AF266" s="4">
        <v>500</v>
      </c>
      <c r="AG266" s="4">
        <v>3.02</v>
      </c>
      <c r="AH266" s="4" t="s">
        <v>1446</v>
      </c>
      <c r="AI266" s="4">
        <v>0.5</v>
      </c>
      <c r="AJ266" s="4">
        <v>3</v>
      </c>
      <c r="AK266" s="4">
        <v>5.9320265929999998</v>
      </c>
      <c r="AL266" s="4">
        <v>6.7006117375058496</v>
      </c>
      <c r="AM266" s="4">
        <v>0.76858514450585103</v>
      </c>
      <c r="AN266" s="4">
        <v>0.99846748183890099</v>
      </c>
    </row>
    <row r="267" spans="29:40">
      <c r="AC267" s="4" t="s">
        <v>1105</v>
      </c>
      <c r="AD267" s="4" t="s">
        <v>137</v>
      </c>
      <c r="AE267" s="4" t="s">
        <v>206</v>
      </c>
      <c r="AF267" s="4">
        <v>0</v>
      </c>
      <c r="AG267" s="4">
        <v>0.01</v>
      </c>
      <c r="AH267" s="4" t="s">
        <v>1445</v>
      </c>
      <c r="AI267" s="4">
        <v>0</v>
      </c>
      <c r="AJ267" s="4">
        <v>1</v>
      </c>
      <c r="AK267" s="4">
        <v>0.45687320799999998</v>
      </c>
      <c r="AL267" s="4">
        <v>5.2953483434787299E-2</v>
      </c>
      <c r="AM267" s="4">
        <v>-0.40391972456521202</v>
      </c>
      <c r="AN267" s="106">
        <v>6.3303316015152797E-7</v>
      </c>
    </row>
    <row r="268" spans="29:40">
      <c r="AC268" s="4" t="s">
        <v>1105</v>
      </c>
      <c r="AD268" s="4" t="s">
        <v>137</v>
      </c>
      <c r="AE268" s="4" t="s">
        <v>206</v>
      </c>
      <c r="AF268" s="4">
        <v>0</v>
      </c>
      <c r="AG268" s="4">
        <v>0.01</v>
      </c>
      <c r="AH268" s="4" t="s">
        <v>1445</v>
      </c>
      <c r="AI268" s="4">
        <v>0</v>
      </c>
      <c r="AJ268" s="4">
        <v>2</v>
      </c>
      <c r="AK268" s="4">
        <v>0.42900411900000002</v>
      </c>
      <c r="AL268" s="4">
        <v>5.2953483434787299E-2</v>
      </c>
      <c r="AM268" s="4">
        <v>-0.37605063556521201</v>
      </c>
      <c r="AN268" s="106">
        <v>6.3303316015152797E-7</v>
      </c>
    </row>
    <row r="269" spans="29:40">
      <c r="AC269" s="4" t="s">
        <v>1105</v>
      </c>
      <c r="AD269" s="4" t="s">
        <v>137</v>
      </c>
      <c r="AE269" s="4" t="s">
        <v>206</v>
      </c>
      <c r="AF269" s="4">
        <v>0</v>
      </c>
      <c r="AG269" s="4">
        <v>0.01</v>
      </c>
      <c r="AH269" s="4" t="s">
        <v>1445</v>
      </c>
      <c r="AI269" s="4">
        <v>0</v>
      </c>
      <c r="AJ269" s="4">
        <v>3</v>
      </c>
      <c r="AK269" s="4">
        <v>0.46523574400000001</v>
      </c>
      <c r="AL269" s="4">
        <v>5.2953483434787299E-2</v>
      </c>
      <c r="AM269" s="4">
        <v>-0.412282260565212</v>
      </c>
      <c r="AN269" s="106">
        <v>6.3303316015152797E-7</v>
      </c>
    </row>
    <row r="270" spans="29:40">
      <c r="AC270" s="4" t="s">
        <v>1105</v>
      </c>
      <c r="AD270" s="4" t="s">
        <v>137</v>
      </c>
      <c r="AE270" s="4" t="s">
        <v>206</v>
      </c>
      <c r="AF270" s="4">
        <v>0</v>
      </c>
      <c r="AG270" s="4">
        <v>0.01</v>
      </c>
      <c r="AH270" s="4" t="s">
        <v>1446</v>
      </c>
      <c r="AI270" s="4">
        <v>200</v>
      </c>
      <c r="AJ270" s="4">
        <v>1</v>
      </c>
      <c r="AK270" s="4">
        <v>0.86964888900000004</v>
      </c>
      <c r="AL270" s="4">
        <v>0.962716032664648</v>
      </c>
      <c r="AM270" s="4">
        <v>9.3067143664648494E-2</v>
      </c>
      <c r="AN270" s="4">
        <v>9.7233500014225302E-2</v>
      </c>
    </row>
    <row r="271" spans="29:40">
      <c r="AC271" s="4" t="s">
        <v>1105</v>
      </c>
      <c r="AD271" s="4" t="s">
        <v>137</v>
      </c>
      <c r="AE271" s="4" t="s">
        <v>206</v>
      </c>
      <c r="AF271" s="4">
        <v>0</v>
      </c>
      <c r="AG271" s="4">
        <v>0.01</v>
      </c>
      <c r="AH271" s="4" t="s">
        <v>1446</v>
      </c>
      <c r="AI271" s="4">
        <v>200</v>
      </c>
      <c r="AJ271" s="4">
        <v>2</v>
      </c>
      <c r="AK271" s="4">
        <v>0.83469483899999997</v>
      </c>
      <c r="AL271" s="4">
        <v>0.962716032664648</v>
      </c>
      <c r="AM271" s="4">
        <v>0.12802119366464801</v>
      </c>
      <c r="AN271" s="4">
        <v>9.7233500014225302E-2</v>
      </c>
    </row>
    <row r="272" spans="29:40">
      <c r="AC272" s="4" t="s">
        <v>1105</v>
      </c>
      <c r="AD272" s="4" t="s">
        <v>137</v>
      </c>
      <c r="AE272" s="4" t="s">
        <v>206</v>
      </c>
      <c r="AF272" s="4">
        <v>0</v>
      </c>
      <c r="AG272" s="4">
        <v>0.01</v>
      </c>
      <c r="AH272" s="4" t="s">
        <v>1446</v>
      </c>
      <c r="AI272" s="4">
        <v>200</v>
      </c>
      <c r="AJ272" s="4">
        <v>3</v>
      </c>
      <c r="AK272" s="4">
        <v>0.77269601099999996</v>
      </c>
      <c r="AL272" s="4">
        <v>0.962716032664648</v>
      </c>
      <c r="AM272" s="4">
        <v>0.19002002166464799</v>
      </c>
      <c r="AN272" s="4">
        <v>9.7233500014225302E-2</v>
      </c>
    </row>
    <row r="273" spans="29:40">
      <c r="AC273" s="4" t="s">
        <v>1105</v>
      </c>
      <c r="AD273" s="4" t="s">
        <v>137</v>
      </c>
      <c r="AE273" s="4" t="s">
        <v>206</v>
      </c>
      <c r="AF273" s="4">
        <v>20</v>
      </c>
      <c r="AG273" s="4">
        <v>0.4</v>
      </c>
      <c r="AH273" s="4" t="s">
        <v>1445</v>
      </c>
      <c r="AI273" s="4">
        <v>0</v>
      </c>
      <c r="AJ273" s="4">
        <v>1</v>
      </c>
      <c r="AK273" s="4">
        <v>0.690741037</v>
      </c>
      <c r="AL273" s="4">
        <v>6.2414770798964299E-2</v>
      </c>
      <c r="AM273" s="4">
        <v>-0.62832626620103504</v>
      </c>
      <c r="AN273" s="4">
        <v>1.01182886280757E-3</v>
      </c>
    </row>
    <row r="274" spans="29:40">
      <c r="AC274" s="4" t="s">
        <v>1105</v>
      </c>
      <c r="AD274" s="4" t="s">
        <v>137</v>
      </c>
      <c r="AE274" s="4" t="s">
        <v>206</v>
      </c>
      <c r="AF274" s="4">
        <v>20</v>
      </c>
      <c r="AG274" s="4">
        <v>0.4</v>
      </c>
      <c r="AH274" s="4" t="s">
        <v>1445</v>
      </c>
      <c r="AI274" s="4">
        <v>0</v>
      </c>
      <c r="AJ274" s="4">
        <v>2</v>
      </c>
      <c r="AK274" s="4">
        <v>0.70273348499999999</v>
      </c>
      <c r="AL274" s="4">
        <v>6.2414770798964299E-2</v>
      </c>
      <c r="AM274" s="4">
        <v>-0.64031871420103503</v>
      </c>
      <c r="AN274" s="4">
        <v>1.01182886280757E-3</v>
      </c>
    </row>
    <row r="275" spans="29:40">
      <c r="AC275" s="4" t="s">
        <v>1105</v>
      </c>
      <c r="AD275" s="4" t="s">
        <v>137</v>
      </c>
      <c r="AE275" s="4" t="s">
        <v>206</v>
      </c>
      <c r="AF275" s="4">
        <v>20</v>
      </c>
      <c r="AG275" s="4">
        <v>0.4</v>
      </c>
      <c r="AH275" s="4" t="s">
        <v>1445</v>
      </c>
      <c r="AI275" s="4">
        <v>0</v>
      </c>
      <c r="AJ275" s="4">
        <v>3</v>
      </c>
      <c r="AK275" s="4">
        <v>0.79825590499999999</v>
      </c>
      <c r="AL275" s="4">
        <v>6.2414770798964299E-2</v>
      </c>
      <c r="AM275" s="4">
        <v>-0.73584113420103503</v>
      </c>
      <c r="AN275" s="4">
        <v>1.01182886280757E-3</v>
      </c>
    </row>
    <row r="276" spans="29:40">
      <c r="AC276" s="4" t="s">
        <v>1105</v>
      </c>
      <c r="AD276" s="4" t="s">
        <v>137</v>
      </c>
      <c r="AE276" s="4" t="s">
        <v>206</v>
      </c>
      <c r="AF276" s="4">
        <v>20</v>
      </c>
      <c r="AG276" s="4">
        <v>0.4</v>
      </c>
      <c r="AH276" s="4" t="s">
        <v>1446</v>
      </c>
      <c r="AI276" s="4">
        <v>200</v>
      </c>
      <c r="AJ276" s="4">
        <v>1</v>
      </c>
      <c r="AK276" s="4">
        <v>10.141287350000001</v>
      </c>
      <c r="AL276" s="4">
        <v>9.3554996832187491</v>
      </c>
      <c r="AM276" s="4">
        <v>-0.78578766678124401</v>
      </c>
      <c r="AN276" s="4">
        <v>0.99423065271742095</v>
      </c>
    </row>
    <row r="277" spans="29:40">
      <c r="AC277" s="4" t="s">
        <v>1105</v>
      </c>
      <c r="AD277" s="4" t="s">
        <v>137</v>
      </c>
      <c r="AE277" s="4" t="s">
        <v>206</v>
      </c>
      <c r="AF277" s="4">
        <v>20</v>
      </c>
      <c r="AG277" s="4">
        <v>0.4</v>
      </c>
      <c r="AH277" s="4" t="s">
        <v>1446</v>
      </c>
      <c r="AI277" s="4">
        <v>200</v>
      </c>
      <c r="AJ277" s="4">
        <v>2</v>
      </c>
      <c r="AK277" s="4">
        <v>9.951710941</v>
      </c>
      <c r="AL277" s="4">
        <v>9.3554996832187491</v>
      </c>
      <c r="AM277" s="4">
        <v>-0.59621125778124295</v>
      </c>
      <c r="AN277" s="4">
        <v>0.99423065271742095</v>
      </c>
    </row>
    <row r="278" spans="29:40">
      <c r="AC278" s="4" t="s">
        <v>1105</v>
      </c>
      <c r="AD278" s="4" t="s">
        <v>137</v>
      </c>
      <c r="AE278" s="4" t="s">
        <v>206</v>
      </c>
      <c r="AF278" s="4">
        <v>20</v>
      </c>
      <c r="AG278" s="4">
        <v>0.4</v>
      </c>
      <c r="AH278" s="4" t="s">
        <v>1446</v>
      </c>
      <c r="AI278" s="4">
        <v>200</v>
      </c>
      <c r="AJ278" s="4">
        <v>3</v>
      </c>
      <c r="AK278" s="4">
        <v>10.46547005</v>
      </c>
      <c r="AL278" s="4">
        <v>9.3554996832187491</v>
      </c>
      <c r="AM278" s="4">
        <v>-1.1099703667812399</v>
      </c>
      <c r="AN278" s="4">
        <v>0.99423065271742095</v>
      </c>
    </row>
    <row r="279" spans="29:40">
      <c r="AC279" s="4" t="s">
        <v>1105</v>
      </c>
      <c r="AD279" s="4" t="s">
        <v>137</v>
      </c>
      <c r="AE279" s="4" t="s">
        <v>206</v>
      </c>
      <c r="AF279" s="4">
        <v>500</v>
      </c>
      <c r="AG279" s="4">
        <v>3.02</v>
      </c>
      <c r="AH279" s="4" t="s">
        <v>1445</v>
      </c>
      <c r="AI279" s="4">
        <v>0</v>
      </c>
      <c r="AJ279" s="4">
        <v>1</v>
      </c>
      <c r="AK279" s="4">
        <v>0.69038934299999999</v>
      </c>
      <c r="AL279" s="4">
        <v>0.56366258003269498</v>
      </c>
      <c r="AM279" s="4">
        <v>-0.12672676296730401</v>
      </c>
      <c r="AN279" s="4">
        <v>5.4583787393120302E-2</v>
      </c>
    </row>
    <row r="280" spans="29:40">
      <c r="AC280" s="4" t="s">
        <v>1105</v>
      </c>
      <c r="AD280" s="4" t="s">
        <v>137</v>
      </c>
      <c r="AE280" s="4" t="s">
        <v>206</v>
      </c>
      <c r="AF280" s="4">
        <v>500</v>
      </c>
      <c r="AG280" s="4">
        <v>3.02</v>
      </c>
      <c r="AH280" s="4" t="s">
        <v>1445</v>
      </c>
      <c r="AI280" s="4">
        <v>0</v>
      </c>
      <c r="AJ280" s="4">
        <v>2</v>
      </c>
      <c r="AK280" s="4">
        <v>0.7255201</v>
      </c>
      <c r="AL280" s="4">
        <v>0.56366258003269498</v>
      </c>
      <c r="AM280" s="4">
        <v>-0.16185751996730399</v>
      </c>
      <c r="AN280" s="4">
        <v>5.4583787393120302E-2</v>
      </c>
    </row>
    <row r="281" spans="29:40">
      <c r="AC281" s="4" t="s">
        <v>1105</v>
      </c>
      <c r="AD281" s="4" t="s">
        <v>137</v>
      </c>
      <c r="AE281" s="4" t="s">
        <v>206</v>
      </c>
      <c r="AF281" s="4">
        <v>500</v>
      </c>
      <c r="AG281" s="4">
        <v>3.02</v>
      </c>
      <c r="AH281" s="4" t="s">
        <v>1445</v>
      </c>
      <c r="AI281" s="4">
        <v>0</v>
      </c>
      <c r="AJ281" s="4">
        <v>3</v>
      </c>
      <c r="AK281" s="4">
        <v>0.65089152500000003</v>
      </c>
      <c r="AL281" s="4">
        <v>0.56366258003269498</v>
      </c>
      <c r="AM281" s="4">
        <v>-8.7228944967304101E-2</v>
      </c>
      <c r="AN281" s="4">
        <v>5.4583787393120302E-2</v>
      </c>
    </row>
    <row r="282" spans="29:40">
      <c r="AC282" s="4" t="s">
        <v>1105</v>
      </c>
      <c r="AD282" s="4" t="s">
        <v>137</v>
      </c>
      <c r="AE282" s="4" t="s">
        <v>206</v>
      </c>
      <c r="AF282" s="4">
        <v>500</v>
      </c>
      <c r="AG282" s="4">
        <v>3.02</v>
      </c>
      <c r="AH282" s="4" t="s">
        <v>1446</v>
      </c>
      <c r="AI282" s="4">
        <v>200</v>
      </c>
      <c r="AJ282" s="4">
        <v>1</v>
      </c>
      <c r="AK282" s="4">
        <v>10.41681722</v>
      </c>
      <c r="AL282" s="4">
        <v>9.40852837926424</v>
      </c>
      <c r="AM282" s="4">
        <v>-1.00828884073575</v>
      </c>
      <c r="AN282" s="4">
        <v>0.99989821086557196</v>
      </c>
    </row>
    <row r="283" spans="29:40">
      <c r="AC283" s="4" t="s">
        <v>1105</v>
      </c>
      <c r="AD283" s="4" t="s">
        <v>137</v>
      </c>
      <c r="AE283" s="4" t="s">
        <v>206</v>
      </c>
      <c r="AF283" s="4">
        <v>500</v>
      </c>
      <c r="AG283" s="4">
        <v>3.02</v>
      </c>
      <c r="AH283" s="4" t="s">
        <v>1446</v>
      </c>
      <c r="AI283" s="4">
        <v>200</v>
      </c>
      <c r="AJ283" s="4">
        <v>2</v>
      </c>
      <c r="AK283" s="4">
        <v>10.412367570000001</v>
      </c>
      <c r="AL283" s="4">
        <v>9.40852837926424</v>
      </c>
      <c r="AM283" s="4">
        <v>-1.00383919073575</v>
      </c>
      <c r="AN283" s="4">
        <v>0.99989821086557196</v>
      </c>
    </row>
    <row r="284" spans="29:40">
      <c r="AC284" s="4" t="s">
        <v>1105</v>
      </c>
      <c r="AD284" s="4" t="s">
        <v>137</v>
      </c>
      <c r="AE284" s="4" t="s">
        <v>206</v>
      </c>
      <c r="AF284" s="4">
        <v>500</v>
      </c>
      <c r="AG284" s="4">
        <v>3.02</v>
      </c>
      <c r="AH284" s="4" t="s">
        <v>1446</v>
      </c>
      <c r="AI284" s="4">
        <v>200</v>
      </c>
      <c r="AJ284" s="4">
        <v>3</v>
      </c>
      <c r="AK284" s="4">
        <v>11.05318027</v>
      </c>
      <c r="AL284" s="4">
        <v>9.40852837926424</v>
      </c>
      <c r="AM284" s="4">
        <v>-1.6446518907357499</v>
      </c>
      <c r="AN284" s="4">
        <v>0.99989821086557196</v>
      </c>
    </row>
    <row r="285" spans="29:40">
      <c r="AC285" s="4" t="s">
        <v>1104</v>
      </c>
      <c r="AD285" s="4" t="s">
        <v>235</v>
      </c>
      <c r="AE285" s="4" t="s">
        <v>206</v>
      </c>
      <c r="AF285" s="4">
        <v>0</v>
      </c>
      <c r="AG285" s="4">
        <v>0.01</v>
      </c>
      <c r="AH285" s="4" t="s">
        <v>1445</v>
      </c>
      <c r="AI285" s="4">
        <v>0</v>
      </c>
      <c r="AJ285" s="4">
        <v>1</v>
      </c>
      <c r="AK285" s="4">
        <v>0.12612066899999999</v>
      </c>
      <c r="AL285" s="4">
        <v>3.3063312912413198E-2</v>
      </c>
      <c r="AM285" s="4">
        <v>-9.3057356087586696E-2</v>
      </c>
      <c r="AN285" s="106">
        <v>5.74218793584864E-7</v>
      </c>
    </row>
    <row r="286" spans="29:40">
      <c r="AC286" s="4" t="s">
        <v>1104</v>
      </c>
      <c r="AD286" s="4" t="s">
        <v>235</v>
      </c>
      <c r="AE286" s="4" t="s">
        <v>206</v>
      </c>
      <c r="AF286" s="4">
        <v>0</v>
      </c>
      <c r="AG286" s="4">
        <v>0.01</v>
      </c>
      <c r="AH286" s="4" t="s">
        <v>1445</v>
      </c>
      <c r="AI286" s="4">
        <v>0</v>
      </c>
      <c r="AJ286" s="4">
        <v>2</v>
      </c>
      <c r="AK286" s="4">
        <v>0.13985138499999999</v>
      </c>
      <c r="AL286" s="4">
        <v>3.3063312912413198E-2</v>
      </c>
      <c r="AM286" s="4">
        <v>-0.10678807208758601</v>
      </c>
      <c r="AN286" s="106">
        <v>5.74218793584864E-7</v>
      </c>
    </row>
    <row r="287" spans="29:40">
      <c r="AC287" s="4" t="s">
        <v>1104</v>
      </c>
      <c r="AD287" s="4" t="s">
        <v>235</v>
      </c>
      <c r="AE287" s="4" t="s">
        <v>206</v>
      </c>
      <c r="AF287" s="4">
        <v>0</v>
      </c>
      <c r="AG287" s="4">
        <v>0.01</v>
      </c>
      <c r="AH287" s="4" t="s">
        <v>1445</v>
      </c>
      <c r="AI287" s="4">
        <v>0</v>
      </c>
      <c r="AJ287" s="4">
        <v>3</v>
      </c>
      <c r="AK287" s="4">
        <v>0.131326427</v>
      </c>
      <c r="AL287" s="4">
        <v>3.3063312912413198E-2</v>
      </c>
      <c r="AM287" s="4">
        <v>-9.82631140875867E-2</v>
      </c>
      <c r="AN287" s="106">
        <v>5.74218793584864E-7</v>
      </c>
    </row>
    <row r="288" spans="29:40">
      <c r="AC288" s="4" t="s">
        <v>1104</v>
      </c>
      <c r="AD288" s="4" t="s">
        <v>235</v>
      </c>
      <c r="AE288" s="4" t="s">
        <v>206</v>
      </c>
      <c r="AF288" s="4">
        <v>0</v>
      </c>
      <c r="AG288" s="4">
        <v>0.01</v>
      </c>
      <c r="AH288" s="4" t="s">
        <v>1446</v>
      </c>
      <c r="AI288" s="4">
        <v>200</v>
      </c>
      <c r="AJ288" s="4">
        <v>1</v>
      </c>
      <c r="AK288" s="4">
        <v>0.93513061500000005</v>
      </c>
      <c r="AL288" s="4">
        <v>0.93430297089707803</v>
      </c>
      <c r="AM288" s="4">
        <v>-8.2764410292157599E-4</v>
      </c>
      <c r="AN288" s="4">
        <v>8.9003691141897004E-2</v>
      </c>
    </row>
    <row r="289" spans="29:40">
      <c r="AC289" s="4" t="s">
        <v>1104</v>
      </c>
      <c r="AD289" s="4" t="s">
        <v>235</v>
      </c>
      <c r="AE289" s="4" t="s">
        <v>206</v>
      </c>
      <c r="AF289" s="4">
        <v>0</v>
      </c>
      <c r="AG289" s="4">
        <v>0.01</v>
      </c>
      <c r="AH289" s="4" t="s">
        <v>1446</v>
      </c>
      <c r="AI289" s="4">
        <v>200</v>
      </c>
      <c r="AJ289" s="4">
        <v>2</v>
      </c>
      <c r="AK289" s="4">
        <v>0.89305364499999995</v>
      </c>
      <c r="AL289" s="4">
        <v>0.93430297089707803</v>
      </c>
      <c r="AM289" s="4">
        <v>4.1249325897078498E-2</v>
      </c>
      <c r="AN289" s="4">
        <v>8.9003691141897004E-2</v>
      </c>
    </row>
    <row r="290" spans="29:40">
      <c r="AC290" s="4" t="s">
        <v>1104</v>
      </c>
      <c r="AD290" s="4" t="s">
        <v>235</v>
      </c>
      <c r="AE290" s="4" t="s">
        <v>206</v>
      </c>
      <c r="AF290" s="4">
        <v>0</v>
      </c>
      <c r="AG290" s="4">
        <v>0.01</v>
      </c>
      <c r="AH290" s="4" t="s">
        <v>1446</v>
      </c>
      <c r="AI290" s="4">
        <v>200</v>
      </c>
      <c r="AJ290" s="4">
        <v>3</v>
      </c>
      <c r="AK290" s="4">
        <v>0.89454590899999997</v>
      </c>
      <c r="AL290" s="4">
        <v>0.93430297089707803</v>
      </c>
      <c r="AM290" s="4">
        <v>3.9757061897078498E-2</v>
      </c>
      <c r="AN290" s="4">
        <v>8.9003691141897004E-2</v>
      </c>
    </row>
    <row r="291" spans="29:40">
      <c r="AC291" s="4" t="s">
        <v>1104</v>
      </c>
      <c r="AD291" s="4" t="s">
        <v>235</v>
      </c>
      <c r="AE291" s="4" t="s">
        <v>206</v>
      </c>
      <c r="AF291" s="4">
        <v>20</v>
      </c>
      <c r="AG291" s="4">
        <v>0.4</v>
      </c>
      <c r="AH291" s="4" t="s">
        <v>1445</v>
      </c>
      <c r="AI291" s="4">
        <v>0</v>
      </c>
      <c r="AJ291" s="4">
        <v>1</v>
      </c>
      <c r="AK291" s="4">
        <v>0.211020344</v>
      </c>
      <c r="AL291" s="4">
        <v>4.2352166532491603E-2</v>
      </c>
      <c r="AM291" s="4">
        <v>-0.16866817746750801</v>
      </c>
      <c r="AN291" s="4">
        <v>9.1790726944757095E-4</v>
      </c>
    </row>
    <row r="292" spans="29:40">
      <c r="AC292" s="4" t="s">
        <v>1104</v>
      </c>
      <c r="AD292" s="4" t="s">
        <v>235</v>
      </c>
      <c r="AE292" s="4" t="s">
        <v>206</v>
      </c>
      <c r="AF292" s="4">
        <v>20</v>
      </c>
      <c r="AG292" s="4">
        <v>0.4</v>
      </c>
      <c r="AH292" s="4" t="s">
        <v>1445</v>
      </c>
      <c r="AI292" s="4">
        <v>0</v>
      </c>
      <c r="AJ292" s="4">
        <v>2</v>
      </c>
      <c r="AK292" s="4">
        <v>0.198603109</v>
      </c>
      <c r="AL292" s="4">
        <v>4.2352166532491603E-2</v>
      </c>
      <c r="AM292" s="4">
        <v>-0.15625094246750801</v>
      </c>
      <c r="AN292" s="4">
        <v>9.1790726944757095E-4</v>
      </c>
    </row>
    <row r="293" spans="29:40">
      <c r="AC293" s="4" t="s">
        <v>1104</v>
      </c>
      <c r="AD293" s="4" t="s">
        <v>235</v>
      </c>
      <c r="AE293" s="4" t="s">
        <v>206</v>
      </c>
      <c r="AF293" s="4">
        <v>20</v>
      </c>
      <c r="AG293" s="4">
        <v>0.4</v>
      </c>
      <c r="AH293" s="4" t="s">
        <v>1445</v>
      </c>
      <c r="AI293" s="4">
        <v>0</v>
      </c>
      <c r="AJ293" s="4">
        <v>3</v>
      </c>
      <c r="AK293" s="4">
        <v>0.233575738</v>
      </c>
      <c r="AL293" s="4">
        <v>4.2352166532491603E-2</v>
      </c>
      <c r="AM293" s="4">
        <v>-0.19122357146750801</v>
      </c>
      <c r="AN293" s="4">
        <v>9.1790726944757095E-4</v>
      </c>
    </row>
    <row r="294" spans="29:40">
      <c r="AC294" s="4" t="s">
        <v>1104</v>
      </c>
      <c r="AD294" s="4" t="s">
        <v>235</v>
      </c>
      <c r="AE294" s="4" t="s">
        <v>206</v>
      </c>
      <c r="AF294" s="4">
        <v>20</v>
      </c>
      <c r="AG294" s="4">
        <v>0.4</v>
      </c>
      <c r="AH294" s="4" t="s">
        <v>1446</v>
      </c>
      <c r="AI294" s="4">
        <v>200</v>
      </c>
      <c r="AJ294" s="4">
        <v>1</v>
      </c>
      <c r="AK294" s="4">
        <v>11.98227634</v>
      </c>
      <c r="AL294" s="4">
        <v>10.0946254955368</v>
      </c>
      <c r="AM294" s="4">
        <v>-1.8876508444631199</v>
      </c>
      <c r="AN294" s="4">
        <v>0.99364348311133399</v>
      </c>
    </row>
    <row r="295" spans="29:40">
      <c r="AC295" s="4" t="s">
        <v>1104</v>
      </c>
      <c r="AD295" s="4" t="s">
        <v>235</v>
      </c>
      <c r="AE295" s="4" t="s">
        <v>206</v>
      </c>
      <c r="AF295" s="4">
        <v>20</v>
      </c>
      <c r="AG295" s="4">
        <v>0.4</v>
      </c>
      <c r="AH295" s="4" t="s">
        <v>1446</v>
      </c>
      <c r="AI295" s="4">
        <v>200</v>
      </c>
      <c r="AJ295" s="4">
        <v>2</v>
      </c>
      <c r="AK295" s="4">
        <v>11.824749410000001</v>
      </c>
      <c r="AL295" s="4">
        <v>10.0946254955368</v>
      </c>
      <c r="AM295" s="4">
        <v>-1.73012391446312</v>
      </c>
      <c r="AN295" s="4">
        <v>0.99364348311133399</v>
      </c>
    </row>
    <row r="296" spans="29:40">
      <c r="AC296" s="4" t="s">
        <v>1104</v>
      </c>
      <c r="AD296" s="4" t="s">
        <v>235</v>
      </c>
      <c r="AE296" s="4" t="s">
        <v>206</v>
      </c>
      <c r="AF296" s="4">
        <v>20</v>
      </c>
      <c r="AG296" s="4">
        <v>0.4</v>
      </c>
      <c r="AH296" s="4" t="s">
        <v>1446</v>
      </c>
      <c r="AI296" s="4">
        <v>200</v>
      </c>
      <c r="AJ296" s="4">
        <v>3</v>
      </c>
      <c r="AK296" s="4">
        <v>11.937697160000001</v>
      </c>
      <c r="AL296" s="4">
        <v>10.0946254955368</v>
      </c>
      <c r="AM296" s="4">
        <v>-1.84307166446312</v>
      </c>
      <c r="AN296" s="4">
        <v>0.99364348311133399</v>
      </c>
    </row>
    <row r="297" spans="29:40">
      <c r="AC297" s="4" t="s">
        <v>1104</v>
      </c>
      <c r="AD297" s="4" t="s">
        <v>235</v>
      </c>
      <c r="AE297" s="4" t="s">
        <v>206</v>
      </c>
      <c r="AF297" s="4">
        <v>500</v>
      </c>
      <c r="AG297" s="4">
        <v>3.02</v>
      </c>
      <c r="AH297" s="4" t="s">
        <v>1445</v>
      </c>
      <c r="AI297" s="4">
        <v>0</v>
      </c>
      <c r="AJ297" s="4">
        <v>1</v>
      </c>
      <c r="AK297" s="4">
        <v>0.32910108700000001</v>
      </c>
      <c r="AL297" s="4">
        <v>0.53697299079299299</v>
      </c>
      <c r="AM297" s="4">
        <v>0.207871903792993</v>
      </c>
      <c r="AN297" s="4">
        <v>4.9764842337420699E-2</v>
      </c>
    </row>
    <row r="298" spans="29:40">
      <c r="AC298" s="4" t="s">
        <v>1104</v>
      </c>
      <c r="AD298" s="4" t="s">
        <v>235</v>
      </c>
      <c r="AE298" s="4" t="s">
        <v>206</v>
      </c>
      <c r="AF298" s="4">
        <v>500</v>
      </c>
      <c r="AG298" s="4">
        <v>3.02</v>
      </c>
      <c r="AH298" s="4" t="s">
        <v>1445</v>
      </c>
      <c r="AI298" s="4">
        <v>0</v>
      </c>
      <c r="AJ298" s="4">
        <v>2</v>
      </c>
      <c r="AK298" s="4">
        <v>0.33355800499999999</v>
      </c>
      <c r="AL298" s="4">
        <v>0.53697299079299299</v>
      </c>
      <c r="AM298" s="4">
        <v>0.203414985792993</v>
      </c>
      <c r="AN298" s="4">
        <v>4.9764842337420699E-2</v>
      </c>
    </row>
    <row r="299" spans="29:40">
      <c r="AC299" s="4" t="s">
        <v>1104</v>
      </c>
      <c r="AD299" s="4" t="s">
        <v>235</v>
      </c>
      <c r="AE299" s="4" t="s">
        <v>206</v>
      </c>
      <c r="AF299" s="4">
        <v>500</v>
      </c>
      <c r="AG299" s="4">
        <v>3.02</v>
      </c>
      <c r="AH299" s="4" t="s">
        <v>1445</v>
      </c>
      <c r="AI299" s="4">
        <v>0</v>
      </c>
      <c r="AJ299" s="4">
        <v>3</v>
      </c>
      <c r="AK299" s="4">
        <v>0.33852574200000002</v>
      </c>
      <c r="AL299" s="4">
        <v>0.53697299079299299</v>
      </c>
      <c r="AM299" s="4">
        <v>0.198447248792993</v>
      </c>
      <c r="AN299" s="4">
        <v>4.9764842337420699E-2</v>
      </c>
    </row>
    <row r="300" spans="29:40">
      <c r="AC300" s="4" t="s">
        <v>1104</v>
      </c>
      <c r="AD300" s="4" t="s">
        <v>235</v>
      </c>
      <c r="AE300" s="4" t="s">
        <v>206</v>
      </c>
      <c r="AF300" s="4">
        <v>500</v>
      </c>
      <c r="AG300" s="4">
        <v>3.02</v>
      </c>
      <c r="AH300" s="4" t="s">
        <v>1446</v>
      </c>
      <c r="AI300" s="4">
        <v>200</v>
      </c>
      <c r="AJ300" s="4">
        <v>1</v>
      </c>
      <c r="AK300" s="4">
        <v>10.97938665</v>
      </c>
      <c r="AL300" s="4">
        <v>10.157854895165499</v>
      </c>
      <c r="AM300" s="4">
        <v>-0.82153175483443497</v>
      </c>
      <c r="AN300" s="4">
        <v>0.99988778627561503</v>
      </c>
    </row>
    <row r="301" spans="29:40">
      <c r="AC301" s="4" t="s">
        <v>1104</v>
      </c>
      <c r="AD301" s="4" t="s">
        <v>235</v>
      </c>
      <c r="AE301" s="4" t="s">
        <v>206</v>
      </c>
      <c r="AF301" s="4">
        <v>500</v>
      </c>
      <c r="AG301" s="4">
        <v>3.02</v>
      </c>
      <c r="AH301" s="4" t="s">
        <v>1446</v>
      </c>
      <c r="AI301" s="4">
        <v>200</v>
      </c>
      <c r="AJ301" s="4">
        <v>2</v>
      </c>
      <c r="AK301" s="4">
        <v>11.338564379999999</v>
      </c>
      <c r="AL301" s="4">
        <v>10.157854895165499</v>
      </c>
      <c r="AM301" s="4">
        <v>-1.1807094848344299</v>
      </c>
      <c r="AN301" s="4">
        <v>0.99988778627561503</v>
      </c>
    </row>
    <row r="302" spans="29:40">
      <c r="AC302" s="4" t="s">
        <v>1104</v>
      </c>
      <c r="AD302" s="4" t="s">
        <v>235</v>
      </c>
      <c r="AE302" s="4" t="s">
        <v>206</v>
      </c>
      <c r="AF302" s="4">
        <v>500</v>
      </c>
      <c r="AG302" s="4">
        <v>3.02</v>
      </c>
      <c r="AH302" s="4" t="s">
        <v>1446</v>
      </c>
      <c r="AI302" s="4">
        <v>200</v>
      </c>
      <c r="AJ302" s="4">
        <v>3</v>
      </c>
      <c r="AK302" s="4">
        <v>11.448797219999999</v>
      </c>
      <c r="AL302" s="4">
        <v>10.157854895165499</v>
      </c>
      <c r="AM302" s="4">
        <v>-1.2909423248344301</v>
      </c>
      <c r="AN302" s="4">
        <v>0.99988778627561503</v>
      </c>
    </row>
    <row r="303" spans="29:40">
      <c r="AC303" s="4" t="s">
        <v>1109</v>
      </c>
      <c r="AD303" s="4" t="s">
        <v>137</v>
      </c>
      <c r="AE303" s="4" t="s">
        <v>214</v>
      </c>
      <c r="AF303" s="4">
        <v>0</v>
      </c>
      <c r="AG303" s="4">
        <v>0.01</v>
      </c>
      <c r="AH303" s="4" t="s">
        <v>1445</v>
      </c>
      <c r="AI303" s="4">
        <v>0</v>
      </c>
      <c r="AJ303" s="4">
        <v>1</v>
      </c>
      <c r="AK303" s="4">
        <v>0.100572804</v>
      </c>
      <c r="AL303" s="4">
        <v>5.2948128629093198E-2</v>
      </c>
      <c r="AM303" s="4">
        <v>-4.7624675370906699E-2</v>
      </c>
      <c r="AN303" s="106">
        <v>6.07265619041268E-8</v>
      </c>
    </row>
    <row r="304" spans="29:40">
      <c r="AC304" s="4" t="s">
        <v>1109</v>
      </c>
      <c r="AD304" s="4" t="s">
        <v>137</v>
      </c>
      <c r="AE304" s="4" t="s">
        <v>214</v>
      </c>
      <c r="AF304" s="4">
        <v>0</v>
      </c>
      <c r="AG304" s="4">
        <v>0.01</v>
      </c>
      <c r="AH304" s="4" t="s">
        <v>1445</v>
      </c>
      <c r="AI304" s="4">
        <v>0</v>
      </c>
      <c r="AJ304" s="4">
        <v>2</v>
      </c>
      <c r="AK304" s="4">
        <v>0.112981225</v>
      </c>
      <c r="AL304" s="4">
        <v>5.2948128629093198E-2</v>
      </c>
      <c r="AM304" s="4">
        <v>-6.0033096370906702E-2</v>
      </c>
      <c r="AN304" s="106">
        <v>6.07265619041268E-8</v>
      </c>
    </row>
    <row r="305" spans="29:40">
      <c r="AC305" s="4" t="s">
        <v>1109</v>
      </c>
      <c r="AD305" s="4" t="s">
        <v>137</v>
      </c>
      <c r="AE305" s="4" t="s">
        <v>214</v>
      </c>
      <c r="AF305" s="4">
        <v>0</v>
      </c>
      <c r="AG305" s="4">
        <v>0.01</v>
      </c>
      <c r="AH305" s="4" t="s">
        <v>1445</v>
      </c>
      <c r="AI305" s="4">
        <v>0</v>
      </c>
      <c r="AJ305" s="4">
        <v>3</v>
      </c>
      <c r="AK305" s="4">
        <v>0.10347833300000001</v>
      </c>
      <c r="AL305" s="4">
        <v>5.2948128629093198E-2</v>
      </c>
      <c r="AM305" s="4">
        <v>-5.0530204370906703E-2</v>
      </c>
      <c r="AN305" s="106">
        <v>6.07265619041268E-8</v>
      </c>
    </row>
    <row r="306" spans="29:40">
      <c r="AC306" s="4" t="s">
        <v>1109</v>
      </c>
      <c r="AD306" s="4" t="s">
        <v>137</v>
      </c>
      <c r="AE306" s="4" t="s">
        <v>214</v>
      </c>
      <c r="AF306" s="4">
        <v>0</v>
      </c>
      <c r="AG306" s="4">
        <v>0.01</v>
      </c>
      <c r="AH306" s="4" t="s">
        <v>1446</v>
      </c>
      <c r="AI306" s="4">
        <v>100</v>
      </c>
      <c r="AJ306" s="4">
        <v>1</v>
      </c>
      <c r="AK306" s="4">
        <v>0.40980408400000001</v>
      </c>
      <c r="AL306" s="4">
        <v>0.112301608822777</v>
      </c>
      <c r="AM306" s="4">
        <v>-0.297502475177222</v>
      </c>
      <c r="AN306" s="4">
        <v>6.3435940467905299E-3</v>
      </c>
    </row>
    <row r="307" spans="29:40">
      <c r="AC307" s="4" t="s">
        <v>1109</v>
      </c>
      <c r="AD307" s="4" t="s">
        <v>137</v>
      </c>
      <c r="AE307" s="4" t="s">
        <v>214</v>
      </c>
      <c r="AF307" s="4">
        <v>0</v>
      </c>
      <c r="AG307" s="4">
        <v>0.01</v>
      </c>
      <c r="AH307" s="4" t="s">
        <v>1446</v>
      </c>
      <c r="AI307" s="4">
        <v>100</v>
      </c>
      <c r="AJ307" s="4">
        <v>2</v>
      </c>
      <c r="AK307" s="4">
        <v>0.33522023000000001</v>
      </c>
      <c r="AL307" s="4">
        <v>0.112301608822777</v>
      </c>
      <c r="AM307" s="4">
        <v>-0.222918621177222</v>
      </c>
      <c r="AN307" s="4">
        <v>6.3435940467905299E-3</v>
      </c>
    </row>
    <row r="308" spans="29:40">
      <c r="AC308" s="4" t="s">
        <v>1109</v>
      </c>
      <c r="AD308" s="4" t="s">
        <v>137</v>
      </c>
      <c r="AE308" s="4" t="s">
        <v>214</v>
      </c>
      <c r="AF308" s="4">
        <v>0</v>
      </c>
      <c r="AG308" s="4">
        <v>0.01</v>
      </c>
      <c r="AH308" s="4" t="s">
        <v>1446</v>
      </c>
      <c r="AI308" s="4">
        <v>100</v>
      </c>
      <c r="AJ308" s="4">
        <v>3</v>
      </c>
      <c r="AK308" s="4">
        <v>0.39882462400000002</v>
      </c>
      <c r="AL308" s="4">
        <v>0.112301608822777</v>
      </c>
      <c r="AM308" s="4">
        <v>-0.28652301517722201</v>
      </c>
      <c r="AN308" s="4">
        <v>6.3435940467905299E-3</v>
      </c>
    </row>
    <row r="309" spans="29:40">
      <c r="AC309" s="4" t="s">
        <v>1109</v>
      </c>
      <c r="AD309" s="4" t="s">
        <v>137</v>
      </c>
      <c r="AE309" s="4" t="s">
        <v>214</v>
      </c>
      <c r="AF309" s="4">
        <v>20</v>
      </c>
      <c r="AG309" s="4">
        <v>0.4</v>
      </c>
      <c r="AH309" s="4" t="s">
        <v>1445</v>
      </c>
      <c r="AI309" s="4">
        <v>0</v>
      </c>
      <c r="AJ309" s="4">
        <v>1</v>
      </c>
      <c r="AK309" s="4">
        <v>0.118547244</v>
      </c>
      <c r="AL309" s="4">
        <v>5.3856576321260501E-2</v>
      </c>
      <c r="AM309" s="4">
        <v>-6.4690667678739405E-2</v>
      </c>
      <c r="AN309" s="106">
        <v>9.71530653117589E-5</v>
      </c>
    </row>
    <row r="310" spans="29:40">
      <c r="AC310" s="4" t="s">
        <v>1109</v>
      </c>
      <c r="AD310" s="4" t="s">
        <v>137</v>
      </c>
      <c r="AE310" s="4" t="s">
        <v>214</v>
      </c>
      <c r="AF310" s="4">
        <v>20</v>
      </c>
      <c r="AG310" s="4">
        <v>0.4</v>
      </c>
      <c r="AH310" s="4" t="s">
        <v>1445</v>
      </c>
      <c r="AI310" s="4">
        <v>0</v>
      </c>
      <c r="AJ310" s="4">
        <v>2</v>
      </c>
      <c r="AK310" s="4">
        <v>0.12696600699999999</v>
      </c>
      <c r="AL310" s="4">
        <v>5.3856576321260501E-2</v>
      </c>
      <c r="AM310" s="4">
        <v>-7.3109430678739401E-2</v>
      </c>
      <c r="AN310" s="106">
        <v>9.71530653117589E-5</v>
      </c>
    </row>
    <row r="311" spans="29:40">
      <c r="AC311" s="4" t="s">
        <v>1109</v>
      </c>
      <c r="AD311" s="4" t="s">
        <v>137</v>
      </c>
      <c r="AE311" s="4" t="s">
        <v>214</v>
      </c>
      <c r="AF311" s="4">
        <v>20</v>
      </c>
      <c r="AG311" s="4">
        <v>0.4</v>
      </c>
      <c r="AH311" s="4" t="s">
        <v>1445</v>
      </c>
      <c r="AI311" s="4">
        <v>0</v>
      </c>
      <c r="AJ311" s="4">
        <v>3</v>
      </c>
      <c r="AK311" s="4">
        <v>0.123432371</v>
      </c>
      <c r="AL311" s="4">
        <v>5.3856576321260501E-2</v>
      </c>
      <c r="AM311" s="4">
        <v>-6.9575794678739394E-2</v>
      </c>
      <c r="AN311" s="106">
        <v>9.71530653117589E-5</v>
      </c>
    </row>
    <row r="312" spans="29:40">
      <c r="AC312" s="4" t="s">
        <v>1109</v>
      </c>
      <c r="AD312" s="4" t="s">
        <v>137</v>
      </c>
      <c r="AE312" s="4" t="s">
        <v>214</v>
      </c>
      <c r="AF312" s="4">
        <v>20</v>
      </c>
      <c r="AG312" s="4">
        <v>0.4</v>
      </c>
      <c r="AH312" s="4" t="s">
        <v>1446</v>
      </c>
      <c r="AI312" s="4">
        <v>100</v>
      </c>
      <c r="AJ312" s="4">
        <v>1</v>
      </c>
      <c r="AK312" s="4">
        <v>8.4634319439999999</v>
      </c>
      <c r="AL312" s="4">
        <v>8.5751597016393895</v>
      </c>
      <c r="AM312" s="4">
        <v>0.111727757639389</v>
      </c>
      <c r="AN312" s="4">
        <v>0.91083010639558804</v>
      </c>
    </row>
    <row r="313" spans="29:40">
      <c r="AC313" s="4" t="s">
        <v>1109</v>
      </c>
      <c r="AD313" s="4" t="s">
        <v>137</v>
      </c>
      <c r="AE313" s="4" t="s">
        <v>214</v>
      </c>
      <c r="AF313" s="4">
        <v>20</v>
      </c>
      <c r="AG313" s="4">
        <v>0.4</v>
      </c>
      <c r="AH313" s="4" t="s">
        <v>1446</v>
      </c>
      <c r="AI313" s="4">
        <v>100</v>
      </c>
      <c r="AJ313" s="4">
        <v>2</v>
      </c>
      <c r="AK313" s="4">
        <v>8.5030949109999998</v>
      </c>
      <c r="AL313" s="4">
        <v>8.5751597016393895</v>
      </c>
      <c r="AM313" s="4">
        <v>7.20647906393896E-2</v>
      </c>
      <c r="AN313" s="4">
        <v>0.91083010639558804</v>
      </c>
    </row>
    <row r="314" spans="29:40">
      <c r="AC314" s="4" t="s">
        <v>1109</v>
      </c>
      <c r="AD314" s="4" t="s">
        <v>137</v>
      </c>
      <c r="AE314" s="4" t="s">
        <v>214</v>
      </c>
      <c r="AF314" s="4">
        <v>20</v>
      </c>
      <c r="AG314" s="4">
        <v>0.4</v>
      </c>
      <c r="AH314" s="4" t="s">
        <v>1446</v>
      </c>
      <c r="AI314" s="4">
        <v>100</v>
      </c>
      <c r="AJ314" s="4">
        <v>3</v>
      </c>
      <c r="AK314" s="4">
        <v>8.8207023309999997</v>
      </c>
      <c r="AL314" s="4">
        <v>8.5751597016393895</v>
      </c>
      <c r="AM314" s="4">
        <v>-0.24554262936061</v>
      </c>
      <c r="AN314" s="4">
        <v>0.91083010639558804</v>
      </c>
    </row>
    <row r="315" spans="29:40">
      <c r="AC315" s="4" t="s">
        <v>1109</v>
      </c>
      <c r="AD315" s="4" t="s">
        <v>137</v>
      </c>
      <c r="AE315" s="4" t="s">
        <v>214</v>
      </c>
      <c r="AF315" s="4">
        <v>500</v>
      </c>
      <c r="AG315" s="4">
        <v>3.02</v>
      </c>
      <c r="AH315" s="4" t="s">
        <v>1445</v>
      </c>
      <c r="AI315" s="4">
        <v>0</v>
      </c>
      <c r="AJ315" s="4">
        <v>1</v>
      </c>
      <c r="AK315" s="4">
        <v>9.6810180999999995E-2</v>
      </c>
      <c r="AL315" s="4">
        <v>0.104483341639865</v>
      </c>
      <c r="AM315" s="4">
        <v>7.67316063986586E-3</v>
      </c>
      <c r="AN315" s="4">
        <v>5.5079996011167904E-3</v>
      </c>
    </row>
    <row r="316" spans="29:40">
      <c r="AC316" s="4" t="s">
        <v>1109</v>
      </c>
      <c r="AD316" s="4" t="s">
        <v>137</v>
      </c>
      <c r="AE316" s="4" t="s">
        <v>214</v>
      </c>
      <c r="AF316" s="4">
        <v>500</v>
      </c>
      <c r="AG316" s="4">
        <v>3.02</v>
      </c>
      <c r="AH316" s="4" t="s">
        <v>1445</v>
      </c>
      <c r="AI316" s="4">
        <v>0</v>
      </c>
      <c r="AJ316" s="4">
        <v>2</v>
      </c>
      <c r="AK316" s="4">
        <v>0.11786537</v>
      </c>
      <c r="AL316" s="4">
        <v>0.104483341639865</v>
      </c>
      <c r="AM316" s="4">
        <v>-1.33820283601341E-2</v>
      </c>
      <c r="AN316" s="4">
        <v>5.5079996011167904E-3</v>
      </c>
    </row>
    <row r="317" spans="29:40">
      <c r="AC317" s="4" t="s">
        <v>1109</v>
      </c>
      <c r="AD317" s="4" t="s">
        <v>137</v>
      </c>
      <c r="AE317" s="4" t="s">
        <v>214</v>
      </c>
      <c r="AF317" s="4">
        <v>500</v>
      </c>
      <c r="AG317" s="4">
        <v>3.02</v>
      </c>
      <c r="AH317" s="4" t="s">
        <v>1445</v>
      </c>
      <c r="AI317" s="4">
        <v>0</v>
      </c>
      <c r="AJ317" s="4">
        <v>3</v>
      </c>
      <c r="AK317" s="4">
        <v>0.111041615</v>
      </c>
      <c r="AL317" s="4">
        <v>0.104483341639865</v>
      </c>
      <c r="AM317" s="4">
        <v>-6.5582733601341299E-3</v>
      </c>
      <c r="AN317" s="4">
        <v>5.5079996011167904E-3</v>
      </c>
    </row>
    <row r="318" spans="29:40">
      <c r="AC318" s="4" t="s">
        <v>1109</v>
      </c>
      <c r="AD318" s="4" t="s">
        <v>137</v>
      </c>
      <c r="AE318" s="4" t="s">
        <v>214</v>
      </c>
      <c r="AF318" s="4">
        <v>500</v>
      </c>
      <c r="AG318" s="4">
        <v>3.02</v>
      </c>
      <c r="AH318" s="4" t="s">
        <v>1446</v>
      </c>
      <c r="AI318" s="4">
        <v>100</v>
      </c>
      <c r="AJ318" s="4">
        <v>1</v>
      </c>
      <c r="AK318" s="4">
        <v>7.2631001059999996</v>
      </c>
      <c r="AL318" s="4">
        <v>9.3934388400840394</v>
      </c>
      <c r="AM318" s="4">
        <v>2.1303387340840398</v>
      </c>
      <c r="AN318" s="4">
        <v>0.99828548328390099</v>
      </c>
    </row>
    <row r="319" spans="29:40">
      <c r="AC319" s="4" t="s">
        <v>1109</v>
      </c>
      <c r="AD319" s="4" t="s">
        <v>137</v>
      </c>
      <c r="AE319" s="4" t="s">
        <v>214</v>
      </c>
      <c r="AF319" s="4">
        <v>500</v>
      </c>
      <c r="AG319" s="4">
        <v>3.02</v>
      </c>
      <c r="AH319" s="4" t="s">
        <v>1446</v>
      </c>
      <c r="AI319" s="4">
        <v>100</v>
      </c>
      <c r="AJ319" s="4">
        <v>2</v>
      </c>
      <c r="AK319" s="4">
        <v>7.6048502710000001</v>
      </c>
      <c r="AL319" s="4">
        <v>9.3934388400840394</v>
      </c>
      <c r="AM319" s="4">
        <v>1.78858856908404</v>
      </c>
      <c r="AN319" s="4">
        <v>0.99828548328390099</v>
      </c>
    </row>
    <row r="320" spans="29:40">
      <c r="AC320" s="4" t="s">
        <v>1109</v>
      </c>
      <c r="AD320" s="4" t="s">
        <v>137</v>
      </c>
      <c r="AE320" s="4" t="s">
        <v>214</v>
      </c>
      <c r="AF320" s="4">
        <v>500</v>
      </c>
      <c r="AG320" s="4">
        <v>3.02</v>
      </c>
      <c r="AH320" s="4" t="s">
        <v>1446</v>
      </c>
      <c r="AI320" s="4">
        <v>100</v>
      </c>
      <c r="AJ320" s="4">
        <v>3</v>
      </c>
      <c r="AK320" s="4">
        <v>7.3592998300000003</v>
      </c>
      <c r="AL320" s="4">
        <v>9.3934388400840394</v>
      </c>
      <c r="AM320" s="4">
        <v>2.03413901008404</v>
      </c>
      <c r="AN320" s="4">
        <v>0.99828548328390099</v>
      </c>
    </row>
    <row r="321" spans="29:40">
      <c r="AC321" s="4" t="s">
        <v>1108</v>
      </c>
      <c r="AD321" s="4" t="s">
        <v>233</v>
      </c>
      <c r="AE321" s="4" t="s">
        <v>214</v>
      </c>
      <c r="AF321" s="4">
        <v>0</v>
      </c>
      <c r="AG321" s="4">
        <v>0.01</v>
      </c>
      <c r="AH321" s="4" t="s">
        <v>1445</v>
      </c>
      <c r="AI321" s="4">
        <v>0</v>
      </c>
      <c r="AJ321" s="4">
        <v>1</v>
      </c>
      <c r="AK321" s="4">
        <v>1.8044535E-2</v>
      </c>
      <c r="AL321" s="4">
        <v>1.2923029986283601E-2</v>
      </c>
      <c r="AM321" s="4">
        <v>-5.1215050137163104E-3</v>
      </c>
      <c r="AN321" s="106">
        <v>4.6440085247548702E-8</v>
      </c>
    </row>
    <row r="322" spans="29:40">
      <c r="AC322" s="4" t="s">
        <v>1108</v>
      </c>
      <c r="AD322" s="4" t="s">
        <v>233</v>
      </c>
      <c r="AE322" s="4" t="s">
        <v>214</v>
      </c>
      <c r="AF322" s="4">
        <v>0</v>
      </c>
      <c r="AG322" s="4">
        <v>0.01</v>
      </c>
      <c r="AH322" s="4" t="s">
        <v>1445</v>
      </c>
      <c r="AI322" s="4">
        <v>0</v>
      </c>
      <c r="AJ322" s="4">
        <v>2</v>
      </c>
      <c r="AK322" s="4">
        <v>2.0442359E-2</v>
      </c>
      <c r="AL322" s="4">
        <v>1.2923029986283601E-2</v>
      </c>
      <c r="AM322" s="4">
        <v>-7.5193290137163101E-3</v>
      </c>
      <c r="AN322" s="106">
        <v>4.6440085247548702E-8</v>
      </c>
    </row>
    <row r="323" spans="29:40">
      <c r="AC323" s="4" t="s">
        <v>1108</v>
      </c>
      <c r="AD323" s="4" t="s">
        <v>233</v>
      </c>
      <c r="AE323" s="4" t="s">
        <v>214</v>
      </c>
      <c r="AF323" s="4">
        <v>0</v>
      </c>
      <c r="AG323" s="4">
        <v>0.01</v>
      </c>
      <c r="AH323" s="4" t="s">
        <v>1445</v>
      </c>
      <c r="AI323" s="4">
        <v>0</v>
      </c>
      <c r="AJ323" s="4">
        <v>3</v>
      </c>
      <c r="AK323" s="4">
        <v>1.9115377999999999E-2</v>
      </c>
      <c r="AL323" s="4">
        <v>1.2923029986283601E-2</v>
      </c>
      <c r="AM323" s="4">
        <v>-6.1923480137163096E-3</v>
      </c>
      <c r="AN323" s="106">
        <v>4.6440085247548702E-8</v>
      </c>
    </row>
    <row r="324" spans="29:40">
      <c r="AC324" s="4" t="s">
        <v>1108</v>
      </c>
      <c r="AD324" s="4" t="s">
        <v>233</v>
      </c>
      <c r="AE324" s="4" t="s">
        <v>214</v>
      </c>
      <c r="AF324" s="4">
        <v>0</v>
      </c>
      <c r="AG324" s="4">
        <v>0.01</v>
      </c>
      <c r="AH324" s="4" t="s">
        <v>1446</v>
      </c>
      <c r="AI324" s="4">
        <v>100</v>
      </c>
      <c r="AJ324" s="4">
        <v>1</v>
      </c>
      <c r="AK324" s="4">
        <v>2.4613980000000001E-2</v>
      </c>
      <c r="AL324" s="4">
        <v>4.1136309331584603E-2</v>
      </c>
      <c r="AM324" s="4">
        <v>1.6522329331584599E-2</v>
      </c>
      <c r="AN324" s="4">
        <v>4.8584564176594102E-3</v>
      </c>
    </row>
    <row r="325" spans="29:40">
      <c r="AC325" s="4" t="s">
        <v>1108</v>
      </c>
      <c r="AD325" s="4" t="s">
        <v>233</v>
      </c>
      <c r="AE325" s="4" t="s">
        <v>214</v>
      </c>
      <c r="AF325" s="4">
        <v>0</v>
      </c>
      <c r="AG325" s="4">
        <v>0.01</v>
      </c>
      <c r="AH325" s="4" t="s">
        <v>1446</v>
      </c>
      <c r="AI325" s="4">
        <v>100</v>
      </c>
      <c r="AJ325" s="4">
        <v>2</v>
      </c>
      <c r="AK325" s="4">
        <v>2.4807939000000001E-2</v>
      </c>
      <c r="AL325" s="4">
        <v>4.1136309331584603E-2</v>
      </c>
      <c r="AM325" s="4">
        <v>1.6328370331584598E-2</v>
      </c>
      <c r="AN325" s="4">
        <v>4.8584564176594102E-3</v>
      </c>
    </row>
    <row r="326" spans="29:40">
      <c r="AC326" s="4" t="s">
        <v>1108</v>
      </c>
      <c r="AD326" s="4" t="s">
        <v>233</v>
      </c>
      <c r="AE326" s="4" t="s">
        <v>214</v>
      </c>
      <c r="AF326" s="4">
        <v>0</v>
      </c>
      <c r="AG326" s="4">
        <v>0.01</v>
      </c>
      <c r="AH326" s="4" t="s">
        <v>1446</v>
      </c>
      <c r="AI326" s="4">
        <v>100</v>
      </c>
      <c r="AJ326" s="4">
        <v>3</v>
      </c>
      <c r="AK326" s="4">
        <v>2.5977817E-2</v>
      </c>
      <c r="AL326" s="4">
        <v>4.1136309331584603E-2</v>
      </c>
      <c r="AM326" s="4">
        <v>1.5158492331584599E-2</v>
      </c>
      <c r="AN326" s="4">
        <v>4.8584564176594102E-3</v>
      </c>
    </row>
    <row r="327" spans="29:40">
      <c r="AC327" s="4" t="s">
        <v>1108</v>
      </c>
      <c r="AD327" s="4" t="s">
        <v>233</v>
      </c>
      <c r="AE327" s="4" t="s">
        <v>214</v>
      </c>
      <c r="AF327" s="4">
        <v>20</v>
      </c>
      <c r="AG327" s="4">
        <v>0.4</v>
      </c>
      <c r="AH327" s="4" t="s">
        <v>1445</v>
      </c>
      <c r="AI327" s="4">
        <v>0</v>
      </c>
      <c r="AJ327" s="4">
        <v>1</v>
      </c>
      <c r="AK327" s="4">
        <v>2.2075438999999999E-2</v>
      </c>
      <c r="AL327" s="4">
        <v>1.3354219918724699E-2</v>
      </c>
      <c r="AM327" s="4">
        <v>-8.7212190812752007E-3</v>
      </c>
      <c r="AN327" s="106">
        <v>7.4298619151780599E-5</v>
      </c>
    </row>
    <row r="328" spans="29:40">
      <c r="AC328" s="4" t="s">
        <v>1108</v>
      </c>
      <c r="AD328" s="4" t="s">
        <v>233</v>
      </c>
      <c r="AE328" s="4" t="s">
        <v>214</v>
      </c>
      <c r="AF328" s="4">
        <v>20</v>
      </c>
      <c r="AG328" s="4">
        <v>0.4</v>
      </c>
      <c r="AH328" s="4" t="s">
        <v>1445</v>
      </c>
      <c r="AI328" s="4">
        <v>0</v>
      </c>
      <c r="AJ328" s="4">
        <v>2</v>
      </c>
      <c r="AK328" s="4">
        <v>2.0878766E-2</v>
      </c>
      <c r="AL328" s="4">
        <v>1.3354219918724699E-2</v>
      </c>
      <c r="AM328" s="4">
        <v>-7.5245460812752001E-3</v>
      </c>
      <c r="AN328" s="106">
        <v>7.4298619151780599E-5</v>
      </c>
    </row>
    <row r="329" spans="29:40">
      <c r="AC329" s="4" t="s">
        <v>1108</v>
      </c>
      <c r="AD329" s="4" t="s">
        <v>233</v>
      </c>
      <c r="AE329" s="4" t="s">
        <v>214</v>
      </c>
      <c r="AF329" s="4">
        <v>20</v>
      </c>
      <c r="AG329" s="4">
        <v>0.4</v>
      </c>
      <c r="AH329" s="4" t="s">
        <v>1445</v>
      </c>
      <c r="AI329" s="4">
        <v>0</v>
      </c>
      <c r="AJ329" s="4">
        <v>3</v>
      </c>
      <c r="AK329" s="4">
        <v>2.1211592000000001E-2</v>
      </c>
      <c r="AL329" s="4">
        <v>1.3354219918724699E-2</v>
      </c>
      <c r="AM329" s="4">
        <v>-7.8573720812751997E-3</v>
      </c>
      <c r="AN329" s="106">
        <v>7.4298619151780599E-5</v>
      </c>
    </row>
    <row r="330" spans="29:40">
      <c r="AC330" s="4" t="s">
        <v>1108</v>
      </c>
      <c r="AD330" s="4" t="s">
        <v>233</v>
      </c>
      <c r="AE330" s="4" t="s">
        <v>214</v>
      </c>
      <c r="AF330" s="4">
        <v>20</v>
      </c>
      <c r="AG330" s="4">
        <v>0.4</v>
      </c>
      <c r="AH330" s="4" t="s">
        <v>1446</v>
      </c>
      <c r="AI330" s="4">
        <v>100</v>
      </c>
      <c r="AJ330" s="4">
        <v>1</v>
      </c>
      <c r="AK330" s="4">
        <v>5.1631862980000003</v>
      </c>
      <c r="AL330" s="4">
        <v>5.1609861629273901</v>
      </c>
      <c r="AM330" s="4">
        <v>-2.2001350726057402E-3</v>
      </c>
      <c r="AN330" s="4">
        <v>0.88651171295532605</v>
      </c>
    </row>
    <row r="331" spans="29:40">
      <c r="AC331" s="4" t="s">
        <v>1108</v>
      </c>
      <c r="AD331" s="4" t="s">
        <v>233</v>
      </c>
      <c r="AE331" s="4" t="s">
        <v>214</v>
      </c>
      <c r="AF331" s="4">
        <v>20</v>
      </c>
      <c r="AG331" s="4">
        <v>0.4</v>
      </c>
      <c r="AH331" s="4" t="s">
        <v>1446</v>
      </c>
      <c r="AI331" s="4">
        <v>100</v>
      </c>
      <c r="AJ331" s="4">
        <v>2</v>
      </c>
      <c r="AK331" s="4">
        <v>5.1612815740000002</v>
      </c>
      <c r="AL331" s="4">
        <v>5.1609861629273901</v>
      </c>
      <c r="AM331" s="4">
        <v>-2.9541107260566598E-4</v>
      </c>
      <c r="AN331" s="4">
        <v>0.88651171295532605</v>
      </c>
    </row>
    <row r="332" spans="29:40">
      <c r="AC332" s="4" t="s">
        <v>1108</v>
      </c>
      <c r="AD332" s="4" t="s">
        <v>233</v>
      </c>
      <c r="AE332" s="4" t="s">
        <v>214</v>
      </c>
      <c r="AF332" s="4">
        <v>20</v>
      </c>
      <c r="AG332" s="4">
        <v>0.4</v>
      </c>
      <c r="AH332" s="4" t="s">
        <v>1446</v>
      </c>
      <c r="AI332" s="4">
        <v>100</v>
      </c>
      <c r="AJ332" s="4">
        <v>3</v>
      </c>
      <c r="AK332" s="4">
        <v>5.1620348749999998</v>
      </c>
      <c r="AL332" s="4">
        <v>5.1609861629273901</v>
      </c>
      <c r="AM332" s="4">
        <v>-1.04871207260526E-3</v>
      </c>
      <c r="AN332" s="4">
        <v>0.88651171295532605</v>
      </c>
    </row>
    <row r="333" spans="29:40">
      <c r="AC333" s="4" t="s">
        <v>1108</v>
      </c>
      <c r="AD333" s="4" t="s">
        <v>233</v>
      </c>
      <c r="AE333" s="4" t="s">
        <v>214</v>
      </c>
      <c r="AF333" s="4">
        <v>500</v>
      </c>
      <c r="AG333" s="4">
        <v>3.02</v>
      </c>
      <c r="AH333" s="4" t="s">
        <v>1445</v>
      </c>
      <c r="AI333" s="4">
        <v>0</v>
      </c>
      <c r="AJ333" s="4">
        <v>1</v>
      </c>
      <c r="AK333" s="4">
        <v>2.5008853000000001E-2</v>
      </c>
      <c r="AL333" s="4">
        <v>3.7415126499644999E-2</v>
      </c>
      <c r="AM333" s="4">
        <v>1.2406273499645E-2</v>
      </c>
      <c r="AN333" s="4">
        <v>4.2176577505564196E-3</v>
      </c>
    </row>
    <row r="334" spans="29:40">
      <c r="AC334" s="4" t="s">
        <v>1108</v>
      </c>
      <c r="AD334" s="4" t="s">
        <v>233</v>
      </c>
      <c r="AE334" s="4" t="s">
        <v>214</v>
      </c>
      <c r="AF334" s="4">
        <v>500</v>
      </c>
      <c r="AG334" s="4">
        <v>3.02</v>
      </c>
      <c r="AH334" s="4" t="s">
        <v>1445</v>
      </c>
      <c r="AI334" s="4">
        <v>0</v>
      </c>
      <c r="AJ334" s="4">
        <v>2</v>
      </c>
      <c r="AK334" s="4">
        <v>2.2977864000000001E-2</v>
      </c>
      <c r="AL334" s="4">
        <v>3.7415126499644999E-2</v>
      </c>
      <c r="AM334" s="4">
        <v>1.4437262499645E-2</v>
      </c>
      <c r="AN334" s="4">
        <v>4.2176577505564196E-3</v>
      </c>
    </row>
    <row r="335" spans="29:40">
      <c r="AC335" s="4" t="s">
        <v>1108</v>
      </c>
      <c r="AD335" s="4" t="s">
        <v>233</v>
      </c>
      <c r="AE335" s="4" t="s">
        <v>214</v>
      </c>
      <c r="AF335" s="4">
        <v>500</v>
      </c>
      <c r="AG335" s="4">
        <v>3.02</v>
      </c>
      <c r="AH335" s="4" t="s">
        <v>1445</v>
      </c>
      <c r="AI335" s="4">
        <v>0</v>
      </c>
      <c r="AJ335" s="4">
        <v>3</v>
      </c>
      <c r="AK335" s="4">
        <v>2.5899531E-2</v>
      </c>
      <c r="AL335" s="4">
        <v>3.7415126499644999E-2</v>
      </c>
      <c r="AM335" s="4">
        <v>1.1515595499645001E-2</v>
      </c>
      <c r="AN335" s="4">
        <v>4.2176577505564196E-3</v>
      </c>
    </row>
    <row r="336" spans="29:40">
      <c r="AC336" s="4" t="s">
        <v>1108</v>
      </c>
      <c r="AD336" s="4" t="s">
        <v>233</v>
      </c>
      <c r="AE336" s="4" t="s">
        <v>214</v>
      </c>
      <c r="AF336" s="4">
        <v>500</v>
      </c>
      <c r="AG336" s="4">
        <v>3.02</v>
      </c>
      <c r="AH336" s="4" t="s">
        <v>1446</v>
      </c>
      <c r="AI336" s="4">
        <v>100</v>
      </c>
      <c r="AJ336" s="4">
        <v>1</v>
      </c>
      <c r="AK336" s="4">
        <v>5.858100071</v>
      </c>
      <c r="AL336" s="4">
        <v>5.8070117402023502</v>
      </c>
      <c r="AM336" s="4">
        <v>-5.1088330797643501E-2</v>
      </c>
      <c r="AN336" s="4">
        <v>0.99775922417112295</v>
      </c>
    </row>
    <row r="337" spans="29:40">
      <c r="AC337" s="4" t="s">
        <v>1108</v>
      </c>
      <c r="AD337" s="4" t="s">
        <v>233</v>
      </c>
      <c r="AE337" s="4" t="s">
        <v>214</v>
      </c>
      <c r="AF337" s="4">
        <v>500</v>
      </c>
      <c r="AG337" s="4">
        <v>3.02</v>
      </c>
      <c r="AH337" s="4" t="s">
        <v>1446</v>
      </c>
      <c r="AI337" s="4">
        <v>100</v>
      </c>
      <c r="AJ337" s="4">
        <v>2</v>
      </c>
      <c r="AK337" s="4">
        <v>5.7501549670000003</v>
      </c>
      <c r="AL337" s="4">
        <v>5.8070117402023502</v>
      </c>
      <c r="AM337" s="4">
        <v>5.6856773202356103E-2</v>
      </c>
      <c r="AN337" s="4">
        <v>0.99775922417112295</v>
      </c>
    </row>
    <row r="338" spans="29:40">
      <c r="AC338" s="4" t="s">
        <v>1108</v>
      </c>
      <c r="AD338" s="4" t="s">
        <v>233</v>
      </c>
      <c r="AE338" s="4" t="s">
        <v>214</v>
      </c>
      <c r="AF338" s="4">
        <v>500</v>
      </c>
      <c r="AG338" s="4">
        <v>3.02</v>
      </c>
      <c r="AH338" s="4" t="s">
        <v>1446</v>
      </c>
      <c r="AI338" s="4">
        <v>100</v>
      </c>
      <c r="AJ338" s="4">
        <v>3</v>
      </c>
      <c r="AK338" s="4">
        <v>5.8284131410000004</v>
      </c>
      <c r="AL338" s="4">
        <v>5.8070117402023502</v>
      </c>
      <c r="AM338" s="4">
        <v>-2.14014007976439E-2</v>
      </c>
      <c r="AN338" s="4">
        <v>0.99775922417112295</v>
      </c>
    </row>
    <row r="339" spans="29:40">
      <c r="AC339" s="4" t="s">
        <v>1359</v>
      </c>
      <c r="AD339" s="4" t="s">
        <v>236</v>
      </c>
      <c r="AE339" s="4" t="s">
        <v>215</v>
      </c>
      <c r="AF339" s="4">
        <v>0</v>
      </c>
      <c r="AG339" s="4">
        <v>0.01</v>
      </c>
      <c r="AH339" s="4" t="s">
        <v>1445</v>
      </c>
      <c r="AI339" s="4">
        <v>0</v>
      </c>
      <c r="AJ339" s="4">
        <v>1</v>
      </c>
      <c r="AK339" s="4">
        <v>4.0989075E-2</v>
      </c>
      <c r="AL339" s="4">
        <v>3.46850070275029E-2</v>
      </c>
      <c r="AM339" s="4">
        <v>-6.3040679724971002E-3</v>
      </c>
      <c r="AN339" s="106">
        <v>6.3858205805170797E-8</v>
      </c>
    </row>
    <row r="340" spans="29:40">
      <c r="AC340" s="4" t="s">
        <v>1359</v>
      </c>
      <c r="AD340" s="4" t="s">
        <v>236</v>
      </c>
      <c r="AE340" s="4" t="s">
        <v>215</v>
      </c>
      <c r="AF340" s="4">
        <v>0</v>
      </c>
      <c r="AG340" s="4">
        <v>0.01</v>
      </c>
      <c r="AH340" s="4" t="s">
        <v>1445</v>
      </c>
      <c r="AI340" s="4">
        <v>0</v>
      </c>
      <c r="AJ340" s="4">
        <v>2</v>
      </c>
      <c r="AK340" s="4">
        <v>3.9258402999999997E-2</v>
      </c>
      <c r="AL340" s="4">
        <v>3.46850070275029E-2</v>
      </c>
      <c r="AM340" s="4">
        <v>-4.5733959724970899E-3</v>
      </c>
      <c r="AN340" s="106">
        <v>6.3858205805170797E-8</v>
      </c>
    </row>
    <row r="341" spans="29:40">
      <c r="AC341" s="4" t="s">
        <v>1359</v>
      </c>
      <c r="AD341" s="4" t="s">
        <v>236</v>
      </c>
      <c r="AE341" s="4" t="s">
        <v>215</v>
      </c>
      <c r="AF341" s="4">
        <v>0</v>
      </c>
      <c r="AG341" s="4">
        <v>0.01</v>
      </c>
      <c r="AH341" s="4" t="s">
        <v>1445</v>
      </c>
      <c r="AI341" s="4">
        <v>0</v>
      </c>
      <c r="AJ341" s="4">
        <v>3</v>
      </c>
      <c r="AK341" s="4">
        <v>4.0947732000000001E-2</v>
      </c>
      <c r="AL341" s="4">
        <v>3.46850070275029E-2</v>
      </c>
      <c r="AM341" s="4">
        <v>-6.2627249724971001E-3</v>
      </c>
      <c r="AN341" s="106">
        <v>6.3858205805170797E-8</v>
      </c>
    </row>
    <row r="342" spans="29:40">
      <c r="AC342" s="4" t="s">
        <v>1359</v>
      </c>
      <c r="AD342" s="4" t="s">
        <v>236</v>
      </c>
      <c r="AE342" s="4" t="s">
        <v>215</v>
      </c>
      <c r="AF342" s="4">
        <v>0</v>
      </c>
      <c r="AG342" s="4">
        <v>0.01</v>
      </c>
      <c r="AH342" s="4" t="s">
        <v>1446</v>
      </c>
      <c r="AI342" s="4">
        <v>0.1</v>
      </c>
      <c r="AJ342" s="4">
        <v>1</v>
      </c>
      <c r="AK342" s="4">
        <v>3.4719300000000002E-2</v>
      </c>
      <c r="AL342" s="4">
        <v>3.6073617915462798E-2</v>
      </c>
      <c r="AM342" s="4">
        <v>1.35431791546283E-3</v>
      </c>
      <c r="AN342" s="4">
        <v>2.0805935289702101E-4</v>
      </c>
    </row>
    <row r="343" spans="29:40">
      <c r="AC343" s="4" t="s">
        <v>1359</v>
      </c>
      <c r="AD343" s="4" t="s">
        <v>236</v>
      </c>
      <c r="AE343" s="4" t="s">
        <v>215</v>
      </c>
      <c r="AF343" s="4">
        <v>0</v>
      </c>
      <c r="AG343" s="4">
        <v>0.01</v>
      </c>
      <c r="AH343" s="4" t="s">
        <v>1446</v>
      </c>
      <c r="AI343" s="4">
        <v>0.1</v>
      </c>
      <c r="AJ343" s="4">
        <v>2</v>
      </c>
      <c r="AK343" s="4">
        <v>4.0284567E-2</v>
      </c>
      <c r="AL343" s="4">
        <v>3.6073617915462798E-2</v>
      </c>
      <c r="AM343" s="4">
        <v>-4.2109490845371597E-3</v>
      </c>
      <c r="AN343" s="4">
        <v>2.0805935289702101E-4</v>
      </c>
    </row>
    <row r="344" spans="29:40">
      <c r="AC344" s="4" t="s">
        <v>1359</v>
      </c>
      <c r="AD344" s="4" t="s">
        <v>236</v>
      </c>
      <c r="AE344" s="4" t="s">
        <v>215</v>
      </c>
      <c r="AF344" s="4">
        <v>0</v>
      </c>
      <c r="AG344" s="4">
        <v>0.01</v>
      </c>
      <c r="AH344" s="4" t="s">
        <v>1446</v>
      </c>
      <c r="AI344" s="4">
        <v>0.1</v>
      </c>
      <c r="AJ344" s="4">
        <v>3</v>
      </c>
      <c r="AK344" s="4">
        <v>3.6910197999999998E-2</v>
      </c>
      <c r="AL344" s="4">
        <v>3.6073617915462798E-2</v>
      </c>
      <c r="AM344" s="4">
        <v>-8.3658008453715805E-4</v>
      </c>
      <c r="AN344" s="4">
        <v>2.0805935289702101E-4</v>
      </c>
    </row>
    <row r="345" spans="29:40">
      <c r="AC345" s="4" t="s">
        <v>1359</v>
      </c>
      <c r="AD345" s="4" t="s">
        <v>236</v>
      </c>
      <c r="AE345" s="4" t="s">
        <v>215</v>
      </c>
      <c r="AF345" s="4">
        <v>20</v>
      </c>
      <c r="AG345" s="4">
        <v>0.4</v>
      </c>
      <c r="AH345" s="4" t="s">
        <v>1445</v>
      </c>
      <c r="AI345" s="4">
        <v>0</v>
      </c>
      <c r="AJ345" s="4">
        <v>1</v>
      </c>
      <c r="AK345" s="4">
        <v>6.3325674999999998E-2</v>
      </c>
      <c r="AL345" s="4">
        <v>3.5366635060570098E-2</v>
      </c>
      <c r="AM345" s="4">
        <v>-2.7959039939429799E-2</v>
      </c>
      <c r="AN345" s="4">
        <v>1.0216269752969601E-4</v>
      </c>
    </row>
    <row r="346" spans="29:40">
      <c r="AC346" s="4" t="s">
        <v>1359</v>
      </c>
      <c r="AD346" s="4" t="s">
        <v>236</v>
      </c>
      <c r="AE346" s="4" t="s">
        <v>215</v>
      </c>
      <c r="AF346" s="4">
        <v>20</v>
      </c>
      <c r="AG346" s="4">
        <v>0.4</v>
      </c>
      <c r="AH346" s="4" t="s">
        <v>1445</v>
      </c>
      <c r="AI346" s="4">
        <v>0</v>
      </c>
      <c r="AJ346" s="4">
        <v>2</v>
      </c>
      <c r="AK346" s="4">
        <v>6.5356003999999995E-2</v>
      </c>
      <c r="AL346" s="4">
        <v>3.5366635060570098E-2</v>
      </c>
      <c r="AM346" s="4">
        <v>-2.99893689394298E-2</v>
      </c>
      <c r="AN346" s="4">
        <v>1.0216269752969601E-4</v>
      </c>
    </row>
    <row r="347" spans="29:40">
      <c r="AC347" s="4" t="s">
        <v>1359</v>
      </c>
      <c r="AD347" s="4" t="s">
        <v>236</v>
      </c>
      <c r="AE347" s="4" t="s">
        <v>215</v>
      </c>
      <c r="AF347" s="4">
        <v>20</v>
      </c>
      <c r="AG347" s="4">
        <v>0.4</v>
      </c>
      <c r="AH347" s="4" t="s">
        <v>1445</v>
      </c>
      <c r="AI347" s="4">
        <v>0</v>
      </c>
      <c r="AJ347" s="4">
        <v>3</v>
      </c>
      <c r="AK347" s="4">
        <v>6.0919742999999998E-2</v>
      </c>
      <c r="AL347" s="4">
        <v>3.5366635060570098E-2</v>
      </c>
      <c r="AM347" s="4">
        <v>-2.55531079394298E-2</v>
      </c>
      <c r="AN347" s="4">
        <v>1.0216269752969601E-4</v>
      </c>
    </row>
    <row r="348" spans="29:40">
      <c r="AC348" s="4" t="s">
        <v>1359</v>
      </c>
      <c r="AD348" s="4" t="s">
        <v>236</v>
      </c>
      <c r="AE348" s="4" t="s">
        <v>215</v>
      </c>
      <c r="AF348" s="4">
        <v>20</v>
      </c>
      <c r="AG348" s="4">
        <v>0.4</v>
      </c>
      <c r="AH348" s="4" t="s">
        <v>1446</v>
      </c>
      <c r="AI348" s="4">
        <v>0.1</v>
      </c>
      <c r="AJ348" s="4">
        <v>1</v>
      </c>
      <c r="AK348" s="4">
        <v>1.8097005370000001</v>
      </c>
      <c r="AL348" s="4">
        <v>1.70233775259765</v>
      </c>
      <c r="AM348" s="4">
        <v>-0.107362784402349</v>
      </c>
      <c r="AN348" s="4">
        <v>0.24979232805225801</v>
      </c>
    </row>
    <row r="349" spans="29:40">
      <c r="AC349" s="4" t="s">
        <v>1359</v>
      </c>
      <c r="AD349" s="4" t="s">
        <v>236</v>
      </c>
      <c r="AE349" s="4" t="s">
        <v>215</v>
      </c>
      <c r="AF349" s="4">
        <v>20</v>
      </c>
      <c r="AG349" s="4">
        <v>0.4</v>
      </c>
      <c r="AH349" s="4" t="s">
        <v>1446</v>
      </c>
      <c r="AI349" s="4">
        <v>0.1</v>
      </c>
      <c r="AJ349" s="4">
        <v>2</v>
      </c>
      <c r="AK349" s="4">
        <v>1.800801587</v>
      </c>
      <c r="AL349" s="4">
        <v>1.70233775259765</v>
      </c>
      <c r="AM349" s="4">
        <v>-9.8463834402349806E-2</v>
      </c>
      <c r="AN349" s="4">
        <v>0.24979232805225801</v>
      </c>
    </row>
    <row r="350" spans="29:40">
      <c r="AC350" s="4" t="s">
        <v>1359</v>
      </c>
      <c r="AD350" s="4" t="s">
        <v>236</v>
      </c>
      <c r="AE350" s="4" t="s">
        <v>215</v>
      </c>
      <c r="AF350" s="4">
        <v>20</v>
      </c>
      <c r="AG350" s="4">
        <v>0.4</v>
      </c>
      <c r="AH350" s="4" t="s">
        <v>1446</v>
      </c>
      <c r="AI350" s="4">
        <v>0.1</v>
      </c>
      <c r="AJ350" s="4">
        <v>3</v>
      </c>
      <c r="AK350" s="4">
        <v>1.7531064970000001</v>
      </c>
      <c r="AL350" s="4">
        <v>1.70233775259765</v>
      </c>
      <c r="AM350" s="4">
        <v>-5.0768744402349901E-2</v>
      </c>
      <c r="AN350" s="4">
        <v>0.24979232805225801</v>
      </c>
    </row>
    <row r="351" spans="29:40">
      <c r="AC351" s="4" t="s">
        <v>1359</v>
      </c>
      <c r="AD351" s="4" t="s">
        <v>236</v>
      </c>
      <c r="AE351" s="4" t="s">
        <v>215</v>
      </c>
      <c r="AF351" s="4">
        <v>500</v>
      </c>
      <c r="AG351" s="4">
        <v>3.02</v>
      </c>
      <c r="AH351" s="4" t="s">
        <v>1445</v>
      </c>
      <c r="AI351" s="4">
        <v>0</v>
      </c>
      <c r="AJ351" s="4">
        <v>1</v>
      </c>
      <c r="AK351" s="4">
        <v>6.8378438E-2</v>
      </c>
      <c r="AL351" s="4">
        <v>7.3342209924806598E-2</v>
      </c>
      <c r="AM351" s="4">
        <v>4.9637719248066198E-3</v>
      </c>
      <c r="AN351" s="4">
        <v>5.7904001645961503E-3</v>
      </c>
    </row>
    <row r="352" spans="29:40">
      <c r="AC352" s="4" t="s">
        <v>1359</v>
      </c>
      <c r="AD352" s="4" t="s">
        <v>236</v>
      </c>
      <c r="AE352" s="4" t="s">
        <v>215</v>
      </c>
      <c r="AF352" s="4">
        <v>500</v>
      </c>
      <c r="AG352" s="4">
        <v>3.02</v>
      </c>
      <c r="AH352" s="4" t="s">
        <v>1445</v>
      </c>
      <c r="AI352" s="4">
        <v>0</v>
      </c>
      <c r="AJ352" s="4">
        <v>2</v>
      </c>
      <c r="AK352" s="4">
        <v>7.8025991000000003E-2</v>
      </c>
      <c r="AL352" s="4">
        <v>7.3342209924806598E-2</v>
      </c>
      <c r="AM352" s="4">
        <v>-4.6837810751933703E-3</v>
      </c>
      <c r="AN352" s="4">
        <v>5.7904001645961503E-3</v>
      </c>
    </row>
    <row r="353" spans="29:40">
      <c r="AC353" s="4" t="s">
        <v>1359</v>
      </c>
      <c r="AD353" s="4" t="s">
        <v>236</v>
      </c>
      <c r="AE353" s="4" t="s">
        <v>215</v>
      </c>
      <c r="AF353" s="4">
        <v>500</v>
      </c>
      <c r="AG353" s="4">
        <v>3.02</v>
      </c>
      <c r="AH353" s="4" t="s">
        <v>1445</v>
      </c>
      <c r="AI353" s="4">
        <v>0</v>
      </c>
      <c r="AJ353" s="4">
        <v>3</v>
      </c>
      <c r="AK353" s="4">
        <v>6.6280078000000006E-2</v>
      </c>
      <c r="AL353" s="4">
        <v>7.3342209924806598E-2</v>
      </c>
      <c r="AM353" s="4">
        <v>7.0621319248066099E-3</v>
      </c>
      <c r="AN353" s="4">
        <v>5.7904001645961503E-3</v>
      </c>
    </row>
    <row r="354" spans="29:40">
      <c r="AC354" s="4" t="s">
        <v>1359</v>
      </c>
      <c r="AD354" s="4" t="s">
        <v>236</v>
      </c>
      <c r="AE354" s="4" t="s">
        <v>215</v>
      </c>
      <c r="AF354" s="4">
        <v>500</v>
      </c>
      <c r="AG354" s="4">
        <v>3.02</v>
      </c>
      <c r="AH354" s="4" t="s">
        <v>1446</v>
      </c>
      <c r="AI354" s="4">
        <v>0.1</v>
      </c>
      <c r="AJ354" s="4">
        <v>1</v>
      </c>
      <c r="AK354" s="4">
        <v>6.1641950970000003</v>
      </c>
      <c r="AL354" s="4">
        <v>6.3766975623122297</v>
      </c>
      <c r="AM354" s="4">
        <v>0.21250246531223499</v>
      </c>
      <c r="AN354" s="4">
        <v>0.949949434277087</v>
      </c>
    </row>
    <row r="355" spans="29:40">
      <c r="AC355" s="4" t="s">
        <v>1359</v>
      </c>
      <c r="AD355" s="4" t="s">
        <v>236</v>
      </c>
      <c r="AE355" s="4" t="s">
        <v>215</v>
      </c>
      <c r="AF355" s="4">
        <v>500</v>
      </c>
      <c r="AG355" s="4">
        <v>3.02</v>
      </c>
      <c r="AH355" s="4" t="s">
        <v>1446</v>
      </c>
      <c r="AI355" s="4">
        <v>0.1</v>
      </c>
      <c r="AJ355" s="4">
        <v>2</v>
      </c>
      <c r="AK355" s="4">
        <v>6.0189293470000003</v>
      </c>
      <c r="AL355" s="4">
        <v>6.3766975623122297</v>
      </c>
      <c r="AM355" s="4">
        <v>0.35776821531223502</v>
      </c>
      <c r="AN355" s="4">
        <v>0.949949434277087</v>
      </c>
    </row>
    <row r="356" spans="29:40">
      <c r="AC356" s="4" t="s">
        <v>1359</v>
      </c>
      <c r="AD356" s="4" t="s">
        <v>236</v>
      </c>
      <c r="AE356" s="4" t="s">
        <v>215</v>
      </c>
      <c r="AF356" s="4">
        <v>500</v>
      </c>
      <c r="AG356" s="4">
        <v>3.02</v>
      </c>
      <c r="AH356" s="4" t="s">
        <v>1446</v>
      </c>
      <c r="AI356" s="4">
        <v>0.1</v>
      </c>
      <c r="AJ356" s="4">
        <v>3</v>
      </c>
      <c r="AK356" s="4">
        <v>5.9362975130000004</v>
      </c>
      <c r="AL356" s="4">
        <v>6.3766975623122297</v>
      </c>
      <c r="AM356" s="4">
        <v>0.44040004931223498</v>
      </c>
      <c r="AN356" s="4">
        <v>0.949949434277087</v>
      </c>
    </row>
    <row r="357" spans="29:40">
      <c r="AC357" s="4" t="s">
        <v>1251</v>
      </c>
      <c r="AD357" s="4" t="s">
        <v>1331</v>
      </c>
      <c r="AE357" s="4" t="s">
        <v>217</v>
      </c>
      <c r="AF357" s="4">
        <v>0</v>
      </c>
      <c r="AG357" s="4">
        <v>0.01</v>
      </c>
      <c r="AH357" s="4" t="s">
        <v>1445</v>
      </c>
      <c r="AI357" s="4">
        <v>0</v>
      </c>
      <c r="AJ357" s="4">
        <v>1</v>
      </c>
      <c r="AK357" s="4">
        <v>6.4825979000000006E-2</v>
      </c>
      <c r="AL357" s="4">
        <v>1.17973431340445E-2</v>
      </c>
      <c r="AM357" s="4">
        <v>-5.3028635865955402E-2</v>
      </c>
      <c r="AN357" s="106">
        <v>5.1239443573267799E-7</v>
      </c>
    </row>
    <row r="358" spans="29:40">
      <c r="AC358" s="4" t="s">
        <v>1251</v>
      </c>
      <c r="AD358" s="4" t="s">
        <v>1331</v>
      </c>
      <c r="AE358" s="4" t="s">
        <v>217</v>
      </c>
      <c r="AF358" s="4">
        <v>0</v>
      </c>
      <c r="AG358" s="4">
        <v>0.01</v>
      </c>
      <c r="AH358" s="4" t="s">
        <v>1445</v>
      </c>
      <c r="AI358" s="4">
        <v>0</v>
      </c>
      <c r="AJ358" s="4">
        <v>2</v>
      </c>
      <c r="AK358" s="4">
        <v>6.2385853999999998E-2</v>
      </c>
      <c r="AL358" s="4">
        <v>1.17973431340445E-2</v>
      </c>
      <c r="AM358" s="4">
        <v>-5.0588510865955401E-2</v>
      </c>
      <c r="AN358" s="106">
        <v>5.1239443573267799E-7</v>
      </c>
    </row>
    <row r="359" spans="29:40">
      <c r="AC359" s="4" t="s">
        <v>1251</v>
      </c>
      <c r="AD359" s="4" t="s">
        <v>1331</v>
      </c>
      <c r="AE359" s="4" t="s">
        <v>217</v>
      </c>
      <c r="AF359" s="4">
        <v>0</v>
      </c>
      <c r="AG359" s="4">
        <v>0.01</v>
      </c>
      <c r="AH359" s="4" t="s">
        <v>1445</v>
      </c>
      <c r="AI359" s="4">
        <v>0</v>
      </c>
      <c r="AJ359" s="4">
        <v>3</v>
      </c>
      <c r="AK359" s="4">
        <v>7.2425165E-2</v>
      </c>
      <c r="AL359" s="4">
        <v>1.17973431340445E-2</v>
      </c>
      <c r="AM359" s="4">
        <v>-6.0627821865955403E-2</v>
      </c>
      <c r="AN359" s="106">
        <v>5.1239443573267799E-7</v>
      </c>
    </row>
    <row r="360" spans="29:40">
      <c r="AC360" s="4" t="s">
        <v>1251</v>
      </c>
      <c r="AD360" s="4" t="s">
        <v>1331</v>
      </c>
      <c r="AE360" s="4" t="s">
        <v>217</v>
      </c>
      <c r="AF360" s="4">
        <v>0</v>
      </c>
      <c r="AG360" s="4">
        <v>0.01</v>
      </c>
      <c r="AH360" s="4" t="s">
        <v>1446</v>
      </c>
      <c r="AI360" s="4">
        <v>1</v>
      </c>
      <c r="AJ360" s="4">
        <v>1</v>
      </c>
      <c r="AK360" s="4">
        <v>7.0542573999999997E-2</v>
      </c>
      <c r="AL360" s="4">
        <v>1.1890195005630501E-2</v>
      </c>
      <c r="AM360" s="4">
        <v>-5.8652378994369397E-2</v>
      </c>
      <c r="AN360" s="106">
        <v>1.23437035252394E-5</v>
      </c>
    </row>
    <row r="361" spans="29:40">
      <c r="AC361" s="4" t="s">
        <v>1251</v>
      </c>
      <c r="AD361" s="4" t="s">
        <v>1331</v>
      </c>
      <c r="AE361" s="4" t="s">
        <v>217</v>
      </c>
      <c r="AF361" s="4">
        <v>0</v>
      </c>
      <c r="AG361" s="4">
        <v>0.01</v>
      </c>
      <c r="AH361" s="4" t="s">
        <v>1446</v>
      </c>
      <c r="AI361" s="4">
        <v>1</v>
      </c>
      <c r="AJ361" s="4">
        <v>2</v>
      </c>
      <c r="AK361" s="4">
        <v>6.9648742E-2</v>
      </c>
      <c r="AL361" s="4">
        <v>1.1890195005630501E-2</v>
      </c>
      <c r="AM361" s="4">
        <v>-5.77585469943694E-2</v>
      </c>
      <c r="AN361" s="106">
        <v>1.23437035252394E-5</v>
      </c>
    </row>
    <row r="362" spans="29:40">
      <c r="AC362" s="4" t="s">
        <v>1251</v>
      </c>
      <c r="AD362" s="4" t="s">
        <v>1331</v>
      </c>
      <c r="AE362" s="4" t="s">
        <v>217</v>
      </c>
      <c r="AF362" s="4">
        <v>0</v>
      </c>
      <c r="AG362" s="4">
        <v>0.01</v>
      </c>
      <c r="AH362" s="4" t="s">
        <v>1446</v>
      </c>
      <c r="AI362" s="4">
        <v>1</v>
      </c>
      <c r="AJ362" s="4">
        <v>3</v>
      </c>
      <c r="AK362" s="4">
        <v>7.3908926E-2</v>
      </c>
      <c r="AL362" s="4">
        <v>1.1890195005630501E-2</v>
      </c>
      <c r="AM362" s="4">
        <v>-6.20187309943694E-2</v>
      </c>
      <c r="AN362" s="106">
        <v>1.23437035252394E-5</v>
      </c>
    </row>
    <row r="363" spans="29:40">
      <c r="AC363" s="4" t="s">
        <v>1251</v>
      </c>
      <c r="AD363" s="4" t="s">
        <v>1331</v>
      </c>
      <c r="AE363" s="4" t="s">
        <v>217</v>
      </c>
      <c r="AF363" s="4">
        <v>20</v>
      </c>
      <c r="AG363" s="4">
        <v>0.4</v>
      </c>
      <c r="AH363" s="4" t="s">
        <v>1445</v>
      </c>
      <c r="AI363" s="4">
        <v>0</v>
      </c>
      <c r="AJ363" s="4">
        <v>1</v>
      </c>
      <c r="AK363" s="4">
        <v>9.9466924999999998E-2</v>
      </c>
      <c r="AL363" s="4">
        <v>1.8222072348827299E-2</v>
      </c>
      <c r="AM363" s="4">
        <v>-8.1244852651172594E-2</v>
      </c>
      <c r="AN363" s="4">
        <v>8.1915994410954301E-4</v>
      </c>
    </row>
    <row r="364" spans="29:40">
      <c r="AC364" s="4" t="s">
        <v>1251</v>
      </c>
      <c r="AD364" s="4" t="s">
        <v>1331</v>
      </c>
      <c r="AE364" s="4" t="s">
        <v>217</v>
      </c>
      <c r="AF364" s="4">
        <v>20</v>
      </c>
      <c r="AG364" s="4">
        <v>0.4</v>
      </c>
      <c r="AH364" s="4" t="s">
        <v>1445</v>
      </c>
      <c r="AI364" s="4">
        <v>0</v>
      </c>
      <c r="AJ364" s="4">
        <v>2</v>
      </c>
      <c r="AK364" s="4">
        <v>0.107477789</v>
      </c>
      <c r="AL364" s="4">
        <v>1.8222072348827299E-2</v>
      </c>
      <c r="AM364" s="4">
        <v>-8.9255716651172601E-2</v>
      </c>
      <c r="AN364" s="4">
        <v>8.1915994410954301E-4</v>
      </c>
    </row>
    <row r="365" spans="29:40">
      <c r="AC365" s="4" t="s">
        <v>1251</v>
      </c>
      <c r="AD365" s="4" t="s">
        <v>1331</v>
      </c>
      <c r="AE365" s="4" t="s">
        <v>217</v>
      </c>
      <c r="AF365" s="4">
        <v>20</v>
      </c>
      <c r="AG365" s="4">
        <v>0.4</v>
      </c>
      <c r="AH365" s="4" t="s">
        <v>1445</v>
      </c>
      <c r="AI365" s="4">
        <v>0</v>
      </c>
      <c r="AJ365" s="4">
        <v>3</v>
      </c>
      <c r="AK365" s="4">
        <v>9.7281294000000004E-2</v>
      </c>
      <c r="AL365" s="4">
        <v>1.8222072348827299E-2</v>
      </c>
      <c r="AM365" s="4">
        <v>-7.9059221651172601E-2</v>
      </c>
      <c r="AN365" s="4">
        <v>8.1915994410954301E-4</v>
      </c>
    </row>
    <row r="366" spans="29:40">
      <c r="AC366" s="4" t="s">
        <v>1251</v>
      </c>
      <c r="AD366" s="4" t="s">
        <v>1331</v>
      </c>
      <c r="AE366" s="4" t="s">
        <v>217</v>
      </c>
      <c r="AF366" s="4">
        <v>20</v>
      </c>
      <c r="AG366" s="4">
        <v>0.4</v>
      </c>
      <c r="AH366" s="4" t="s">
        <v>1446</v>
      </c>
      <c r="AI366" s="4">
        <v>1</v>
      </c>
      <c r="AJ366" s="4">
        <v>1</v>
      </c>
      <c r="AK366" s="4">
        <v>2.5391008529999999</v>
      </c>
      <c r="AL366" s="4">
        <v>0.16379028163442999</v>
      </c>
      <c r="AM366" s="4">
        <v>-2.37531057136556</v>
      </c>
      <c r="AN366" s="4">
        <v>1.9367654963613999E-2</v>
      </c>
    </row>
    <row r="367" spans="29:40">
      <c r="AC367" s="4" t="s">
        <v>1251</v>
      </c>
      <c r="AD367" s="4" t="s">
        <v>1331</v>
      </c>
      <c r="AE367" s="4" t="s">
        <v>217</v>
      </c>
      <c r="AF367" s="4">
        <v>20</v>
      </c>
      <c r="AG367" s="4">
        <v>0.4</v>
      </c>
      <c r="AH367" s="4" t="s">
        <v>1446</v>
      </c>
      <c r="AI367" s="4">
        <v>1</v>
      </c>
      <c r="AJ367" s="4">
        <v>2</v>
      </c>
      <c r="AK367" s="4">
        <v>2.4051761260000002</v>
      </c>
      <c r="AL367" s="4">
        <v>0.16379028163442999</v>
      </c>
      <c r="AM367" s="4">
        <v>-2.2413858443655599</v>
      </c>
      <c r="AN367" s="4">
        <v>1.9367654963613999E-2</v>
      </c>
    </row>
    <row r="368" spans="29:40">
      <c r="AC368" s="4" t="s">
        <v>1251</v>
      </c>
      <c r="AD368" s="4" t="s">
        <v>1331</v>
      </c>
      <c r="AE368" s="4" t="s">
        <v>217</v>
      </c>
      <c r="AF368" s="4">
        <v>20</v>
      </c>
      <c r="AG368" s="4">
        <v>0.4</v>
      </c>
      <c r="AH368" s="4" t="s">
        <v>1446</v>
      </c>
      <c r="AI368" s="4">
        <v>1</v>
      </c>
      <c r="AJ368" s="4">
        <v>3</v>
      </c>
      <c r="AK368" s="4">
        <v>2.2878124739999999</v>
      </c>
      <c r="AL368" s="4">
        <v>0.16379028163442999</v>
      </c>
      <c r="AM368" s="4">
        <v>-2.12402219236556</v>
      </c>
      <c r="AN368" s="4">
        <v>1.9367654963613999E-2</v>
      </c>
    </row>
    <row r="369" spans="29:40">
      <c r="AC369" s="4" t="s">
        <v>1251</v>
      </c>
      <c r="AD369" s="4" t="s">
        <v>1331</v>
      </c>
      <c r="AE369" s="4" t="s">
        <v>217</v>
      </c>
      <c r="AF369" s="4">
        <v>500</v>
      </c>
      <c r="AG369" s="4">
        <v>3.02</v>
      </c>
      <c r="AH369" s="4" t="s">
        <v>1445</v>
      </c>
      <c r="AI369" s="4">
        <v>0</v>
      </c>
      <c r="AJ369" s="4">
        <v>1</v>
      </c>
      <c r="AK369" s="4">
        <v>0.29091155000000002</v>
      </c>
      <c r="AL369" s="4">
        <v>0.36217443560746398</v>
      </c>
      <c r="AM369" s="4">
        <v>7.1262885607464604E-2</v>
      </c>
      <c r="AN369" s="4">
        <v>4.4646027968106003E-2</v>
      </c>
    </row>
    <row r="370" spans="29:40">
      <c r="AC370" s="4" t="s">
        <v>1251</v>
      </c>
      <c r="AD370" s="4" t="s">
        <v>1331</v>
      </c>
      <c r="AE370" s="4" t="s">
        <v>217</v>
      </c>
      <c r="AF370" s="4">
        <v>500</v>
      </c>
      <c r="AG370" s="4">
        <v>3.02</v>
      </c>
      <c r="AH370" s="4" t="s">
        <v>1445</v>
      </c>
      <c r="AI370" s="4">
        <v>0</v>
      </c>
      <c r="AJ370" s="4">
        <v>2</v>
      </c>
      <c r="AK370" s="4">
        <v>0.38801771099999999</v>
      </c>
      <c r="AL370" s="4">
        <v>0.36217443560746398</v>
      </c>
      <c r="AM370" s="4">
        <v>-2.5843275392535298E-2</v>
      </c>
      <c r="AN370" s="4">
        <v>4.4646027968106003E-2</v>
      </c>
    </row>
    <row r="371" spans="29:40">
      <c r="AC371" s="4" t="s">
        <v>1251</v>
      </c>
      <c r="AD371" s="4" t="s">
        <v>1331</v>
      </c>
      <c r="AE371" s="4" t="s">
        <v>217</v>
      </c>
      <c r="AF371" s="4">
        <v>500</v>
      </c>
      <c r="AG371" s="4">
        <v>3.02</v>
      </c>
      <c r="AH371" s="4" t="s">
        <v>1445</v>
      </c>
      <c r="AI371" s="4">
        <v>0</v>
      </c>
      <c r="AJ371" s="4">
        <v>3</v>
      </c>
      <c r="AK371" s="4">
        <v>0.40280234599999998</v>
      </c>
      <c r="AL371" s="4">
        <v>0.36217443560746398</v>
      </c>
      <c r="AM371" s="4">
        <v>-4.0627910392535299E-2</v>
      </c>
      <c r="AN371" s="4">
        <v>4.4646027968106003E-2</v>
      </c>
    </row>
    <row r="372" spans="29:40">
      <c r="AC372" s="4" t="s">
        <v>1251</v>
      </c>
      <c r="AD372" s="4" t="s">
        <v>1331</v>
      </c>
      <c r="AE372" s="4" t="s">
        <v>217</v>
      </c>
      <c r="AF372" s="4">
        <v>500</v>
      </c>
      <c r="AG372" s="4">
        <v>3.02</v>
      </c>
      <c r="AH372" s="4" t="s">
        <v>1446</v>
      </c>
      <c r="AI372" s="4">
        <v>1</v>
      </c>
      <c r="AJ372" s="4">
        <v>1</v>
      </c>
      <c r="AK372" s="4">
        <v>3.8736027069999999</v>
      </c>
      <c r="AL372" s="4">
        <v>4.1680115484673603</v>
      </c>
      <c r="AM372" s="4">
        <v>0.29440884146736901</v>
      </c>
      <c r="AN372" s="4">
        <v>0.529590859531057</v>
      </c>
    </row>
    <row r="373" spans="29:40">
      <c r="AC373" s="4" t="s">
        <v>1251</v>
      </c>
      <c r="AD373" s="4" t="s">
        <v>1331</v>
      </c>
      <c r="AE373" s="4" t="s">
        <v>217</v>
      </c>
      <c r="AF373" s="4">
        <v>500</v>
      </c>
      <c r="AG373" s="4">
        <v>3.02</v>
      </c>
      <c r="AH373" s="4" t="s">
        <v>1446</v>
      </c>
      <c r="AI373" s="4">
        <v>1</v>
      </c>
      <c r="AJ373" s="4">
        <v>2</v>
      </c>
      <c r="AK373" s="4">
        <v>3.895675266</v>
      </c>
      <c r="AL373" s="4">
        <v>4.1680115484673603</v>
      </c>
      <c r="AM373" s="4">
        <v>0.27233628246736902</v>
      </c>
      <c r="AN373" s="4">
        <v>0.529590859531057</v>
      </c>
    </row>
    <row r="374" spans="29:40">
      <c r="AC374" s="4" t="s">
        <v>1251</v>
      </c>
      <c r="AD374" s="4" t="s">
        <v>1331</v>
      </c>
      <c r="AE374" s="4" t="s">
        <v>217</v>
      </c>
      <c r="AF374" s="4">
        <v>500</v>
      </c>
      <c r="AG374" s="4">
        <v>3.02</v>
      </c>
      <c r="AH374" s="4" t="s">
        <v>1446</v>
      </c>
      <c r="AI374" s="4">
        <v>1</v>
      </c>
      <c r="AJ374" s="4">
        <v>3</v>
      </c>
      <c r="AK374" s="4">
        <v>4.2207328430000004</v>
      </c>
      <c r="AL374" s="4">
        <v>4.1680115484673603</v>
      </c>
      <c r="AM374" s="4">
        <v>-5.2721294532631101E-2</v>
      </c>
      <c r="AN374" s="4">
        <v>0.529590859531057</v>
      </c>
    </row>
    <row r="375" spans="29:40">
      <c r="AC375" s="4" t="s">
        <v>1254</v>
      </c>
      <c r="AD375" s="4" t="s">
        <v>236</v>
      </c>
      <c r="AE375" s="4" t="s">
        <v>217</v>
      </c>
      <c r="AF375" s="4">
        <v>0</v>
      </c>
      <c r="AG375" s="4">
        <v>0.01</v>
      </c>
      <c r="AH375" s="4" t="s">
        <v>1445</v>
      </c>
      <c r="AI375" s="4">
        <v>0</v>
      </c>
      <c r="AJ375" s="4">
        <v>1</v>
      </c>
      <c r="AK375" s="4">
        <v>6.7168476000000005E-2</v>
      </c>
      <c r="AL375" s="4">
        <v>3.4684580737839102E-2</v>
      </c>
      <c r="AM375" s="4">
        <v>-3.2483895262160799E-2</v>
      </c>
      <c r="AN375" s="106">
        <v>5.6677972240738798E-12</v>
      </c>
    </row>
    <row r="376" spans="29:40">
      <c r="AC376" s="4" t="s">
        <v>1254</v>
      </c>
      <c r="AD376" s="4" t="s">
        <v>236</v>
      </c>
      <c r="AE376" s="4" t="s">
        <v>217</v>
      </c>
      <c r="AF376" s="4">
        <v>0</v>
      </c>
      <c r="AG376" s="4">
        <v>0.01</v>
      </c>
      <c r="AH376" s="4" t="s">
        <v>1445</v>
      </c>
      <c r="AI376" s="4">
        <v>0</v>
      </c>
      <c r="AJ376" s="4">
        <v>2</v>
      </c>
      <c r="AK376" s="4">
        <v>7.4431046000000001E-2</v>
      </c>
      <c r="AL376" s="4">
        <v>3.4684580737839102E-2</v>
      </c>
      <c r="AM376" s="4">
        <v>-3.9746465262160802E-2</v>
      </c>
      <c r="AN376" s="106">
        <v>5.6677972240738798E-12</v>
      </c>
    </row>
    <row r="377" spans="29:40">
      <c r="AC377" s="4" t="s">
        <v>1254</v>
      </c>
      <c r="AD377" s="4" t="s">
        <v>236</v>
      </c>
      <c r="AE377" s="4" t="s">
        <v>217</v>
      </c>
      <c r="AF377" s="4">
        <v>0</v>
      </c>
      <c r="AG377" s="4">
        <v>0.01</v>
      </c>
      <c r="AH377" s="4" t="s">
        <v>1445</v>
      </c>
      <c r="AI377" s="4">
        <v>0</v>
      </c>
      <c r="AJ377" s="4">
        <v>3</v>
      </c>
      <c r="AK377" s="4">
        <v>9.7930006E-2</v>
      </c>
      <c r="AL377" s="4">
        <v>3.4684580737839102E-2</v>
      </c>
      <c r="AM377" s="4">
        <v>-6.3245425262160898E-2</v>
      </c>
      <c r="AN377" s="106">
        <v>5.6677972240738798E-12</v>
      </c>
    </row>
    <row r="378" spans="29:40">
      <c r="AC378" s="4" t="s">
        <v>1254</v>
      </c>
      <c r="AD378" s="4" t="s">
        <v>236</v>
      </c>
      <c r="AE378" s="4" t="s">
        <v>217</v>
      </c>
      <c r="AF378" s="4">
        <v>0</v>
      </c>
      <c r="AG378" s="4">
        <v>0.01</v>
      </c>
      <c r="AH378" s="4" t="s">
        <v>1446</v>
      </c>
      <c r="AI378" s="4">
        <v>1</v>
      </c>
      <c r="AJ378" s="4">
        <v>1</v>
      </c>
      <c r="AK378" s="4">
        <v>7.3592894000000006E-2</v>
      </c>
      <c r="AL378" s="4">
        <v>3.4684581611563903E-2</v>
      </c>
      <c r="AM378" s="4">
        <v>-3.8908312388435999E-2</v>
      </c>
      <c r="AN378" s="106">
        <v>1.36540195276672E-10</v>
      </c>
    </row>
    <row r="379" spans="29:40">
      <c r="AC379" s="4" t="s">
        <v>1254</v>
      </c>
      <c r="AD379" s="4" t="s">
        <v>236</v>
      </c>
      <c r="AE379" s="4" t="s">
        <v>217</v>
      </c>
      <c r="AF379" s="4">
        <v>0</v>
      </c>
      <c r="AG379" s="4">
        <v>0.01</v>
      </c>
      <c r="AH379" s="4" t="s">
        <v>1446</v>
      </c>
      <c r="AI379" s="4">
        <v>1</v>
      </c>
      <c r="AJ379" s="4">
        <v>2</v>
      </c>
      <c r="AK379" s="4">
        <v>7.7766401999999998E-2</v>
      </c>
      <c r="AL379" s="4">
        <v>3.4684581611563903E-2</v>
      </c>
      <c r="AM379" s="4">
        <v>-4.3081820388435998E-2</v>
      </c>
      <c r="AN379" s="106">
        <v>1.36540195276672E-10</v>
      </c>
    </row>
    <row r="380" spans="29:40">
      <c r="AC380" s="4" t="s">
        <v>1254</v>
      </c>
      <c r="AD380" s="4" t="s">
        <v>236</v>
      </c>
      <c r="AE380" s="4" t="s">
        <v>217</v>
      </c>
      <c r="AF380" s="4">
        <v>0</v>
      </c>
      <c r="AG380" s="4">
        <v>0.01</v>
      </c>
      <c r="AH380" s="4" t="s">
        <v>1446</v>
      </c>
      <c r="AI380" s="4">
        <v>1</v>
      </c>
      <c r="AJ380" s="4">
        <v>3</v>
      </c>
      <c r="AK380" s="4">
        <v>7.0205479000000001E-2</v>
      </c>
      <c r="AL380" s="4">
        <v>3.4684581611563903E-2</v>
      </c>
      <c r="AM380" s="4">
        <v>-3.5520897388436001E-2</v>
      </c>
      <c r="AN380" s="106">
        <v>1.36540195276672E-10</v>
      </c>
    </row>
    <row r="381" spans="29:40">
      <c r="AC381" s="4" t="s">
        <v>1254</v>
      </c>
      <c r="AD381" s="4" t="s">
        <v>236</v>
      </c>
      <c r="AE381" s="4" t="s">
        <v>217</v>
      </c>
      <c r="AF381" s="4">
        <v>20</v>
      </c>
      <c r="AG381" s="4">
        <v>0.4</v>
      </c>
      <c r="AH381" s="4" t="s">
        <v>1445</v>
      </c>
      <c r="AI381" s="4">
        <v>0</v>
      </c>
      <c r="AJ381" s="4">
        <v>1</v>
      </c>
      <c r="AK381" s="4">
        <v>0.10624383</v>
      </c>
      <c r="AL381" s="4">
        <v>3.46846412425795E-2</v>
      </c>
      <c r="AM381" s="4">
        <v>-7.15591887574204E-2</v>
      </c>
      <c r="AN381" s="106">
        <v>9.0684754763323492E-9</v>
      </c>
    </row>
    <row r="382" spans="29:40">
      <c r="AC382" s="4" t="s">
        <v>1254</v>
      </c>
      <c r="AD382" s="4" t="s">
        <v>236</v>
      </c>
      <c r="AE382" s="4" t="s">
        <v>217</v>
      </c>
      <c r="AF382" s="4">
        <v>20</v>
      </c>
      <c r="AG382" s="4">
        <v>0.4</v>
      </c>
      <c r="AH382" s="4" t="s">
        <v>1445</v>
      </c>
      <c r="AI382" s="4">
        <v>0</v>
      </c>
      <c r="AJ382" s="4">
        <v>2</v>
      </c>
      <c r="AK382" s="4">
        <v>8.6606987999999996E-2</v>
      </c>
      <c r="AL382" s="4">
        <v>3.46846412425795E-2</v>
      </c>
      <c r="AM382" s="4">
        <v>-5.1922346757420398E-2</v>
      </c>
      <c r="AN382" s="106">
        <v>9.0684754763323492E-9</v>
      </c>
    </row>
    <row r="383" spans="29:40">
      <c r="AC383" s="4" t="s">
        <v>1254</v>
      </c>
      <c r="AD383" s="4" t="s">
        <v>236</v>
      </c>
      <c r="AE383" s="4" t="s">
        <v>217</v>
      </c>
      <c r="AF383" s="4">
        <v>20</v>
      </c>
      <c r="AG383" s="4">
        <v>0.4</v>
      </c>
      <c r="AH383" s="4" t="s">
        <v>1445</v>
      </c>
      <c r="AI383" s="4">
        <v>0</v>
      </c>
      <c r="AJ383" s="4">
        <v>3</v>
      </c>
      <c r="AK383" s="4">
        <v>9.4331047000000001E-2</v>
      </c>
      <c r="AL383" s="4">
        <v>3.46846412425795E-2</v>
      </c>
      <c r="AM383" s="4">
        <v>-5.9646405757420397E-2</v>
      </c>
      <c r="AN383" s="106">
        <v>9.0684754763323492E-9</v>
      </c>
    </row>
    <row r="384" spans="29:40">
      <c r="AC384" s="4" t="s">
        <v>1254</v>
      </c>
      <c r="AD384" s="4" t="s">
        <v>236</v>
      </c>
      <c r="AE384" s="4" t="s">
        <v>217</v>
      </c>
      <c r="AF384" s="4">
        <v>20</v>
      </c>
      <c r="AG384" s="4">
        <v>0.4</v>
      </c>
      <c r="AH384" s="4" t="s">
        <v>1446</v>
      </c>
      <c r="AI384" s="4">
        <v>1</v>
      </c>
      <c r="AJ384" s="4">
        <v>1</v>
      </c>
      <c r="AK384" s="4">
        <v>0.147212751</v>
      </c>
      <c r="AL384" s="4">
        <v>3.4686039202055999E-2</v>
      </c>
      <c r="AM384" s="4">
        <v>-0.112526711797943</v>
      </c>
      <c r="AN384" s="106">
        <v>2.1846426474585901E-7</v>
      </c>
    </row>
    <row r="385" spans="29:40">
      <c r="AC385" s="4" t="s">
        <v>1254</v>
      </c>
      <c r="AD385" s="4" t="s">
        <v>236</v>
      </c>
      <c r="AE385" s="4" t="s">
        <v>217</v>
      </c>
      <c r="AF385" s="4">
        <v>20</v>
      </c>
      <c r="AG385" s="4">
        <v>0.4</v>
      </c>
      <c r="AH385" s="4" t="s">
        <v>1446</v>
      </c>
      <c r="AI385" s="4">
        <v>1</v>
      </c>
      <c r="AJ385" s="4">
        <v>2</v>
      </c>
      <c r="AK385" s="4">
        <v>0.14687313399999999</v>
      </c>
      <c r="AL385" s="4">
        <v>3.4686039202055999E-2</v>
      </c>
      <c r="AM385" s="4">
        <v>-0.112187094797943</v>
      </c>
      <c r="AN385" s="106">
        <v>2.1846426474585901E-7</v>
      </c>
    </row>
    <row r="386" spans="29:40">
      <c r="AC386" s="4" t="s">
        <v>1254</v>
      </c>
      <c r="AD386" s="4" t="s">
        <v>236</v>
      </c>
      <c r="AE386" s="4" t="s">
        <v>217</v>
      </c>
      <c r="AF386" s="4">
        <v>20</v>
      </c>
      <c r="AG386" s="4">
        <v>0.4</v>
      </c>
      <c r="AH386" s="4" t="s">
        <v>1446</v>
      </c>
      <c r="AI386" s="4">
        <v>1</v>
      </c>
      <c r="AJ386" s="4">
        <v>3</v>
      </c>
      <c r="AK386" s="4">
        <v>0.14056498100000001</v>
      </c>
      <c r="AL386" s="4">
        <v>3.4686039202055999E-2</v>
      </c>
      <c r="AM386" s="4">
        <v>-0.10587894179794299</v>
      </c>
      <c r="AN386" s="106">
        <v>2.1846426474585901E-7</v>
      </c>
    </row>
    <row r="387" spans="29:40">
      <c r="AC387" s="4" t="s">
        <v>1254</v>
      </c>
      <c r="AD387" s="4" t="s">
        <v>236</v>
      </c>
      <c r="AE387" s="4" t="s">
        <v>217</v>
      </c>
      <c r="AF387" s="4">
        <v>500</v>
      </c>
      <c r="AG387" s="4">
        <v>3.02</v>
      </c>
      <c r="AH387" s="4" t="s">
        <v>1445</v>
      </c>
      <c r="AI387" s="4">
        <v>0</v>
      </c>
      <c r="AJ387" s="4">
        <v>1</v>
      </c>
      <c r="AK387" s="4">
        <v>7.0185122000000003E-2</v>
      </c>
      <c r="AL387" s="4">
        <v>3.4688031776638199E-2</v>
      </c>
      <c r="AM387" s="4">
        <v>-3.5497090223361699E-2</v>
      </c>
      <c r="AN387" s="106">
        <v>5.1692551081524198E-7</v>
      </c>
    </row>
    <row r="388" spans="29:40">
      <c r="AC388" s="4" t="s">
        <v>1254</v>
      </c>
      <c r="AD388" s="4" t="s">
        <v>236</v>
      </c>
      <c r="AE388" s="4" t="s">
        <v>217</v>
      </c>
      <c r="AF388" s="4">
        <v>500</v>
      </c>
      <c r="AG388" s="4">
        <v>3.02</v>
      </c>
      <c r="AH388" s="4" t="s">
        <v>1445</v>
      </c>
      <c r="AI388" s="4">
        <v>0</v>
      </c>
      <c r="AJ388" s="4">
        <v>2</v>
      </c>
      <c r="AK388" s="4">
        <v>6.4736289000000002E-2</v>
      </c>
      <c r="AL388" s="4">
        <v>3.4688031776638199E-2</v>
      </c>
      <c r="AM388" s="4">
        <v>-3.0048257223361699E-2</v>
      </c>
      <c r="AN388" s="106">
        <v>5.1692551081524198E-7</v>
      </c>
    </row>
    <row r="389" spans="29:40">
      <c r="AC389" s="4" t="s">
        <v>1254</v>
      </c>
      <c r="AD389" s="4" t="s">
        <v>236</v>
      </c>
      <c r="AE389" s="4" t="s">
        <v>217</v>
      </c>
      <c r="AF389" s="4">
        <v>500</v>
      </c>
      <c r="AG389" s="4">
        <v>3.02</v>
      </c>
      <c r="AH389" s="4" t="s">
        <v>1445</v>
      </c>
      <c r="AI389" s="4">
        <v>0</v>
      </c>
      <c r="AJ389" s="4">
        <v>3</v>
      </c>
      <c r="AK389" s="4">
        <v>6.7453550000000001E-2</v>
      </c>
      <c r="AL389" s="4">
        <v>3.4688031776638199E-2</v>
      </c>
      <c r="AM389" s="4">
        <v>-3.2765518223361698E-2</v>
      </c>
      <c r="AN389" s="106">
        <v>5.1692551081524198E-7</v>
      </c>
    </row>
    <row r="390" spans="29:40">
      <c r="AC390" s="4" t="s">
        <v>1254</v>
      </c>
      <c r="AD390" s="4" t="s">
        <v>236</v>
      </c>
      <c r="AE390" s="4" t="s">
        <v>217</v>
      </c>
      <c r="AF390" s="4">
        <v>500</v>
      </c>
      <c r="AG390" s="4">
        <v>3.02</v>
      </c>
      <c r="AH390" s="4" t="s">
        <v>1446</v>
      </c>
      <c r="AI390" s="4">
        <v>1</v>
      </c>
      <c r="AJ390" s="4">
        <v>1</v>
      </c>
      <c r="AK390" s="4">
        <v>1.0528919329999999</v>
      </c>
      <c r="AL390" s="4">
        <v>3.4767717946303602E-2</v>
      </c>
      <c r="AM390" s="4">
        <v>-1.01812421505369</v>
      </c>
      <c r="AN390" s="106">
        <v>1.2452856896137901E-5</v>
      </c>
    </row>
    <row r="391" spans="29:40">
      <c r="AC391" s="4" t="s">
        <v>1254</v>
      </c>
      <c r="AD391" s="4" t="s">
        <v>236</v>
      </c>
      <c r="AE391" s="4" t="s">
        <v>217</v>
      </c>
      <c r="AF391" s="4">
        <v>500</v>
      </c>
      <c r="AG391" s="4">
        <v>3.02</v>
      </c>
      <c r="AH391" s="4" t="s">
        <v>1446</v>
      </c>
      <c r="AI391" s="4">
        <v>1</v>
      </c>
      <c r="AJ391" s="4">
        <v>2</v>
      </c>
      <c r="AK391" s="4">
        <v>0.89454590899999997</v>
      </c>
      <c r="AL391" s="4">
        <v>3.4767717946303602E-2</v>
      </c>
      <c r="AM391" s="4">
        <v>-0.85977819105369602</v>
      </c>
      <c r="AN391" s="106">
        <v>1.2452856896137901E-5</v>
      </c>
    </row>
    <row r="392" spans="29:40">
      <c r="AC392" s="4" t="s">
        <v>1254</v>
      </c>
      <c r="AD392" s="4" t="s">
        <v>236</v>
      </c>
      <c r="AE392" s="4" t="s">
        <v>217</v>
      </c>
      <c r="AF392" s="4">
        <v>500</v>
      </c>
      <c r="AG392" s="4">
        <v>3.02</v>
      </c>
      <c r="AH392" s="4" t="s">
        <v>1446</v>
      </c>
      <c r="AI392" s="4">
        <v>1</v>
      </c>
      <c r="AJ392" s="4">
        <v>3</v>
      </c>
      <c r="AK392" s="4">
        <v>1.005799605</v>
      </c>
      <c r="AL392" s="4">
        <v>3.4767717946303602E-2</v>
      </c>
      <c r="AM392" s="4">
        <v>-0.97103188705369603</v>
      </c>
      <c r="AN392" s="106">
        <v>1.2452856896137901E-5</v>
      </c>
    </row>
    <row r="393" spans="29:40">
      <c r="AC393" s="4" t="s">
        <v>1255</v>
      </c>
      <c r="AD393" s="4" t="s">
        <v>233</v>
      </c>
      <c r="AE393" s="4" t="s">
        <v>210</v>
      </c>
      <c r="AF393" s="4">
        <v>0</v>
      </c>
      <c r="AG393" s="4">
        <v>0.01</v>
      </c>
      <c r="AH393" s="4" t="s">
        <v>1445</v>
      </c>
      <c r="AI393" s="4">
        <v>0</v>
      </c>
      <c r="AJ393" s="4">
        <v>1</v>
      </c>
      <c r="AK393" s="4">
        <v>1.4828258E-2</v>
      </c>
      <c r="AL393" s="4">
        <v>1.29229524770899E-2</v>
      </c>
      <c r="AM393" s="4">
        <v>-1.9053055229100301E-3</v>
      </c>
      <c r="AN393" s="106">
        <v>3.30927733123237E-8</v>
      </c>
    </row>
    <row r="394" spans="29:40">
      <c r="AC394" s="4" t="s">
        <v>1255</v>
      </c>
      <c r="AD394" s="4" t="s">
        <v>233</v>
      </c>
      <c r="AE394" s="4" t="s">
        <v>210</v>
      </c>
      <c r="AF394" s="4">
        <v>0</v>
      </c>
      <c r="AG394" s="4">
        <v>0.01</v>
      </c>
      <c r="AH394" s="4" t="s">
        <v>1445</v>
      </c>
      <c r="AI394" s="4">
        <v>0</v>
      </c>
      <c r="AJ394" s="4">
        <v>2</v>
      </c>
      <c r="AK394" s="4">
        <v>1.5688396E-2</v>
      </c>
      <c r="AL394" s="4">
        <v>1.29229524770899E-2</v>
      </c>
      <c r="AM394" s="4">
        <v>-2.7654435229100302E-3</v>
      </c>
      <c r="AN394" s="106">
        <v>3.30927733123237E-8</v>
      </c>
    </row>
    <row r="395" spans="29:40">
      <c r="AC395" s="4" t="s">
        <v>1255</v>
      </c>
      <c r="AD395" s="4" t="s">
        <v>233</v>
      </c>
      <c r="AE395" s="4" t="s">
        <v>210</v>
      </c>
      <c r="AF395" s="4">
        <v>0</v>
      </c>
      <c r="AG395" s="4">
        <v>0.01</v>
      </c>
      <c r="AH395" s="4" t="s">
        <v>1445</v>
      </c>
      <c r="AI395" s="4">
        <v>0</v>
      </c>
      <c r="AJ395" s="4">
        <v>3</v>
      </c>
      <c r="AK395" s="4">
        <v>1.4967090000000001E-2</v>
      </c>
      <c r="AL395" s="4">
        <v>1.29229524770899E-2</v>
      </c>
      <c r="AM395" s="4">
        <v>-2.0441375229100301E-3</v>
      </c>
      <c r="AN395" s="106">
        <v>3.30927733123237E-8</v>
      </c>
    </row>
    <row r="396" spans="29:40">
      <c r="AC396" s="4" t="s">
        <v>1255</v>
      </c>
      <c r="AD396" s="4" t="s">
        <v>233</v>
      </c>
      <c r="AE396" s="4" t="s">
        <v>210</v>
      </c>
      <c r="AF396" s="4">
        <v>0</v>
      </c>
      <c r="AG396" s="4">
        <v>0.01</v>
      </c>
      <c r="AH396" s="4" t="s">
        <v>1446</v>
      </c>
      <c r="AI396" s="4">
        <v>2000</v>
      </c>
      <c r="AJ396" s="4">
        <v>1</v>
      </c>
      <c r="AK396" s="4">
        <v>6.4595710000000001E-2</v>
      </c>
      <c r="AL396" s="4">
        <v>1.3088207853831E-2</v>
      </c>
      <c r="AM396" s="4">
        <v>-5.15075021461689E-2</v>
      </c>
      <c r="AN396" s="106">
        <v>2.8490556415881601E-5</v>
      </c>
    </row>
    <row r="397" spans="29:40">
      <c r="AC397" s="4" t="s">
        <v>1255</v>
      </c>
      <c r="AD397" s="4" t="s">
        <v>233</v>
      </c>
      <c r="AE397" s="4" t="s">
        <v>210</v>
      </c>
      <c r="AF397" s="4">
        <v>0</v>
      </c>
      <c r="AG397" s="4">
        <v>0.01</v>
      </c>
      <c r="AH397" s="4" t="s">
        <v>1446</v>
      </c>
      <c r="AI397" s="4">
        <v>2000</v>
      </c>
      <c r="AJ397" s="4">
        <v>2</v>
      </c>
      <c r="AK397" s="4">
        <v>7.0637398000000004E-2</v>
      </c>
      <c r="AL397" s="4">
        <v>1.3088207853831E-2</v>
      </c>
      <c r="AM397" s="4">
        <v>-5.7549190146168903E-2</v>
      </c>
      <c r="AN397" s="106">
        <v>2.8490556415881601E-5</v>
      </c>
    </row>
    <row r="398" spans="29:40">
      <c r="AC398" s="4" t="s">
        <v>1255</v>
      </c>
      <c r="AD398" s="4" t="s">
        <v>233</v>
      </c>
      <c r="AE398" s="4" t="s">
        <v>210</v>
      </c>
      <c r="AF398" s="4">
        <v>0</v>
      </c>
      <c r="AG398" s="4">
        <v>0.01</v>
      </c>
      <c r="AH398" s="4" t="s">
        <v>1446</v>
      </c>
      <c r="AI398" s="4">
        <v>2000</v>
      </c>
      <c r="AJ398" s="4">
        <v>3</v>
      </c>
      <c r="AK398" s="4">
        <v>5.2512335E-2</v>
      </c>
      <c r="AL398" s="4">
        <v>1.3088207853831E-2</v>
      </c>
      <c r="AM398" s="4">
        <v>-3.94241271461689E-2</v>
      </c>
      <c r="AN398" s="106">
        <v>2.8490556415881601E-5</v>
      </c>
    </row>
    <row r="399" spans="29:40">
      <c r="AC399" s="4" t="s">
        <v>1255</v>
      </c>
      <c r="AD399" s="4" t="s">
        <v>233</v>
      </c>
      <c r="AE399" s="4" t="s">
        <v>210</v>
      </c>
      <c r="AF399" s="4">
        <v>20</v>
      </c>
      <c r="AG399" s="4">
        <v>0.4</v>
      </c>
      <c r="AH399" s="4" t="s">
        <v>1445</v>
      </c>
      <c r="AI399" s="4">
        <v>0</v>
      </c>
      <c r="AJ399" s="4">
        <v>1</v>
      </c>
      <c r="AK399" s="4">
        <v>1.8122802E-2</v>
      </c>
      <c r="AL399" s="4">
        <v>1.3230220978577499E-2</v>
      </c>
      <c r="AM399" s="4">
        <v>-4.8925810214224203E-3</v>
      </c>
      <c r="AN399" s="106">
        <v>5.2945635663165702E-5</v>
      </c>
    </row>
    <row r="400" spans="29:40">
      <c r="AC400" s="4" t="s">
        <v>1255</v>
      </c>
      <c r="AD400" s="4" t="s">
        <v>233</v>
      </c>
      <c r="AE400" s="4" t="s">
        <v>210</v>
      </c>
      <c r="AF400" s="4">
        <v>20</v>
      </c>
      <c r="AG400" s="4">
        <v>0.4</v>
      </c>
      <c r="AH400" s="4" t="s">
        <v>1445</v>
      </c>
      <c r="AI400" s="4">
        <v>0</v>
      </c>
      <c r="AJ400" s="4">
        <v>2</v>
      </c>
      <c r="AK400" s="4">
        <v>1.7021648E-2</v>
      </c>
      <c r="AL400" s="4">
        <v>1.3230220978577499E-2</v>
      </c>
      <c r="AM400" s="4">
        <v>-3.7914270214224198E-3</v>
      </c>
      <c r="AN400" s="106">
        <v>5.2945635663165702E-5</v>
      </c>
    </row>
    <row r="401" spans="29:40">
      <c r="AC401" s="4" t="s">
        <v>1255</v>
      </c>
      <c r="AD401" s="4" t="s">
        <v>233</v>
      </c>
      <c r="AE401" s="4" t="s">
        <v>210</v>
      </c>
      <c r="AF401" s="4">
        <v>20</v>
      </c>
      <c r="AG401" s="4">
        <v>0.4</v>
      </c>
      <c r="AH401" s="4" t="s">
        <v>1445</v>
      </c>
      <c r="AI401" s="4">
        <v>0</v>
      </c>
      <c r="AJ401" s="4">
        <v>3</v>
      </c>
      <c r="AK401" s="4">
        <v>1.7395537999999999E-2</v>
      </c>
      <c r="AL401" s="4">
        <v>1.3230220978577499E-2</v>
      </c>
      <c r="AM401" s="4">
        <v>-4.1653170214224202E-3</v>
      </c>
      <c r="AN401" s="106">
        <v>5.2945635663165702E-5</v>
      </c>
    </row>
    <row r="402" spans="29:40">
      <c r="AC402" s="4" t="s">
        <v>1255</v>
      </c>
      <c r="AD402" s="4" t="s">
        <v>233</v>
      </c>
      <c r="AE402" s="4" t="s">
        <v>210</v>
      </c>
      <c r="AF402" s="4">
        <v>20</v>
      </c>
      <c r="AG402" s="4">
        <v>0.4</v>
      </c>
      <c r="AH402" s="4" t="s">
        <v>1446</v>
      </c>
      <c r="AI402" s="4">
        <v>2000</v>
      </c>
      <c r="AJ402" s="4">
        <v>1</v>
      </c>
      <c r="AK402" s="4">
        <v>0.314144904</v>
      </c>
      <c r="AL402" s="4">
        <v>0.26610477879993299</v>
      </c>
      <c r="AM402" s="4">
        <v>-4.80401252000663E-2</v>
      </c>
      <c r="AN402" s="4">
        <v>4.35986908770278E-2</v>
      </c>
    </row>
    <row r="403" spans="29:40">
      <c r="AC403" s="4" t="s">
        <v>1255</v>
      </c>
      <c r="AD403" s="4" t="s">
        <v>233</v>
      </c>
      <c r="AE403" s="4" t="s">
        <v>210</v>
      </c>
      <c r="AF403" s="4">
        <v>20</v>
      </c>
      <c r="AG403" s="4">
        <v>0.4</v>
      </c>
      <c r="AH403" s="4" t="s">
        <v>1446</v>
      </c>
      <c r="AI403" s="4">
        <v>2000</v>
      </c>
      <c r="AJ403" s="4">
        <v>2</v>
      </c>
      <c r="AK403" s="4">
        <v>0.320858702</v>
      </c>
      <c r="AL403" s="4">
        <v>0.26610477879993299</v>
      </c>
      <c r="AM403" s="4">
        <v>-5.47539232000663E-2</v>
      </c>
      <c r="AN403" s="4">
        <v>4.35986908770278E-2</v>
      </c>
    </row>
    <row r="404" spans="29:40">
      <c r="AC404" s="4" t="s">
        <v>1255</v>
      </c>
      <c r="AD404" s="4" t="s">
        <v>233</v>
      </c>
      <c r="AE404" s="4" t="s">
        <v>210</v>
      </c>
      <c r="AF404" s="4">
        <v>20</v>
      </c>
      <c r="AG404" s="4">
        <v>0.4</v>
      </c>
      <c r="AH404" s="4" t="s">
        <v>1446</v>
      </c>
      <c r="AI404" s="4">
        <v>2000</v>
      </c>
      <c r="AJ404" s="4">
        <v>3</v>
      </c>
      <c r="AK404" s="4">
        <v>0.33398068400000003</v>
      </c>
      <c r="AL404" s="4">
        <v>0.26610477879993299</v>
      </c>
      <c r="AM404" s="4">
        <v>-6.7875905200066297E-2</v>
      </c>
      <c r="AN404" s="4">
        <v>4.35986908770278E-2</v>
      </c>
    </row>
    <row r="405" spans="29:40">
      <c r="AC405" s="4" t="s">
        <v>1255</v>
      </c>
      <c r="AD405" s="4" t="s">
        <v>233</v>
      </c>
      <c r="AE405" s="4" t="s">
        <v>210</v>
      </c>
      <c r="AF405" s="4">
        <v>500</v>
      </c>
      <c r="AG405" s="4">
        <v>3.02</v>
      </c>
      <c r="AH405" s="4" t="s">
        <v>1445</v>
      </c>
      <c r="AI405" s="4">
        <v>0</v>
      </c>
      <c r="AJ405" s="4">
        <v>1</v>
      </c>
      <c r="AK405" s="4">
        <v>1.7905026000000001E-2</v>
      </c>
      <c r="AL405" s="4">
        <v>3.0396974823505101E-2</v>
      </c>
      <c r="AM405" s="4">
        <v>1.24919488235051E-2</v>
      </c>
      <c r="AN405" s="4">
        <v>3.00911131714913E-3</v>
      </c>
    </row>
    <row r="406" spans="29:40">
      <c r="AC406" s="4" t="s">
        <v>1255</v>
      </c>
      <c r="AD406" s="4" t="s">
        <v>233</v>
      </c>
      <c r="AE406" s="4" t="s">
        <v>210</v>
      </c>
      <c r="AF406" s="4">
        <v>500</v>
      </c>
      <c r="AG406" s="4">
        <v>3.02</v>
      </c>
      <c r="AH406" s="4" t="s">
        <v>1445</v>
      </c>
      <c r="AI406" s="4">
        <v>0</v>
      </c>
      <c r="AJ406" s="4">
        <v>2</v>
      </c>
      <c r="AK406" s="4">
        <v>2.0713117E-2</v>
      </c>
      <c r="AL406" s="4">
        <v>3.0396974823505101E-2</v>
      </c>
      <c r="AM406" s="4">
        <v>9.6838578235051292E-3</v>
      </c>
      <c r="AN406" s="4">
        <v>3.00911131714913E-3</v>
      </c>
    </row>
    <row r="407" spans="29:40">
      <c r="AC407" s="4" t="s">
        <v>1255</v>
      </c>
      <c r="AD407" s="4" t="s">
        <v>233</v>
      </c>
      <c r="AE407" s="4" t="s">
        <v>210</v>
      </c>
      <c r="AF407" s="4">
        <v>500</v>
      </c>
      <c r="AG407" s="4">
        <v>3.02</v>
      </c>
      <c r="AH407" s="4" t="s">
        <v>1445</v>
      </c>
      <c r="AI407" s="4">
        <v>0</v>
      </c>
      <c r="AJ407" s="4">
        <v>3</v>
      </c>
      <c r="AK407" s="4">
        <v>2.0848088000000001E-2</v>
      </c>
      <c r="AL407" s="4">
        <v>3.0396974823505101E-2</v>
      </c>
      <c r="AM407" s="4">
        <v>9.5488868235051299E-3</v>
      </c>
      <c r="AN407" s="4">
        <v>3.00911131714913E-3</v>
      </c>
    </row>
    <row r="408" spans="29:40">
      <c r="AC408" s="4" t="s">
        <v>1255</v>
      </c>
      <c r="AD408" s="4" t="s">
        <v>233</v>
      </c>
      <c r="AE408" s="4" t="s">
        <v>210</v>
      </c>
      <c r="AF408" s="4">
        <v>500</v>
      </c>
      <c r="AG408" s="4">
        <v>3.02</v>
      </c>
      <c r="AH408" s="4" t="s">
        <v>1446</v>
      </c>
      <c r="AI408" s="4">
        <v>2000</v>
      </c>
      <c r="AJ408" s="4">
        <v>1</v>
      </c>
      <c r="AK408" s="4">
        <v>4.2338089400000003</v>
      </c>
      <c r="AL408" s="4">
        <v>4.2062800260626201</v>
      </c>
      <c r="AM408" s="4">
        <v>-2.75289139373802E-2</v>
      </c>
      <c r="AN408" s="4">
        <v>0.72210849827664503</v>
      </c>
    </row>
    <row r="409" spans="29:40">
      <c r="AC409" s="4" t="s">
        <v>1255</v>
      </c>
      <c r="AD409" s="4" t="s">
        <v>233</v>
      </c>
      <c r="AE409" s="4" t="s">
        <v>210</v>
      </c>
      <c r="AF409" s="4">
        <v>500</v>
      </c>
      <c r="AG409" s="4">
        <v>3.02</v>
      </c>
      <c r="AH409" s="4" t="s">
        <v>1446</v>
      </c>
      <c r="AI409" s="4">
        <v>2000</v>
      </c>
      <c r="AJ409" s="4">
        <v>2</v>
      </c>
      <c r="AK409" s="4">
        <v>4.2338089400000003</v>
      </c>
      <c r="AL409" s="4">
        <v>4.2062800260626201</v>
      </c>
      <c r="AM409" s="4">
        <v>-2.75289139373802E-2</v>
      </c>
      <c r="AN409" s="4">
        <v>0.72210849827664503</v>
      </c>
    </row>
    <row r="410" spans="29:40">
      <c r="AC410" s="4" t="s">
        <v>1255</v>
      </c>
      <c r="AD410" s="4" t="s">
        <v>233</v>
      </c>
      <c r="AE410" s="4" t="s">
        <v>210</v>
      </c>
      <c r="AF410" s="4">
        <v>500</v>
      </c>
      <c r="AG410" s="4">
        <v>3.02</v>
      </c>
      <c r="AH410" s="4" t="s">
        <v>1446</v>
      </c>
      <c r="AI410" s="4">
        <v>2000</v>
      </c>
      <c r="AJ410" s="4">
        <v>3</v>
      </c>
      <c r="AK410" s="4">
        <v>4.116207781</v>
      </c>
      <c r="AL410" s="4">
        <v>4.2062800260626201</v>
      </c>
      <c r="AM410" s="4">
        <v>9.0072245062620099E-2</v>
      </c>
      <c r="AN410" s="4">
        <v>0.72210849827664503</v>
      </c>
    </row>
    <row r="411" spans="29:40">
      <c r="AC411" s="4" t="s">
        <v>1258</v>
      </c>
      <c r="AD411" s="4" t="s">
        <v>235</v>
      </c>
      <c r="AE411" s="4" t="s">
        <v>207</v>
      </c>
      <c r="AF411" s="4">
        <v>0</v>
      </c>
      <c r="AG411" s="4">
        <v>0.01</v>
      </c>
      <c r="AH411" s="4" t="s">
        <v>1445</v>
      </c>
      <c r="AI411" s="4">
        <v>0</v>
      </c>
      <c r="AJ411" s="4">
        <v>1</v>
      </c>
      <c r="AK411" s="4">
        <v>3.4439395999999997E-2</v>
      </c>
      <c r="AL411" s="4">
        <v>3.30581489658597E-2</v>
      </c>
      <c r="AM411" s="4">
        <v>-1.38124703414027E-3</v>
      </c>
      <c r="AN411" s="106">
        <v>6.4246407416018696E-8</v>
      </c>
    </row>
    <row r="412" spans="29:40">
      <c r="AC412" s="4" t="s">
        <v>1258</v>
      </c>
      <c r="AD412" s="4" t="s">
        <v>235</v>
      </c>
      <c r="AE412" s="4" t="s">
        <v>207</v>
      </c>
      <c r="AF412" s="4">
        <v>0</v>
      </c>
      <c r="AG412" s="4">
        <v>0.01</v>
      </c>
      <c r="AH412" s="4" t="s">
        <v>1445</v>
      </c>
      <c r="AI412" s="4">
        <v>0</v>
      </c>
      <c r="AJ412" s="4">
        <v>2</v>
      </c>
      <c r="AK412" s="4">
        <v>3.3152353000000002E-2</v>
      </c>
      <c r="AL412" s="4">
        <v>3.30581489658597E-2</v>
      </c>
      <c r="AM412" s="106">
        <v>-9.4204034140281295E-5</v>
      </c>
      <c r="AN412" s="106">
        <v>6.4246407416018696E-8</v>
      </c>
    </row>
    <row r="413" spans="29:40">
      <c r="AC413" s="4" t="s">
        <v>1258</v>
      </c>
      <c r="AD413" s="4" t="s">
        <v>235</v>
      </c>
      <c r="AE413" s="4" t="s">
        <v>207</v>
      </c>
      <c r="AF413" s="4">
        <v>0</v>
      </c>
      <c r="AG413" s="4">
        <v>0.01</v>
      </c>
      <c r="AH413" s="4" t="s">
        <v>1445</v>
      </c>
      <c r="AI413" s="4">
        <v>0</v>
      </c>
      <c r="AJ413" s="4">
        <v>3</v>
      </c>
      <c r="AK413" s="4">
        <v>3.3090588999999997E-2</v>
      </c>
      <c r="AL413" s="4">
        <v>3.30581489658597E-2</v>
      </c>
      <c r="AM413" s="106">
        <v>-3.2440034140275501E-5</v>
      </c>
      <c r="AN413" s="106">
        <v>6.4246407416018696E-8</v>
      </c>
    </row>
    <row r="414" spans="29:40">
      <c r="AC414" s="4" t="s">
        <v>1258</v>
      </c>
      <c r="AD414" s="4" t="s">
        <v>235</v>
      </c>
      <c r="AE414" s="4" t="s">
        <v>207</v>
      </c>
      <c r="AF414" s="4">
        <v>0</v>
      </c>
      <c r="AG414" s="4">
        <v>0.01</v>
      </c>
      <c r="AH414" s="4" t="s">
        <v>1446</v>
      </c>
      <c r="AI414" s="4">
        <v>10000</v>
      </c>
      <c r="AJ414" s="4">
        <v>1</v>
      </c>
      <c r="AK414" s="4">
        <v>3.3417216E-2</v>
      </c>
      <c r="AL414" s="4">
        <v>3.6896125590087203E-2</v>
      </c>
      <c r="AM414" s="4">
        <v>3.4789095900872799E-3</v>
      </c>
      <c r="AN414" s="4">
        <v>3.79088714769277E-4</v>
      </c>
    </row>
    <row r="415" spans="29:40">
      <c r="AC415" s="4" t="s">
        <v>1258</v>
      </c>
      <c r="AD415" s="4" t="s">
        <v>235</v>
      </c>
      <c r="AE415" s="4" t="s">
        <v>207</v>
      </c>
      <c r="AF415" s="4">
        <v>0</v>
      </c>
      <c r="AG415" s="4">
        <v>0.01</v>
      </c>
      <c r="AH415" s="4" t="s">
        <v>1446</v>
      </c>
      <c r="AI415" s="4">
        <v>10000</v>
      </c>
      <c r="AJ415" s="4">
        <v>2</v>
      </c>
      <c r="AK415" s="4">
        <v>3.5480067999999997E-2</v>
      </c>
      <c r="AL415" s="4">
        <v>3.6896125590087203E-2</v>
      </c>
      <c r="AM415" s="4">
        <v>1.4160575900872799E-3</v>
      </c>
      <c r="AN415" s="4">
        <v>3.79088714769277E-4</v>
      </c>
    </row>
    <row r="416" spans="29:40">
      <c r="AC416" s="4" t="s">
        <v>1258</v>
      </c>
      <c r="AD416" s="4" t="s">
        <v>235</v>
      </c>
      <c r="AE416" s="4" t="s">
        <v>207</v>
      </c>
      <c r="AF416" s="4">
        <v>0</v>
      </c>
      <c r="AG416" s="4">
        <v>0.01</v>
      </c>
      <c r="AH416" s="4" t="s">
        <v>1446</v>
      </c>
      <c r="AI416" s="4">
        <v>10000</v>
      </c>
      <c r="AJ416" s="4">
        <v>3</v>
      </c>
      <c r="AK416" s="4">
        <v>3.7022435999999999E-2</v>
      </c>
      <c r="AL416" s="4">
        <v>3.6896125590087203E-2</v>
      </c>
      <c r="AM416" s="4">
        <v>-1.2631040991271201E-4</v>
      </c>
      <c r="AN416" s="4">
        <v>3.79088714769277E-4</v>
      </c>
    </row>
    <row r="417" spans="29:40">
      <c r="AC417" s="4" t="s">
        <v>1258</v>
      </c>
      <c r="AD417" s="4" t="s">
        <v>235</v>
      </c>
      <c r="AE417" s="4" t="s">
        <v>207</v>
      </c>
      <c r="AF417" s="4">
        <v>20</v>
      </c>
      <c r="AG417" s="4">
        <v>0.4</v>
      </c>
      <c r="AH417" s="4" t="s">
        <v>1445</v>
      </c>
      <c r="AI417" s="4">
        <v>0</v>
      </c>
      <c r="AJ417" s="4">
        <v>1</v>
      </c>
      <c r="AK417" s="4">
        <v>5.7730249999999997E-2</v>
      </c>
      <c r="AL417" s="4">
        <v>3.4098279267161302E-2</v>
      </c>
      <c r="AM417" s="4">
        <v>-2.3631970732838601E-2</v>
      </c>
      <c r="AN417" s="4">
        <v>1.02783692896297E-4</v>
      </c>
    </row>
    <row r="418" spans="29:40">
      <c r="AC418" s="4" t="s">
        <v>1258</v>
      </c>
      <c r="AD418" s="4" t="s">
        <v>235</v>
      </c>
      <c r="AE418" s="4" t="s">
        <v>207</v>
      </c>
      <c r="AF418" s="4">
        <v>20</v>
      </c>
      <c r="AG418" s="4">
        <v>0.4</v>
      </c>
      <c r="AH418" s="4" t="s">
        <v>1445</v>
      </c>
      <c r="AI418" s="4">
        <v>0</v>
      </c>
      <c r="AJ418" s="4">
        <v>2</v>
      </c>
      <c r="AK418" s="4">
        <v>5.4478338000000001E-2</v>
      </c>
      <c r="AL418" s="4">
        <v>3.4098279267161302E-2</v>
      </c>
      <c r="AM418" s="4">
        <v>-2.0380058732838598E-2</v>
      </c>
      <c r="AN418" s="4">
        <v>1.02783692896297E-4</v>
      </c>
    </row>
    <row r="419" spans="29:40">
      <c r="AC419" s="4" t="s">
        <v>1258</v>
      </c>
      <c r="AD419" s="4" t="s">
        <v>235</v>
      </c>
      <c r="AE419" s="4" t="s">
        <v>207</v>
      </c>
      <c r="AF419" s="4">
        <v>20</v>
      </c>
      <c r="AG419" s="4">
        <v>0.4</v>
      </c>
      <c r="AH419" s="4" t="s">
        <v>1445</v>
      </c>
      <c r="AI419" s="4">
        <v>0</v>
      </c>
      <c r="AJ419" s="4">
        <v>3</v>
      </c>
      <c r="AK419" s="4">
        <v>5.6506570999999998E-2</v>
      </c>
      <c r="AL419" s="4">
        <v>3.4098279267161302E-2</v>
      </c>
      <c r="AM419" s="4">
        <v>-2.2408291732838599E-2</v>
      </c>
      <c r="AN419" s="4">
        <v>1.02783692896297E-4</v>
      </c>
    </row>
    <row r="420" spans="29:40">
      <c r="AC420" s="4" t="s">
        <v>1258</v>
      </c>
      <c r="AD420" s="4" t="s">
        <v>235</v>
      </c>
      <c r="AE420" s="4" t="s">
        <v>207</v>
      </c>
      <c r="AF420" s="4">
        <v>20</v>
      </c>
      <c r="AG420" s="4">
        <v>0.4</v>
      </c>
      <c r="AH420" s="4" t="s">
        <v>1446</v>
      </c>
      <c r="AI420" s="4">
        <v>10000</v>
      </c>
      <c r="AJ420" s="4">
        <v>1</v>
      </c>
      <c r="AK420" s="4">
        <v>4.219465649</v>
      </c>
      <c r="AL420" s="4">
        <v>3.8569558457928399</v>
      </c>
      <c r="AM420" s="4">
        <v>-0.36250980320715498</v>
      </c>
      <c r="AN420" s="4">
        <v>0.37763414947267998</v>
      </c>
    </row>
    <row r="421" spans="29:40">
      <c r="AC421" s="4" t="s">
        <v>1258</v>
      </c>
      <c r="AD421" s="4" t="s">
        <v>235</v>
      </c>
      <c r="AE421" s="4" t="s">
        <v>207</v>
      </c>
      <c r="AF421" s="4">
        <v>20</v>
      </c>
      <c r="AG421" s="4">
        <v>0.4</v>
      </c>
      <c r="AH421" s="4" t="s">
        <v>1446</v>
      </c>
      <c r="AI421" s="4">
        <v>10000</v>
      </c>
      <c r="AJ421" s="4">
        <v>2</v>
      </c>
      <c r="AK421" s="4">
        <v>4.2855172899999996</v>
      </c>
      <c r="AL421" s="4">
        <v>3.8569558457928399</v>
      </c>
      <c r="AM421" s="4">
        <v>-0.42856144420715397</v>
      </c>
      <c r="AN421" s="4">
        <v>0.37763414947267998</v>
      </c>
    </row>
    <row r="422" spans="29:40">
      <c r="AC422" s="4" t="s">
        <v>1258</v>
      </c>
      <c r="AD422" s="4" t="s">
        <v>235</v>
      </c>
      <c r="AE422" s="4" t="s">
        <v>207</v>
      </c>
      <c r="AF422" s="4">
        <v>20</v>
      </c>
      <c r="AG422" s="4">
        <v>0.4</v>
      </c>
      <c r="AH422" s="4" t="s">
        <v>1446</v>
      </c>
      <c r="AI422" s="4">
        <v>10000</v>
      </c>
      <c r="AJ422" s="4">
        <v>3</v>
      </c>
      <c r="AK422" s="4">
        <v>3.8376077359999998</v>
      </c>
      <c r="AL422" s="4">
        <v>3.8569558457928399</v>
      </c>
      <c r="AM422" s="4">
        <v>1.93481097928449E-2</v>
      </c>
      <c r="AN422" s="4">
        <v>0.37763414947267998</v>
      </c>
    </row>
    <row r="423" spans="29:40">
      <c r="AC423" s="4" t="s">
        <v>1258</v>
      </c>
      <c r="AD423" s="4" t="s">
        <v>235</v>
      </c>
      <c r="AE423" s="4" t="s">
        <v>207</v>
      </c>
      <c r="AF423" s="4">
        <v>500</v>
      </c>
      <c r="AG423" s="4">
        <v>3.02</v>
      </c>
      <c r="AH423" s="4" t="s">
        <v>1445</v>
      </c>
      <c r="AI423" s="4">
        <v>0</v>
      </c>
      <c r="AJ423" s="4">
        <v>1</v>
      </c>
      <c r="AK423" s="4">
        <v>8.8537899000000003E-2</v>
      </c>
      <c r="AL423" s="4">
        <v>9.2045068232311206E-2</v>
      </c>
      <c r="AM423" s="4">
        <v>3.5071692323112502E-3</v>
      </c>
      <c r="AN423" s="4">
        <v>5.8253956395527603E-3</v>
      </c>
    </row>
    <row r="424" spans="29:40">
      <c r="AC424" s="4" t="s">
        <v>1258</v>
      </c>
      <c r="AD424" s="4" t="s">
        <v>235</v>
      </c>
      <c r="AE424" s="4" t="s">
        <v>207</v>
      </c>
      <c r="AF424" s="4">
        <v>500</v>
      </c>
      <c r="AG424" s="4">
        <v>3.02</v>
      </c>
      <c r="AH424" s="4" t="s">
        <v>1445</v>
      </c>
      <c r="AI424" s="4">
        <v>0</v>
      </c>
      <c r="AJ424" s="4">
        <v>2</v>
      </c>
      <c r="AK424" s="4">
        <v>9.1394344000000002E-2</v>
      </c>
      <c r="AL424" s="4">
        <v>9.2045068232311206E-2</v>
      </c>
      <c r="AM424" s="4">
        <v>6.50724232311258E-4</v>
      </c>
      <c r="AN424" s="4">
        <v>5.8253956395527603E-3</v>
      </c>
    </row>
    <row r="425" spans="29:40">
      <c r="AC425" s="4" t="s">
        <v>1258</v>
      </c>
      <c r="AD425" s="4" t="s">
        <v>235</v>
      </c>
      <c r="AE425" s="4" t="s">
        <v>207</v>
      </c>
      <c r="AF425" s="4">
        <v>500</v>
      </c>
      <c r="AG425" s="4">
        <v>3.02</v>
      </c>
      <c r="AH425" s="4" t="s">
        <v>1445</v>
      </c>
      <c r="AI425" s="4">
        <v>0</v>
      </c>
      <c r="AJ425" s="4">
        <v>3</v>
      </c>
      <c r="AK425" s="4">
        <v>9.5024634999999996E-2</v>
      </c>
      <c r="AL425" s="4">
        <v>9.2045068232311206E-2</v>
      </c>
      <c r="AM425" s="4">
        <v>-2.9795667676887302E-3</v>
      </c>
      <c r="AN425" s="4">
        <v>5.8253956395527603E-3</v>
      </c>
    </row>
    <row r="426" spans="29:40">
      <c r="AC426" s="4" t="s">
        <v>1258</v>
      </c>
      <c r="AD426" s="4" t="s">
        <v>235</v>
      </c>
      <c r="AE426" s="4" t="s">
        <v>207</v>
      </c>
      <c r="AF426" s="4">
        <v>500</v>
      </c>
      <c r="AG426" s="4">
        <v>3.02</v>
      </c>
      <c r="AH426" s="4" t="s">
        <v>1446</v>
      </c>
      <c r="AI426" s="4">
        <v>10000</v>
      </c>
      <c r="AJ426" s="4">
        <v>1</v>
      </c>
      <c r="AK426" s="4">
        <v>7.7238657960000001</v>
      </c>
      <c r="AL426" s="4">
        <v>9.8744550685392998</v>
      </c>
      <c r="AM426" s="4">
        <v>2.1505892725393001</v>
      </c>
      <c r="AN426" s="4">
        <v>0.97190026078033398</v>
      </c>
    </row>
    <row r="427" spans="29:40">
      <c r="AC427" s="4" t="s">
        <v>1258</v>
      </c>
      <c r="AD427" s="4" t="s">
        <v>235</v>
      </c>
      <c r="AE427" s="4" t="s">
        <v>207</v>
      </c>
      <c r="AF427" s="4">
        <v>500</v>
      </c>
      <c r="AG427" s="4">
        <v>3.02</v>
      </c>
      <c r="AH427" s="4" t="s">
        <v>1446</v>
      </c>
      <c r="AI427" s="4">
        <v>10000</v>
      </c>
      <c r="AJ427" s="4">
        <v>2</v>
      </c>
      <c r="AK427" s="4">
        <v>7.4344204600000001</v>
      </c>
      <c r="AL427" s="4">
        <v>9.8744550685392998</v>
      </c>
      <c r="AM427" s="4">
        <v>2.4400346085393001</v>
      </c>
      <c r="AN427" s="4">
        <v>0.97190026078033398</v>
      </c>
    </row>
    <row r="428" spans="29:40">
      <c r="AC428" s="4" t="s">
        <v>1258</v>
      </c>
      <c r="AD428" s="4" t="s">
        <v>235</v>
      </c>
      <c r="AE428" s="4" t="s">
        <v>207</v>
      </c>
      <c r="AF428" s="4">
        <v>500</v>
      </c>
      <c r="AG428" s="4">
        <v>3.02</v>
      </c>
      <c r="AH428" s="4" t="s">
        <v>1446</v>
      </c>
      <c r="AI428" s="4">
        <v>10000</v>
      </c>
      <c r="AJ428" s="4">
        <v>3</v>
      </c>
      <c r="AK428" s="4">
        <v>7.8238236240000001</v>
      </c>
      <c r="AL428" s="4">
        <v>9.8744550685392998</v>
      </c>
      <c r="AM428" s="4">
        <v>2.0506314445393001</v>
      </c>
      <c r="AN428" s="4">
        <v>0.97190026078033398</v>
      </c>
    </row>
    <row r="429" spans="29:40">
      <c r="AC429" s="4" t="s">
        <v>1261</v>
      </c>
      <c r="AD429" s="4" t="s">
        <v>1331</v>
      </c>
      <c r="AE429" s="4" t="s">
        <v>210</v>
      </c>
      <c r="AF429" s="4">
        <v>0</v>
      </c>
      <c r="AG429" s="4">
        <v>0.01</v>
      </c>
      <c r="AH429" s="4" t="s">
        <v>1445</v>
      </c>
      <c r="AI429" s="4">
        <v>0</v>
      </c>
      <c r="AJ429" s="4">
        <v>1</v>
      </c>
      <c r="AK429" s="4">
        <v>1.1805127E-2</v>
      </c>
      <c r="AL429" s="4">
        <v>1.17933858548881E-2</v>
      </c>
      <c r="AM429" s="106">
        <v>-1.1741145111850401E-5</v>
      </c>
      <c r="AN429" s="106">
        <v>8.1526573664235696E-9</v>
      </c>
    </row>
    <row r="430" spans="29:40">
      <c r="AC430" s="4" t="s">
        <v>1261</v>
      </c>
      <c r="AD430" s="4" t="s">
        <v>1331</v>
      </c>
      <c r="AE430" s="4" t="s">
        <v>210</v>
      </c>
      <c r="AF430" s="4">
        <v>0</v>
      </c>
      <c r="AG430" s="4">
        <v>0.01</v>
      </c>
      <c r="AH430" s="4" t="s">
        <v>1445</v>
      </c>
      <c r="AI430" s="4">
        <v>0</v>
      </c>
      <c r="AJ430" s="4">
        <v>2</v>
      </c>
      <c r="AK430" s="4">
        <v>1.5515172000000001E-2</v>
      </c>
      <c r="AL430" s="4">
        <v>1.17933858548881E-2</v>
      </c>
      <c r="AM430" s="4">
        <v>-3.72178614511185E-3</v>
      </c>
      <c r="AN430" s="106">
        <v>8.1526573664235696E-9</v>
      </c>
    </row>
    <row r="431" spans="29:40">
      <c r="AC431" s="4" t="s">
        <v>1261</v>
      </c>
      <c r="AD431" s="4" t="s">
        <v>1331</v>
      </c>
      <c r="AE431" s="4" t="s">
        <v>210</v>
      </c>
      <c r="AF431" s="4">
        <v>0</v>
      </c>
      <c r="AG431" s="4">
        <v>0.01</v>
      </c>
      <c r="AH431" s="4" t="s">
        <v>1445</v>
      </c>
      <c r="AI431" s="4">
        <v>0</v>
      </c>
      <c r="AJ431" s="4">
        <v>3</v>
      </c>
      <c r="AK431" s="4">
        <v>1.6002076E-2</v>
      </c>
      <c r="AL431" s="4">
        <v>1.17933858548881E-2</v>
      </c>
      <c r="AM431" s="4">
        <v>-4.2086901451118498E-3</v>
      </c>
      <c r="AN431" s="106">
        <v>8.1526573664235696E-9</v>
      </c>
    </row>
    <row r="432" spans="29:40">
      <c r="AC432" s="4" t="s">
        <v>1261</v>
      </c>
      <c r="AD432" s="4" t="s">
        <v>1331</v>
      </c>
      <c r="AE432" s="4" t="s">
        <v>210</v>
      </c>
      <c r="AF432" s="4">
        <v>0</v>
      </c>
      <c r="AG432" s="4">
        <v>0.01</v>
      </c>
      <c r="AH432" s="4" t="s">
        <v>1446</v>
      </c>
      <c r="AI432" s="4">
        <v>2000</v>
      </c>
      <c r="AJ432" s="4">
        <v>1</v>
      </c>
      <c r="AK432" s="4">
        <v>5.9447687999999999E-2</v>
      </c>
      <c r="AL432" s="4">
        <v>1.18484069718674E-2</v>
      </c>
      <c r="AM432" s="4">
        <v>-4.7599281028132497E-2</v>
      </c>
      <c r="AN432" s="106">
        <v>7.0190166314930002E-6</v>
      </c>
    </row>
    <row r="433" spans="29:40">
      <c r="AC433" s="4" t="s">
        <v>1261</v>
      </c>
      <c r="AD433" s="4" t="s">
        <v>1331</v>
      </c>
      <c r="AE433" s="4" t="s">
        <v>210</v>
      </c>
      <c r="AF433" s="4">
        <v>0</v>
      </c>
      <c r="AG433" s="4">
        <v>0.01</v>
      </c>
      <c r="AH433" s="4" t="s">
        <v>1446</v>
      </c>
      <c r="AI433" s="4">
        <v>2000</v>
      </c>
      <c r="AJ433" s="4">
        <v>2</v>
      </c>
      <c r="AK433" s="4">
        <v>6.0003740999999999E-2</v>
      </c>
      <c r="AL433" s="4">
        <v>1.18484069718674E-2</v>
      </c>
      <c r="AM433" s="4">
        <v>-4.8155334028132497E-2</v>
      </c>
      <c r="AN433" s="106">
        <v>7.0190166314930002E-6</v>
      </c>
    </row>
    <row r="434" spans="29:40">
      <c r="AC434" s="4" t="s">
        <v>1261</v>
      </c>
      <c r="AD434" s="4" t="s">
        <v>1331</v>
      </c>
      <c r="AE434" s="4" t="s">
        <v>210</v>
      </c>
      <c r="AF434" s="4">
        <v>0</v>
      </c>
      <c r="AG434" s="4">
        <v>0.01</v>
      </c>
      <c r="AH434" s="4" t="s">
        <v>1446</v>
      </c>
      <c r="AI434" s="4">
        <v>2000</v>
      </c>
      <c r="AJ434" s="4">
        <v>3</v>
      </c>
      <c r="AK434" s="4">
        <v>5.9068374999999999E-2</v>
      </c>
      <c r="AL434" s="4">
        <v>1.18484069718674E-2</v>
      </c>
      <c r="AM434" s="4">
        <v>-4.7219968028132497E-2</v>
      </c>
      <c r="AN434" s="106">
        <v>7.0190166314930002E-6</v>
      </c>
    </row>
    <row r="435" spans="29:40">
      <c r="AC435" s="4" t="s">
        <v>1261</v>
      </c>
      <c r="AD435" s="4" t="s">
        <v>1331</v>
      </c>
      <c r="AE435" s="4" t="s">
        <v>210</v>
      </c>
      <c r="AF435" s="4">
        <v>20</v>
      </c>
      <c r="AG435" s="4">
        <v>0.4</v>
      </c>
      <c r="AH435" s="4" t="s">
        <v>1445</v>
      </c>
      <c r="AI435" s="4">
        <v>0</v>
      </c>
      <c r="AJ435" s="4">
        <v>1</v>
      </c>
      <c r="AK435" s="4">
        <v>2.1883920000000001E-2</v>
      </c>
      <c r="AL435" s="4">
        <v>1.18956915595438E-2</v>
      </c>
      <c r="AM435" s="4">
        <v>-9.9882284404561594E-3</v>
      </c>
      <c r="AN435" s="106">
        <v>1.3044081742335E-5</v>
      </c>
    </row>
    <row r="436" spans="29:40">
      <c r="AC436" s="4" t="s">
        <v>1261</v>
      </c>
      <c r="AD436" s="4" t="s">
        <v>1331</v>
      </c>
      <c r="AE436" s="4" t="s">
        <v>210</v>
      </c>
      <c r="AF436" s="4">
        <v>20</v>
      </c>
      <c r="AG436" s="4">
        <v>0.4</v>
      </c>
      <c r="AH436" s="4" t="s">
        <v>1445</v>
      </c>
      <c r="AI436" s="4">
        <v>0</v>
      </c>
      <c r="AJ436" s="4">
        <v>2</v>
      </c>
      <c r="AK436" s="4">
        <v>2.2118894E-2</v>
      </c>
      <c r="AL436" s="4">
        <v>1.18956915595438E-2</v>
      </c>
      <c r="AM436" s="4">
        <v>-1.0223202440456099E-2</v>
      </c>
      <c r="AN436" s="106">
        <v>1.3044081742335E-5</v>
      </c>
    </row>
    <row r="437" spans="29:40">
      <c r="AC437" s="4" t="s">
        <v>1261</v>
      </c>
      <c r="AD437" s="4" t="s">
        <v>1331</v>
      </c>
      <c r="AE437" s="4" t="s">
        <v>210</v>
      </c>
      <c r="AF437" s="4">
        <v>20</v>
      </c>
      <c r="AG437" s="4">
        <v>0.4</v>
      </c>
      <c r="AH437" s="4" t="s">
        <v>1445</v>
      </c>
      <c r="AI437" s="4">
        <v>0</v>
      </c>
      <c r="AJ437" s="4">
        <v>3</v>
      </c>
      <c r="AK437" s="4">
        <v>2.0885366999999998E-2</v>
      </c>
      <c r="AL437" s="4">
        <v>1.18956915595438E-2</v>
      </c>
      <c r="AM437" s="4">
        <v>-8.9896754404561498E-3</v>
      </c>
      <c r="AN437" s="106">
        <v>1.3044081742335E-5</v>
      </c>
    </row>
    <row r="438" spans="29:40">
      <c r="AC438" s="4" t="s">
        <v>1261</v>
      </c>
      <c r="AD438" s="4" t="s">
        <v>1331</v>
      </c>
      <c r="AE438" s="4" t="s">
        <v>210</v>
      </c>
      <c r="AF438" s="4">
        <v>20</v>
      </c>
      <c r="AG438" s="4">
        <v>0.4</v>
      </c>
      <c r="AH438" s="4" t="s">
        <v>1446</v>
      </c>
      <c r="AI438" s="4">
        <v>2000</v>
      </c>
      <c r="AJ438" s="4">
        <v>1</v>
      </c>
      <c r="AK438" s="4">
        <v>1.7240625949999999</v>
      </c>
      <c r="AL438" s="4">
        <v>9.8951270874285194E-2</v>
      </c>
      <c r="AM438" s="4">
        <v>-1.62511132412571</v>
      </c>
      <c r="AN438" s="4">
        <v>1.1105781893550101E-2</v>
      </c>
    </row>
    <row r="439" spans="29:40">
      <c r="AC439" s="4" t="s">
        <v>1261</v>
      </c>
      <c r="AD439" s="4" t="s">
        <v>1331</v>
      </c>
      <c r="AE439" s="4" t="s">
        <v>210</v>
      </c>
      <c r="AF439" s="4">
        <v>20</v>
      </c>
      <c r="AG439" s="4">
        <v>0.4</v>
      </c>
      <c r="AH439" s="4" t="s">
        <v>1446</v>
      </c>
      <c r="AI439" s="4">
        <v>2000</v>
      </c>
      <c r="AJ439" s="4">
        <v>2</v>
      </c>
      <c r="AK439" s="4">
        <v>1.751378114</v>
      </c>
      <c r="AL439" s="4">
        <v>9.8951270874285194E-2</v>
      </c>
      <c r="AM439" s="4">
        <v>-1.6524268431257101</v>
      </c>
      <c r="AN439" s="4">
        <v>1.1105781893550101E-2</v>
      </c>
    </row>
    <row r="440" spans="29:40">
      <c r="AC440" s="4" t="s">
        <v>1261</v>
      </c>
      <c r="AD440" s="4" t="s">
        <v>1331</v>
      </c>
      <c r="AE440" s="4" t="s">
        <v>210</v>
      </c>
      <c r="AF440" s="4">
        <v>20</v>
      </c>
      <c r="AG440" s="4">
        <v>0.4</v>
      </c>
      <c r="AH440" s="4" t="s">
        <v>1446</v>
      </c>
      <c r="AI440" s="4">
        <v>2000</v>
      </c>
      <c r="AJ440" s="4">
        <v>3</v>
      </c>
      <c r="AK440" s="4">
        <v>1.7125867699999999</v>
      </c>
      <c r="AL440" s="4">
        <v>9.8951270874285194E-2</v>
      </c>
      <c r="AM440" s="4">
        <v>-1.61363549912571</v>
      </c>
      <c r="AN440" s="4">
        <v>1.1105781893550101E-2</v>
      </c>
    </row>
    <row r="441" spans="29:40">
      <c r="AC441" s="4" t="s">
        <v>1261</v>
      </c>
      <c r="AD441" s="4" t="s">
        <v>1331</v>
      </c>
      <c r="AE441" s="4" t="s">
        <v>210</v>
      </c>
      <c r="AF441" s="4">
        <v>500</v>
      </c>
      <c r="AG441" s="4">
        <v>3.02</v>
      </c>
      <c r="AH441" s="4" t="s">
        <v>1445</v>
      </c>
      <c r="AI441" s="4">
        <v>0</v>
      </c>
      <c r="AJ441" s="4">
        <v>1</v>
      </c>
      <c r="AK441" s="4">
        <v>4.6809084000000001E-2</v>
      </c>
      <c r="AL441" s="4">
        <v>1.7624390327783301E-2</v>
      </c>
      <c r="AM441" s="4">
        <v>-2.9184693672216599E-2</v>
      </c>
      <c r="AN441" s="4">
        <v>7.4300250530481002E-4</v>
      </c>
    </row>
    <row r="442" spans="29:40">
      <c r="AC442" s="4" t="s">
        <v>1261</v>
      </c>
      <c r="AD442" s="4" t="s">
        <v>1331</v>
      </c>
      <c r="AE442" s="4" t="s">
        <v>210</v>
      </c>
      <c r="AF442" s="4">
        <v>500</v>
      </c>
      <c r="AG442" s="4">
        <v>3.02</v>
      </c>
      <c r="AH442" s="4" t="s">
        <v>1445</v>
      </c>
      <c r="AI442" s="4">
        <v>0</v>
      </c>
      <c r="AJ442" s="4">
        <v>2</v>
      </c>
      <c r="AK442" s="4">
        <v>4.7057331000000001E-2</v>
      </c>
      <c r="AL442" s="4">
        <v>1.7624390327783301E-2</v>
      </c>
      <c r="AM442" s="4">
        <v>-2.94329406722166E-2</v>
      </c>
      <c r="AN442" s="4">
        <v>7.4300250530481002E-4</v>
      </c>
    </row>
    <row r="443" spans="29:40">
      <c r="AC443" s="4" t="s">
        <v>1261</v>
      </c>
      <c r="AD443" s="4" t="s">
        <v>1331</v>
      </c>
      <c r="AE443" s="4" t="s">
        <v>210</v>
      </c>
      <c r="AF443" s="4">
        <v>500</v>
      </c>
      <c r="AG443" s="4">
        <v>3.02</v>
      </c>
      <c r="AH443" s="4" t="s">
        <v>1445</v>
      </c>
      <c r="AI443" s="4">
        <v>0</v>
      </c>
      <c r="AJ443" s="4">
        <v>3</v>
      </c>
      <c r="AK443" s="4">
        <v>4.6204758999999998E-2</v>
      </c>
      <c r="AL443" s="4">
        <v>1.7624390327783301E-2</v>
      </c>
      <c r="AM443" s="4">
        <v>-2.85803686722166E-2</v>
      </c>
      <c r="AN443" s="4">
        <v>7.4300250530481002E-4</v>
      </c>
    </row>
    <row r="444" spans="29:40">
      <c r="AC444" s="4" t="s">
        <v>1261</v>
      </c>
      <c r="AD444" s="4" t="s">
        <v>1331</v>
      </c>
      <c r="AE444" s="4" t="s">
        <v>210</v>
      </c>
      <c r="AF444" s="4">
        <v>500</v>
      </c>
      <c r="AG444" s="4">
        <v>3.02</v>
      </c>
      <c r="AH444" s="4" t="s">
        <v>1446</v>
      </c>
      <c r="AI444" s="4">
        <v>2000</v>
      </c>
      <c r="AJ444" s="4">
        <v>1</v>
      </c>
      <c r="AK444" s="4">
        <v>3.3210583410000001</v>
      </c>
      <c r="AL444" s="4">
        <v>3.0749063886190302</v>
      </c>
      <c r="AM444" s="4">
        <v>-0.24615195238096099</v>
      </c>
      <c r="AN444" s="4">
        <v>0.39030594483198799</v>
      </c>
    </row>
    <row r="445" spans="29:40">
      <c r="AC445" s="4" t="s">
        <v>1261</v>
      </c>
      <c r="AD445" s="4" t="s">
        <v>1331</v>
      </c>
      <c r="AE445" s="4" t="s">
        <v>210</v>
      </c>
      <c r="AF445" s="4">
        <v>500</v>
      </c>
      <c r="AG445" s="4">
        <v>3.02</v>
      </c>
      <c r="AH445" s="4" t="s">
        <v>1446</v>
      </c>
      <c r="AI445" s="4">
        <v>2000</v>
      </c>
      <c r="AJ445" s="4">
        <v>2</v>
      </c>
      <c r="AK445" s="4">
        <v>3.3866886690000002</v>
      </c>
      <c r="AL445" s="4">
        <v>3.0749063886190302</v>
      </c>
      <c r="AM445" s="4">
        <v>-0.31178228038096101</v>
      </c>
      <c r="AN445" s="4">
        <v>0.39030594483198799</v>
      </c>
    </row>
    <row r="446" spans="29:40">
      <c r="AC446" s="4" t="s">
        <v>1261</v>
      </c>
      <c r="AD446" s="4" t="s">
        <v>1331</v>
      </c>
      <c r="AE446" s="4" t="s">
        <v>210</v>
      </c>
      <c r="AF446" s="4">
        <v>500</v>
      </c>
      <c r="AG446" s="4">
        <v>3.02</v>
      </c>
      <c r="AH446" s="4" t="s">
        <v>1446</v>
      </c>
      <c r="AI446" s="4">
        <v>2000</v>
      </c>
      <c r="AJ446" s="4">
        <v>3</v>
      </c>
      <c r="AK446" s="4">
        <v>3.36774233</v>
      </c>
      <c r="AL446" s="4">
        <v>3.0749063886190302</v>
      </c>
      <c r="AM446" s="4">
        <v>-0.29283594138096097</v>
      </c>
      <c r="AN446" s="4">
        <v>0.39030594483198799</v>
      </c>
    </row>
    <row r="447" spans="29:40">
      <c r="AC447" s="4" t="s">
        <v>1262</v>
      </c>
      <c r="AD447" s="4" t="s">
        <v>133</v>
      </c>
      <c r="AE447" s="4" t="s">
        <v>210</v>
      </c>
      <c r="AF447" s="4">
        <v>0</v>
      </c>
      <c r="AG447" s="4">
        <v>0.01</v>
      </c>
      <c r="AH447" s="4" t="s">
        <v>1445</v>
      </c>
      <c r="AI447" s="4">
        <v>0</v>
      </c>
      <c r="AJ447" s="4">
        <v>1</v>
      </c>
      <c r="AK447" s="4">
        <v>1.3971888E-2</v>
      </c>
      <c r="AL447" s="4">
        <v>1.38116714114652E-2</v>
      </c>
      <c r="AM447" s="4">
        <v>-1.6021658853474099E-4</v>
      </c>
      <c r="AN447" s="106">
        <v>3.8360145877291496E-9</v>
      </c>
    </row>
    <row r="448" spans="29:40">
      <c r="AC448" s="4" t="s">
        <v>1262</v>
      </c>
      <c r="AD448" s="4" t="s">
        <v>133</v>
      </c>
      <c r="AE448" s="4" t="s">
        <v>210</v>
      </c>
      <c r="AF448" s="4">
        <v>0</v>
      </c>
      <c r="AG448" s="4">
        <v>0.01</v>
      </c>
      <c r="AH448" s="4" t="s">
        <v>1445</v>
      </c>
      <c r="AI448" s="4">
        <v>0</v>
      </c>
      <c r="AJ448" s="4">
        <v>2</v>
      </c>
      <c r="AK448" s="4">
        <v>1.3887719999999999E-2</v>
      </c>
      <c r="AL448" s="4">
        <v>1.38116714114652E-2</v>
      </c>
      <c r="AM448" s="106">
        <v>-7.6048588534740407E-5</v>
      </c>
      <c r="AN448" s="106">
        <v>3.8360145877291496E-9</v>
      </c>
    </row>
    <row r="449" spans="29:40">
      <c r="AC449" s="4" t="s">
        <v>1262</v>
      </c>
      <c r="AD449" s="4" t="s">
        <v>133</v>
      </c>
      <c r="AE449" s="4" t="s">
        <v>210</v>
      </c>
      <c r="AF449" s="4">
        <v>0</v>
      </c>
      <c r="AG449" s="4">
        <v>0.01</v>
      </c>
      <c r="AH449" s="4" t="s">
        <v>1445</v>
      </c>
      <c r="AI449" s="4">
        <v>0</v>
      </c>
      <c r="AJ449" s="4">
        <v>3</v>
      </c>
      <c r="AK449" s="4">
        <v>1.3825469E-2</v>
      </c>
      <c r="AL449" s="4">
        <v>1.38116714114652E-2</v>
      </c>
      <c r="AM449" s="106">
        <v>-1.37975885347411E-5</v>
      </c>
      <c r="AN449" s="106">
        <v>3.8360145877291496E-9</v>
      </c>
    </row>
    <row r="450" spans="29:40">
      <c r="AC450" s="4" t="s">
        <v>1262</v>
      </c>
      <c r="AD450" s="4" t="s">
        <v>133</v>
      </c>
      <c r="AE450" s="4" t="s">
        <v>210</v>
      </c>
      <c r="AF450" s="4">
        <v>0</v>
      </c>
      <c r="AG450" s="4">
        <v>0.01</v>
      </c>
      <c r="AH450" s="4" t="s">
        <v>1446</v>
      </c>
      <c r="AI450" s="4">
        <v>2000</v>
      </c>
      <c r="AJ450" s="4">
        <v>1</v>
      </c>
      <c r="AK450" s="4">
        <v>3.8382049000000001E-2</v>
      </c>
      <c r="AL450" s="4">
        <v>1.38356472597352E-2</v>
      </c>
      <c r="AM450" s="4">
        <v>-2.4546401740264699E-2</v>
      </c>
      <c r="AN450" s="106">
        <v>3.3026225595330401E-6</v>
      </c>
    </row>
    <row r="451" spans="29:40">
      <c r="AC451" s="4" t="s">
        <v>1262</v>
      </c>
      <c r="AD451" s="4" t="s">
        <v>133</v>
      </c>
      <c r="AE451" s="4" t="s">
        <v>210</v>
      </c>
      <c r="AF451" s="4">
        <v>0</v>
      </c>
      <c r="AG451" s="4">
        <v>0.01</v>
      </c>
      <c r="AH451" s="4" t="s">
        <v>1446</v>
      </c>
      <c r="AI451" s="4">
        <v>2000</v>
      </c>
      <c r="AJ451" s="4">
        <v>2</v>
      </c>
      <c r="AK451" s="4">
        <v>3.8799921000000001E-2</v>
      </c>
      <c r="AL451" s="4">
        <v>1.38356472597352E-2</v>
      </c>
      <c r="AM451" s="4">
        <v>-2.4964273740264699E-2</v>
      </c>
      <c r="AN451" s="106">
        <v>3.3026225595330401E-6</v>
      </c>
    </row>
    <row r="452" spans="29:40">
      <c r="AC452" s="4" t="s">
        <v>1262</v>
      </c>
      <c r="AD452" s="4" t="s">
        <v>133</v>
      </c>
      <c r="AE452" s="4" t="s">
        <v>210</v>
      </c>
      <c r="AF452" s="4">
        <v>0</v>
      </c>
      <c r="AG452" s="4">
        <v>0.01</v>
      </c>
      <c r="AH452" s="4" t="s">
        <v>1446</v>
      </c>
      <c r="AI452" s="4">
        <v>2000</v>
      </c>
      <c r="AJ452" s="4">
        <v>3</v>
      </c>
      <c r="AK452" s="4">
        <v>3.5008976999999997E-2</v>
      </c>
      <c r="AL452" s="4">
        <v>1.38356472597352E-2</v>
      </c>
      <c r="AM452" s="4">
        <v>-2.1173329740264701E-2</v>
      </c>
      <c r="AN452" s="106">
        <v>3.3026225595330401E-6</v>
      </c>
    </row>
    <row r="453" spans="29:40">
      <c r="AC453" s="4" t="s">
        <v>1262</v>
      </c>
      <c r="AD453" s="4" t="s">
        <v>133</v>
      </c>
      <c r="AE453" s="4" t="s">
        <v>210</v>
      </c>
      <c r="AF453" s="4">
        <v>20</v>
      </c>
      <c r="AG453" s="4">
        <v>0.4</v>
      </c>
      <c r="AH453" s="4" t="s">
        <v>1445</v>
      </c>
      <c r="AI453" s="4">
        <v>0</v>
      </c>
      <c r="AJ453" s="4">
        <v>1</v>
      </c>
      <c r="AK453" s="4">
        <v>1.8056927E-2</v>
      </c>
      <c r="AL453" s="4">
        <v>1.38562520018216E-2</v>
      </c>
      <c r="AM453" s="4">
        <v>-4.2006749981783999E-3</v>
      </c>
      <c r="AN453" s="106">
        <v>6.1375856937213104E-6</v>
      </c>
    </row>
    <row r="454" spans="29:40">
      <c r="AC454" s="4" t="s">
        <v>1262</v>
      </c>
      <c r="AD454" s="4" t="s">
        <v>133</v>
      </c>
      <c r="AE454" s="4" t="s">
        <v>210</v>
      </c>
      <c r="AF454" s="4">
        <v>20</v>
      </c>
      <c r="AG454" s="4">
        <v>0.4</v>
      </c>
      <c r="AH454" s="4" t="s">
        <v>1445</v>
      </c>
      <c r="AI454" s="4">
        <v>0</v>
      </c>
      <c r="AJ454" s="4">
        <v>2</v>
      </c>
      <c r="AK454" s="4">
        <v>1.8303718E-2</v>
      </c>
      <c r="AL454" s="4">
        <v>1.38562520018216E-2</v>
      </c>
      <c r="AM454" s="4">
        <v>-4.4474659981783996E-3</v>
      </c>
      <c r="AN454" s="106">
        <v>6.1375856937213104E-6</v>
      </c>
    </row>
    <row r="455" spans="29:40">
      <c r="AC455" s="4" t="s">
        <v>1262</v>
      </c>
      <c r="AD455" s="4" t="s">
        <v>133</v>
      </c>
      <c r="AE455" s="4" t="s">
        <v>210</v>
      </c>
      <c r="AF455" s="4">
        <v>20</v>
      </c>
      <c r="AG455" s="4">
        <v>0.4</v>
      </c>
      <c r="AH455" s="4" t="s">
        <v>1445</v>
      </c>
      <c r="AI455" s="4">
        <v>0</v>
      </c>
      <c r="AJ455" s="4">
        <v>3</v>
      </c>
      <c r="AK455" s="4">
        <v>1.8680677E-2</v>
      </c>
      <c r="AL455" s="4">
        <v>1.38562520018216E-2</v>
      </c>
      <c r="AM455" s="4">
        <v>-4.8244249981784001E-3</v>
      </c>
      <c r="AN455" s="106">
        <v>6.1375856937213104E-6</v>
      </c>
    </row>
    <row r="456" spans="29:40">
      <c r="AC456" s="4" t="s">
        <v>1262</v>
      </c>
      <c r="AD456" s="4" t="s">
        <v>133</v>
      </c>
      <c r="AE456" s="4" t="s">
        <v>210</v>
      </c>
      <c r="AF456" s="4">
        <v>20</v>
      </c>
      <c r="AG456" s="4">
        <v>0.4</v>
      </c>
      <c r="AH456" s="4" t="s">
        <v>1446</v>
      </c>
      <c r="AI456" s="4">
        <v>2000</v>
      </c>
      <c r="AJ456" s="4">
        <v>1</v>
      </c>
      <c r="AK456" s="4">
        <v>8.0649770999999995E-2</v>
      </c>
      <c r="AL456" s="4">
        <v>5.2015857125279001E-2</v>
      </c>
      <c r="AM456" s="4">
        <v>-2.86339138747209E-2</v>
      </c>
      <c r="AN456" s="4">
        <v>5.25643740924874E-3</v>
      </c>
    </row>
    <row r="457" spans="29:40">
      <c r="AC457" s="4" t="s">
        <v>1262</v>
      </c>
      <c r="AD457" s="4" t="s">
        <v>133</v>
      </c>
      <c r="AE457" s="4" t="s">
        <v>210</v>
      </c>
      <c r="AF457" s="4">
        <v>20</v>
      </c>
      <c r="AG457" s="4">
        <v>0.4</v>
      </c>
      <c r="AH457" s="4" t="s">
        <v>1446</v>
      </c>
      <c r="AI457" s="4">
        <v>2000</v>
      </c>
      <c r="AJ457" s="4">
        <v>2</v>
      </c>
      <c r="AK457" s="4">
        <v>9.2889576000000001E-2</v>
      </c>
      <c r="AL457" s="4">
        <v>5.2015857125279001E-2</v>
      </c>
      <c r="AM457" s="4">
        <v>-4.0873718874720903E-2</v>
      </c>
      <c r="AN457" s="4">
        <v>5.25643740924874E-3</v>
      </c>
    </row>
    <row r="458" spans="29:40">
      <c r="AC458" s="4" t="s">
        <v>1262</v>
      </c>
      <c r="AD458" s="4" t="s">
        <v>133</v>
      </c>
      <c r="AE458" s="4" t="s">
        <v>210</v>
      </c>
      <c r="AF458" s="4">
        <v>20</v>
      </c>
      <c r="AG458" s="4">
        <v>0.4</v>
      </c>
      <c r="AH458" s="4" t="s">
        <v>1446</v>
      </c>
      <c r="AI458" s="4">
        <v>2000</v>
      </c>
      <c r="AJ458" s="4">
        <v>3</v>
      </c>
      <c r="AK458" s="4">
        <v>8.0741513000000001E-2</v>
      </c>
      <c r="AL458" s="4">
        <v>5.2015857125279001E-2</v>
      </c>
      <c r="AM458" s="4">
        <v>-2.8725655874720899E-2</v>
      </c>
      <c r="AN458" s="4">
        <v>5.25643740924874E-3</v>
      </c>
    </row>
    <row r="459" spans="29:40">
      <c r="AC459" s="4" t="s">
        <v>1262</v>
      </c>
      <c r="AD459" s="4" t="s">
        <v>133</v>
      </c>
      <c r="AE459" s="4" t="s">
        <v>210</v>
      </c>
      <c r="AF459" s="4">
        <v>500</v>
      </c>
      <c r="AG459" s="4">
        <v>3.02</v>
      </c>
      <c r="AH459" s="4" t="s">
        <v>1445</v>
      </c>
      <c r="AI459" s="4">
        <v>0</v>
      </c>
      <c r="AJ459" s="4">
        <v>1</v>
      </c>
      <c r="AK459" s="4">
        <v>2.1127344999999999E-2</v>
      </c>
      <c r="AL459" s="4">
        <v>1.6353564179680698E-2</v>
      </c>
      <c r="AM459" s="4">
        <v>-4.7737808203192596E-3</v>
      </c>
      <c r="AN459" s="4">
        <v>3.4973751667716901E-4</v>
      </c>
    </row>
    <row r="460" spans="29:40">
      <c r="AC460" s="4" t="s">
        <v>1262</v>
      </c>
      <c r="AD460" s="4" t="s">
        <v>133</v>
      </c>
      <c r="AE460" s="4" t="s">
        <v>210</v>
      </c>
      <c r="AF460" s="4">
        <v>500</v>
      </c>
      <c r="AG460" s="4">
        <v>3.02</v>
      </c>
      <c r="AH460" s="4" t="s">
        <v>1445</v>
      </c>
      <c r="AI460" s="4">
        <v>0</v>
      </c>
      <c r="AJ460" s="4">
        <v>2</v>
      </c>
      <c r="AK460" s="4">
        <v>2.0442359E-2</v>
      </c>
      <c r="AL460" s="4">
        <v>1.6353564179680698E-2</v>
      </c>
      <c r="AM460" s="4">
        <v>-4.0887948203192602E-3</v>
      </c>
      <c r="AN460" s="4">
        <v>3.4973751667716901E-4</v>
      </c>
    </row>
    <row r="461" spans="29:40">
      <c r="AC461" s="4" t="s">
        <v>1262</v>
      </c>
      <c r="AD461" s="4" t="s">
        <v>133</v>
      </c>
      <c r="AE461" s="4" t="s">
        <v>210</v>
      </c>
      <c r="AF461" s="4">
        <v>500</v>
      </c>
      <c r="AG461" s="4">
        <v>3.02</v>
      </c>
      <c r="AH461" s="4" t="s">
        <v>1445</v>
      </c>
      <c r="AI461" s="4">
        <v>0</v>
      </c>
      <c r="AJ461" s="4">
        <v>3</v>
      </c>
      <c r="AK461" s="4">
        <v>2.2078804E-2</v>
      </c>
      <c r="AL461" s="4">
        <v>1.6353564179680698E-2</v>
      </c>
      <c r="AM461" s="4">
        <v>-5.7252398203192596E-3</v>
      </c>
      <c r="AN461" s="4">
        <v>3.4973751667716901E-4</v>
      </c>
    </row>
    <row r="462" spans="29:40">
      <c r="AC462" s="4" t="s">
        <v>1262</v>
      </c>
      <c r="AD462" s="4" t="s">
        <v>133</v>
      </c>
      <c r="AE462" s="4" t="s">
        <v>210</v>
      </c>
      <c r="AF462" s="4">
        <v>500</v>
      </c>
      <c r="AG462" s="4">
        <v>3.02</v>
      </c>
      <c r="AH462" s="4" t="s">
        <v>1446</v>
      </c>
      <c r="AI462" s="4">
        <v>2000</v>
      </c>
      <c r="AJ462" s="4">
        <v>1</v>
      </c>
      <c r="AK462" s="4">
        <v>1.279156094</v>
      </c>
      <c r="AL462" s="4">
        <v>1.6962745930379699</v>
      </c>
      <c r="AM462" s="4">
        <v>0.41711849903796999</v>
      </c>
      <c r="AN462" s="4">
        <v>0.231486539191262</v>
      </c>
    </row>
    <row r="463" spans="29:40">
      <c r="AC463" s="4" t="s">
        <v>1262</v>
      </c>
      <c r="AD463" s="4" t="s">
        <v>133</v>
      </c>
      <c r="AE463" s="4" t="s">
        <v>210</v>
      </c>
      <c r="AF463" s="4">
        <v>500</v>
      </c>
      <c r="AG463" s="4">
        <v>3.02</v>
      </c>
      <c r="AH463" s="4" t="s">
        <v>1446</v>
      </c>
      <c r="AI463" s="4">
        <v>2000</v>
      </c>
      <c r="AJ463" s="4">
        <v>2</v>
      </c>
      <c r="AK463" s="4">
        <v>1.2650596750000001</v>
      </c>
      <c r="AL463" s="4">
        <v>1.6962745930379699</v>
      </c>
      <c r="AM463" s="4">
        <v>0.43121491803797002</v>
      </c>
      <c r="AN463" s="4">
        <v>0.231486539191262</v>
      </c>
    </row>
    <row r="464" spans="29:40">
      <c r="AC464" s="4" t="s">
        <v>1262</v>
      </c>
      <c r="AD464" s="4" t="s">
        <v>133</v>
      </c>
      <c r="AE464" s="4" t="s">
        <v>210</v>
      </c>
      <c r="AF464" s="4">
        <v>500</v>
      </c>
      <c r="AG464" s="4">
        <v>3.02</v>
      </c>
      <c r="AH464" s="4" t="s">
        <v>1446</v>
      </c>
      <c r="AI464" s="4">
        <v>2000</v>
      </c>
      <c r="AJ464" s="4">
        <v>3</v>
      </c>
      <c r="AK464" s="4">
        <v>0.98642044900000003</v>
      </c>
      <c r="AL464" s="4">
        <v>1.6962745930379699</v>
      </c>
      <c r="AM464" s="4">
        <v>0.70985414403796998</v>
      </c>
      <c r="AN464" s="4">
        <v>0.231486539191262</v>
      </c>
    </row>
    <row r="465" spans="29:40">
      <c r="AC465" s="4" t="s">
        <v>1110</v>
      </c>
      <c r="AD465" s="4" t="s">
        <v>133</v>
      </c>
      <c r="AE465" s="4" t="s">
        <v>208</v>
      </c>
      <c r="AF465" s="4">
        <v>0</v>
      </c>
      <c r="AG465" s="4">
        <v>0.01</v>
      </c>
      <c r="AH465" s="4" t="s">
        <v>1445</v>
      </c>
      <c r="AI465" s="4">
        <v>0</v>
      </c>
      <c r="AJ465" s="4">
        <v>1</v>
      </c>
      <c r="AK465" s="4">
        <v>3.1064965E-2</v>
      </c>
      <c r="AL465" s="4">
        <v>1.38146645177257E-2</v>
      </c>
      <c r="AM465" s="4">
        <v>-1.7250300482274199E-2</v>
      </c>
      <c r="AN465" s="106">
        <v>4.1565121079616098E-7</v>
      </c>
    </row>
    <row r="466" spans="29:40">
      <c r="AC466" s="4" t="s">
        <v>1110</v>
      </c>
      <c r="AD466" s="4" t="s">
        <v>133</v>
      </c>
      <c r="AE466" s="4" t="s">
        <v>208</v>
      </c>
      <c r="AF466" s="4">
        <v>0</v>
      </c>
      <c r="AG466" s="4">
        <v>0.01</v>
      </c>
      <c r="AH466" s="4" t="s">
        <v>1445</v>
      </c>
      <c r="AI466" s="4">
        <v>0</v>
      </c>
      <c r="AJ466" s="4">
        <v>2</v>
      </c>
      <c r="AK466" s="4">
        <v>3.5079745000000002E-2</v>
      </c>
      <c r="AL466" s="4">
        <v>1.38146645177257E-2</v>
      </c>
      <c r="AM466" s="4">
        <v>-2.1265080482274198E-2</v>
      </c>
      <c r="AN466" s="106">
        <v>4.1565121079616098E-7</v>
      </c>
    </row>
    <row r="467" spans="29:40">
      <c r="AC467" s="4" t="s">
        <v>1110</v>
      </c>
      <c r="AD467" s="4" t="s">
        <v>133</v>
      </c>
      <c r="AE467" s="4" t="s">
        <v>208</v>
      </c>
      <c r="AF467" s="4">
        <v>0</v>
      </c>
      <c r="AG467" s="4">
        <v>0.01</v>
      </c>
      <c r="AH467" s="4" t="s">
        <v>1445</v>
      </c>
      <c r="AI467" s="4">
        <v>0</v>
      </c>
      <c r="AJ467" s="4">
        <v>3</v>
      </c>
      <c r="AK467" s="4">
        <v>2.9304332999999998E-2</v>
      </c>
      <c r="AL467" s="4">
        <v>1.38146645177257E-2</v>
      </c>
      <c r="AM467" s="4">
        <v>-1.54896684822742E-2</v>
      </c>
      <c r="AN467" s="106">
        <v>4.1565121079616098E-7</v>
      </c>
    </row>
    <row r="468" spans="29:40">
      <c r="AC468" s="4" t="s">
        <v>1110</v>
      </c>
      <c r="AD468" s="4" t="s">
        <v>133</v>
      </c>
      <c r="AE468" s="4" t="s">
        <v>208</v>
      </c>
      <c r="AF468" s="4">
        <v>0</v>
      </c>
      <c r="AG468" s="4">
        <v>0.01</v>
      </c>
      <c r="AH468" s="4" t="s">
        <v>1446</v>
      </c>
      <c r="AI468" s="4">
        <v>20</v>
      </c>
      <c r="AJ468" s="4">
        <v>1</v>
      </c>
      <c r="AK468" s="4">
        <v>2.9158527E-2</v>
      </c>
      <c r="AL468" s="4">
        <v>1.39193121417483E-2</v>
      </c>
      <c r="AM468" s="4">
        <v>-1.5239214858251599E-2</v>
      </c>
      <c r="AN468" s="106">
        <v>1.4813897737823699E-5</v>
      </c>
    </row>
    <row r="469" spans="29:40">
      <c r="AC469" s="4" t="s">
        <v>1110</v>
      </c>
      <c r="AD469" s="4" t="s">
        <v>133</v>
      </c>
      <c r="AE469" s="4" t="s">
        <v>208</v>
      </c>
      <c r="AF469" s="4">
        <v>0</v>
      </c>
      <c r="AG469" s="4">
        <v>0.01</v>
      </c>
      <c r="AH469" s="4" t="s">
        <v>1446</v>
      </c>
      <c r="AI469" s="4">
        <v>20</v>
      </c>
      <c r="AJ469" s="4">
        <v>2</v>
      </c>
      <c r="AK469" s="4">
        <v>2.8522636000000001E-2</v>
      </c>
      <c r="AL469" s="4">
        <v>1.39193121417483E-2</v>
      </c>
      <c r="AM469" s="4">
        <v>-1.46033238582516E-2</v>
      </c>
      <c r="AN469" s="106">
        <v>1.4813897737823699E-5</v>
      </c>
    </row>
    <row r="470" spans="29:40">
      <c r="AC470" s="4" t="s">
        <v>1110</v>
      </c>
      <c r="AD470" s="4" t="s">
        <v>133</v>
      </c>
      <c r="AE470" s="4" t="s">
        <v>208</v>
      </c>
      <c r="AF470" s="4">
        <v>0</v>
      </c>
      <c r="AG470" s="4">
        <v>0.01</v>
      </c>
      <c r="AH470" s="4" t="s">
        <v>1446</v>
      </c>
      <c r="AI470" s="4">
        <v>20</v>
      </c>
      <c r="AJ470" s="4">
        <v>3</v>
      </c>
      <c r="AK470" s="4">
        <v>2.8217928999999999E-2</v>
      </c>
      <c r="AL470" s="4">
        <v>1.39193121417483E-2</v>
      </c>
      <c r="AM470" s="4">
        <v>-1.42986168582516E-2</v>
      </c>
      <c r="AN470" s="106">
        <v>1.4813897737823699E-5</v>
      </c>
    </row>
    <row r="471" spans="29:40">
      <c r="AC471" s="4" t="s">
        <v>1110</v>
      </c>
      <c r="AD471" s="4" t="s">
        <v>133</v>
      </c>
      <c r="AE471" s="4" t="s">
        <v>208</v>
      </c>
      <c r="AF471" s="4">
        <v>20</v>
      </c>
      <c r="AG471" s="4">
        <v>0.4</v>
      </c>
      <c r="AH471" s="4" t="s">
        <v>1445</v>
      </c>
      <c r="AI471" s="4">
        <v>0</v>
      </c>
      <c r="AJ471" s="4">
        <v>1</v>
      </c>
      <c r="AK471" s="4">
        <v>4.4529155000000001E-2</v>
      </c>
      <c r="AL471" s="4">
        <v>1.86420119023788E-2</v>
      </c>
      <c r="AM471" s="4">
        <v>-2.58871430976211E-2</v>
      </c>
      <c r="AN471" s="4">
        <v>6.6460022649360696E-4</v>
      </c>
    </row>
    <row r="472" spans="29:40">
      <c r="AC472" s="4" t="s">
        <v>1110</v>
      </c>
      <c r="AD472" s="4" t="s">
        <v>133</v>
      </c>
      <c r="AE472" s="4" t="s">
        <v>208</v>
      </c>
      <c r="AF472" s="4">
        <v>20</v>
      </c>
      <c r="AG472" s="4">
        <v>0.4</v>
      </c>
      <c r="AH472" s="4" t="s">
        <v>1445</v>
      </c>
      <c r="AI472" s="4">
        <v>0</v>
      </c>
      <c r="AJ472" s="4">
        <v>2</v>
      </c>
      <c r="AK472" s="4">
        <v>4.5367757000000002E-2</v>
      </c>
      <c r="AL472" s="4">
        <v>1.86420119023788E-2</v>
      </c>
      <c r="AM472" s="4">
        <v>-2.6725745097621101E-2</v>
      </c>
      <c r="AN472" s="4">
        <v>6.6460022649360696E-4</v>
      </c>
    </row>
    <row r="473" spans="29:40">
      <c r="AC473" s="4" t="s">
        <v>1110</v>
      </c>
      <c r="AD473" s="4" t="s">
        <v>133</v>
      </c>
      <c r="AE473" s="4" t="s">
        <v>208</v>
      </c>
      <c r="AF473" s="4">
        <v>20</v>
      </c>
      <c r="AG473" s="4">
        <v>0.4</v>
      </c>
      <c r="AH473" s="4" t="s">
        <v>1445</v>
      </c>
      <c r="AI473" s="4">
        <v>0</v>
      </c>
      <c r="AJ473" s="4">
        <v>3</v>
      </c>
      <c r="AK473" s="4">
        <v>4.3508801E-2</v>
      </c>
      <c r="AL473" s="4">
        <v>1.86420119023788E-2</v>
      </c>
      <c r="AM473" s="4">
        <v>-2.4866789097621099E-2</v>
      </c>
      <c r="AN473" s="4">
        <v>6.6460022649360696E-4</v>
      </c>
    </row>
    <row r="474" spans="29:40">
      <c r="AC474" s="4" t="s">
        <v>1110</v>
      </c>
      <c r="AD474" s="4" t="s">
        <v>133</v>
      </c>
      <c r="AE474" s="4" t="s">
        <v>208</v>
      </c>
      <c r="AF474" s="4">
        <v>20</v>
      </c>
      <c r="AG474" s="4">
        <v>0.4</v>
      </c>
      <c r="AH474" s="4" t="s">
        <v>1446</v>
      </c>
      <c r="AI474" s="4">
        <v>20</v>
      </c>
      <c r="AJ474" s="4">
        <v>1</v>
      </c>
      <c r="AK474" s="4">
        <v>0.23401976399999999</v>
      </c>
      <c r="AL474" s="4">
        <v>0.18209521663537301</v>
      </c>
      <c r="AM474" s="4">
        <v>-5.19245473646269E-2</v>
      </c>
      <c r="AN474" s="4">
        <v>2.3153782941898699E-2</v>
      </c>
    </row>
    <row r="475" spans="29:40">
      <c r="AC475" s="4" t="s">
        <v>1110</v>
      </c>
      <c r="AD475" s="4" t="s">
        <v>133</v>
      </c>
      <c r="AE475" s="4" t="s">
        <v>208</v>
      </c>
      <c r="AF475" s="4">
        <v>20</v>
      </c>
      <c r="AG475" s="4">
        <v>0.4</v>
      </c>
      <c r="AH475" s="4" t="s">
        <v>1446</v>
      </c>
      <c r="AI475" s="4">
        <v>20</v>
      </c>
      <c r="AJ475" s="4">
        <v>2</v>
      </c>
      <c r="AK475" s="4">
        <v>0.24688992000000001</v>
      </c>
      <c r="AL475" s="4">
        <v>0.18209521663537301</v>
      </c>
      <c r="AM475" s="4">
        <v>-6.4794703364626893E-2</v>
      </c>
      <c r="AN475" s="4">
        <v>2.3153782941898699E-2</v>
      </c>
    </row>
    <row r="476" spans="29:40">
      <c r="AC476" s="4" t="s">
        <v>1110</v>
      </c>
      <c r="AD476" s="4" t="s">
        <v>133</v>
      </c>
      <c r="AE476" s="4" t="s">
        <v>208</v>
      </c>
      <c r="AF476" s="4">
        <v>20</v>
      </c>
      <c r="AG476" s="4">
        <v>0.4</v>
      </c>
      <c r="AH476" s="4" t="s">
        <v>1446</v>
      </c>
      <c r="AI476" s="4">
        <v>20</v>
      </c>
      <c r="AJ476" s="4">
        <v>3</v>
      </c>
      <c r="AK476" s="4">
        <v>0.24201721500000001</v>
      </c>
      <c r="AL476" s="4">
        <v>0.18209521663537301</v>
      </c>
      <c r="AM476" s="4">
        <v>-5.9921998364626902E-2</v>
      </c>
      <c r="AN476" s="4">
        <v>2.3153782941898699E-2</v>
      </c>
    </row>
    <row r="477" spans="29:40">
      <c r="AC477" s="4" t="s">
        <v>1110</v>
      </c>
      <c r="AD477" s="4" t="s">
        <v>133</v>
      </c>
      <c r="AE477" s="4" t="s">
        <v>208</v>
      </c>
      <c r="AF477" s="4">
        <v>500</v>
      </c>
      <c r="AG477" s="4">
        <v>3.02</v>
      </c>
      <c r="AH477" s="4" t="s">
        <v>1445</v>
      </c>
      <c r="AI477" s="4">
        <v>0</v>
      </c>
      <c r="AJ477" s="4">
        <v>1</v>
      </c>
      <c r="AK477" s="4">
        <v>8.3161295999999996E-2</v>
      </c>
      <c r="AL477" s="4">
        <v>0.27927438602205901</v>
      </c>
      <c r="AM477" s="4">
        <v>0.19611309002205901</v>
      </c>
      <c r="AN477" s="4">
        <v>3.6524460500888901E-2</v>
      </c>
    </row>
    <row r="478" spans="29:40">
      <c r="AC478" s="4" t="s">
        <v>1110</v>
      </c>
      <c r="AD478" s="4" t="s">
        <v>133</v>
      </c>
      <c r="AE478" s="4" t="s">
        <v>208</v>
      </c>
      <c r="AF478" s="4">
        <v>500</v>
      </c>
      <c r="AG478" s="4">
        <v>3.02</v>
      </c>
      <c r="AH478" s="4" t="s">
        <v>1445</v>
      </c>
      <c r="AI478" s="4">
        <v>0</v>
      </c>
      <c r="AJ478" s="4">
        <v>2</v>
      </c>
      <c r="AK478" s="4">
        <v>8.1282120999999999E-2</v>
      </c>
      <c r="AL478" s="4">
        <v>0.27927438602205901</v>
      </c>
      <c r="AM478" s="4">
        <v>0.19799226502205899</v>
      </c>
      <c r="AN478" s="4">
        <v>3.6524460500888901E-2</v>
      </c>
    </row>
    <row r="479" spans="29:40">
      <c r="AC479" s="4" t="s">
        <v>1110</v>
      </c>
      <c r="AD479" s="4" t="s">
        <v>133</v>
      </c>
      <c r="AE479" s="4" t="s">
        <v>208</v>
      </c>
      <c r="AF479" s="4">
        <v>500</v>
      </c>
      <c r="AG479" s="4">
        <v>3.02</v>
      </c>
      <c r="AH479" s="4" t="s">
        <v>1445</v>
      </c>
      <c r="AI479" s="4">
        <v>0</v>
      </c>
      <c r="AJ479" s="4">
        <v>3</v>
      </c>
      <c r="AK479" s="4">
        <v>8.7768656E-2</v>
      </c>
      <c r="AL479" s="4">
        <v>0.27927438602205901</v>
      </c>
      <c r="AM479" s="4">
        <v>0.19150573002205901</v>
      </c>
      <c r="AN479" s="4">
        <v>3.6524460500888901E-2</v>
      </c>
    </row>
    <row r="480" spans="29:40">
      <c r="AC480" s="4" t="s">
        <v>1110</v>
      </c>
      <c r="AD480" s="4" t="s">
        <v>133</v>
      </c>
      <c r="AE480" s="4" t="s">
        <v>208</v>
      </c>
      <c r="AF480" s="4">
        <v>500</v>
      </c>
      <c r="AG480" s="4">
        <v>3.02</v>
      </c>
      <c r="AH480" s="4" t="s">
        <v>1446</v>
      </c>
      <c r="AI480" s="4">
        <v>20</v>
      </c>
      <c r="AJ480" s="4">
        <v>1</v>
      </c>
      <c r="AK480" s="4">
        <v>4.2476868019999996</v>
      </c>
      <c r="AL480" s="4">
        <v>4.1905481824882296</v>
      </c>
      <c r="AM480" s="4">
        <v>-5.7138619511770003E-2</v>
      </c>
      <c r="AN480" s="4">
        <v>0.57466839718534501</v>
      </c>
    </row>
    <row r="481" spans="29:40">
      <c r="AC481" s="4" t="s">
        <v>1110</v>
      </c>
      <c r="AD481" s="4" t="s">
        <v>133</v>
      </c>
      <c r="AE481" s="4" t="s">
        <v>208</v>
      </c>
      <c r="AF481" s="4">
        <v>500</v>
      </c>
      <c r="AG481" s="4">
        <v>3.02</v>
      </c>
      <c r="AH481" s="4" t="s">
        <v>1446</v>
      </c>
      <c r="AI481" s="4">
        <v>20</v>
      </c>
      <c r="AJ481" s="4">
        <v>2</v>
      </c>
      <c r="AK481" s="4">
        <v>4.2419423969999999</v>
      </c>
      <c r="AL481" s="4">
        <v>4.1905481824882296</v>
      </c>
      <c r="AM481" s="4">
        <v>-5.1394214511770203E-2</v>
      </c>
      <c r="AN481" s="4">
        <v>0.57466839718534501</v>
      </c>
    </row>
    <row r="482" spans="29:40">
      <c r="AC482" s="4" t="s">
        <v>1110</v>
      </c>
      <c r="AD482" s="4" t="s">
        <v>133</v>
      </c>
      <c r="AE482" s="4" t="s">
        <v>208</v>
      </c>
      <c r="AF482" s="4">
        <v>500</v>
      </c>
      <c r="AG482" s="4">
        <v>3.02</v>
      </c>
      <c r="AH482" s="4" t="s">
        <v>1446</v>
      </c>
      <c r="AI482" s="4">
        <v>20</v>
      </c>
      <c r="AJ482" s="4">
        <v>3</v>
      </c>
      <c r="AK482" s="4">
        <v>4.1497675640000002</v>
      </c>
      <c r="AL482" s="4">
        <v>4.1905481824882296</v>
      </c>
      <c r="AM482" s="4">
        <v>4.0780618488229302E-2</v>
      </c>
      <c r="AN482" s="4">
        <v>0.57466839718534501</v>
      </c>
    </row>
  </sheetData>
  <mergeCells count="75">
    <mergeCell ref="A39:A44"/>
    <mergeCell ref="A17:A22"/>
    <mergeCell ref="C25:J25"/>
    <mergeCell ref="C16:E16"/>
    <mergeCell ref="F16:H16"/>
    <mergeCell ref="I16:K16"/>
    <mergeCell ref="A28:A33"/>
    <mergeCell ref="C36:K36"/>
    <mergeCell ref="C38:E38"/>
    <mergeCell ref="F38:H38"/>
    <mergeCell ref="I38:K38"/>
    <mergeCell ref="A50:A55"/>
    <mergeCell ref="C58:K58"/>
    <mergeCell ref="A83:A88"/>
    <mergeCell ref="C91:K91"/>
    <mergeCell ref="C93:E93"/>
    <mergeCell ref="F71:H71"/>
    <mergeCell ref="I71:K71"/>
    <mergeCell ref="C80:K80"/>
    <mergeCell ref="C82:E82"/>
    <mergeCell ref="F93:H93"/>
    <mergeCell ref="I93:K93"/>
    <mergeCell ref="C47:K47"/>
    <mergeCell ref="C49:E49"/>
    <mergeCell ref="F49:H49"/>
    <mergeCell ref="I49:K49"/>
    <mergeCell ref="C60:E60"/>
    <mergeCell ref="F60:H60"/>
    <mergeCell ref="I60:K60"/>
    <mergeCell ref="A6:A11"/>
    <mergeCell ref="A116:A121"/>
    <mergeCell ref="C104:E104"/>
    <mergeCell ref="F104:H104"/>
    <mergeCell ref="I104:K104"/>
    <mergeCell ref="A105:A110"/>
    <mergeCell ref="C113:K113"/>
    <mergeCell ref="C115:E115"/>
    <mergeCell ref="F115:H115"/>
    <mergeCell ref="I115:K115"/>
    <mergeCell ref="A61:A66"/>
    <mergeCell ref="C69:K69"/>
    <mergeCell ref="C102:K102"/>
    <mergeCell ref="A72:A77"/>
    <mergeCell ref="A94:A99"/>
    <mergeCell ref="C71:E71"/>
    <mergeCell ref="A149:A154"/>
    <mergeCell ref="C134:K134"/>
    <mergeCell ref="C136:E136"/>
    <mergeCell ref="F136:H136"/>
    <mergeCell ref="I136:K136"/>
    <mergeCell ref="A137:A142"/>
    <mergeCell ref="A188:A193"/>
    <mergeCell ref="A175:A180"/>
    <mergeCell ref="C159:K159"/>
    <mergeCell ref="C161:E161"/>
    <mergeCell ref="F161:H161"/>
    <mergeCell ref="I161:K161"/>
    <mergeCell ref="A162:A167"/>
    <mergeCell ref="C172:K172"/>
    <mergeCell ref="AC2:AM2"/>
    <mergeCell ref="C185:K185"/>
    <mergeCell ref="C187:E187"/>
    <mergeCell ref="F187:H187"/>
    <mergeCell ref="I187:K187"/>
    <mergeCell ref="C146:K146"/>
    <mergeCell ref="C148:E148"/>
    <mergeCell ref="F148:H148"/>
    <mergeCell ref="I148:K148"/>
    <mergeCell ref="C3:K3"/>
    <mergeCell ref="C5:E5"/>
    <mergeCell ref="F5:H5"/>
    <mergeCell ref="I5:K5"/>
    <mergeCell ref="F82:H82"/>
    <mergeCell ref="I82:K82"/>
    <mergeCell ref="C14:K14"/>
  </mergeCells>
  <phoneticPr fontId="3" type="noConversion"/>
  <conditionalFormatting sqref="M11:U11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{7BD72291-4EA7-448A-BC6D-A8080E8F2ACA}</x14:id>
        </ext>
      </extLst>
    </cfRule>
  </conditionalFormatting>
  <conditionalFormatting sqref="M22:U22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{97CE88AB-C463-477C-9C8D-1EB017FEDB6D}</x14:id>
        </ext>
      </extLst>
    </cfRule>
  </conditionalFormatting>
  <conditionalFormatting sqref="M33:U3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{C838A659-108C-4554-B327-80473783DE05}</x14:id>
        </ext>
      </extLst>
    </cfRule>
  </conditionalFormatting>
  <conditionalFormatting sqref="M44:U4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{53447F69-4AB8-4890-BD7B-14788861A27E}</x14:id>
        </ext>
      </extLst>
    </cfRule>
  </conditionalFormatting>
  <conditionalFormatting sqref="M54:U5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{FA4463D9-7ED0-433E-AAB9-456EFFC141F5}</x14:id>
        </ext>
      </extLst>
    </cfRule>
  </conditionalFormatting>
  <conditionalFormatting sqref="M66:U6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{379B4F1F-9572-4AA9-86F4-757059BE4F28}</x14:id>
        </ext>
      </extLst>
    </cfRule>
  </conditionalFormatting>
  <conditionalFormatting sqref="M77:U7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{0F6572C5-5955-4F17-8D82-4A3D679F2115}</x14:id>
        </ext>
      </extLst>
    </cfRule>
  </conditionalFormatting>
  <conditionalFormatting sqref="M88:U8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{C879EC6E-0D50-4732-B167-9E55AF9B0AB9}</x14:id>
        </ext>
      </extLst>
    </cfRule>
  </conditionalFormatting>
  <conditionalFormatting sqref="M99:U9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{CD03699A-C26E-4EEF-B1CF-ABBDCBBEDCD2}</x14:id>
        </ext>
      </extLst>
    </cfRule>
  </conditionalFormatting>
  <conditionalFormatting sqref="M109:U109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{F7F825CA-517F-4BEF-9690-6E6840A508BE}</x14:id>
        </ext>
      </extLst>
    </cfRule>
  </conditionalFormatting>
  <conditionalFormatting sqref="M120:U120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{61484C90-3B70-4FED-AAF6-1637DA3ADFED}</x14:id>
        </ext>
      </extLst>
    </cfRule>
  </conditionalFormatting>
  <conditionalFormatting sqref="M142:U14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{F7476101-F886-4073-8160-EFA1F326BB9A}</x14:id>
        </ext>
      </extLst>
    </cfRule>
  </conditionalFormatting>
  <conditionalFormatting sqref="M154:U15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{3C96FE8C-E86A-47DE-B61E-E94F95D1C5E1}</x14:id>
        </ext>
      </extLst>
    </cfRule>
  </conditionalFormatting>
  <conditionalFormatting sqref="M167:U16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{1AD9DDB3-452F-46D8-844B-D7FE895332B8}</x14:id>
        </ext>
      </extLst>
    </cfRule>
  </conditionalFormatting>
  <conditionalFormatting sqref="M180:U180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{B3979D42-C89E-470F-86CE-F497C944FB30}</x14:id>
        </ext>
      </extLst>
    </cfRule>
  </conditionalFormatting>
  <conditionalFormatting sqref="M192:X192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{1B9A72F9-C497-45E5-B27F-478EE764ABEB}</x14:id>
        </ext>
      </extLst>
    </cfRule>
  </conditionalFormatting>
  <conditionalFormatting sqref="V11:X1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{4FAE5653-01AD-4F93-9E0A-4F8333414901}</x14:id>
        </ext>
      </extLst>
    </cfRule>
  </conditionalFormatting>
  <conditionalFormatting sqref="V22:X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{1BC9D3FE-F533-435C-A22E-493A7C261780}</x14:id>
        </ext>
      </extLst>
    </cfRule>
  </conditionalFormatting>
  <conditionalFormatting sqref="V24:X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{5C33CE1E-7FB0-498A-B95B-0190B5A3E23A}</x14:id>
        </ext>
      </extLst>
    </cfRule>
  </conditionalFormatting>
  <conditionalFormatting sqref="V33:X3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{D965B8B1-10B8-4331-B4AD-6BB0DC694993}</x14:id>
        </ext>
      </extLst>
    </cfRule>
  </conditionalFormatting>
  <conditionalFormatting sqref="V35:X3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{AFCE55C4-E56B-4CC1-8D1B-09F5C9109F15}</x14:id>
        </ext>
      </extLst>
    </cfRule>
  </conditionalFormatting>
  <conditionalFormatting sqref="V44:X4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{53EB276F-01D4-4A16-8288-99968E463B87}</x14:id>
        </ext>
      </extLst>
    </cfRule>
  </conditionalFormatting>
  <conditionalFormatting sqref="V46:X4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{358245B9-A7B3-489A-A4E3-00ACFFD0C486}</x14:id>
        </ext>
      </extLst>
    </cfRule>
  </conditionalFormatting>
  <conditionalFormatting sqref="V54:X5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{961C9C1A-D3E6-4BF4-B78B-20EC3D3BB41A}</x14:id>
        </ext>
      </extLst>
    </cfRule>
  </conditionalFormatting>
  <conditionalFormatting sqref="V56:X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{418870B3-20C5-4D24-BEAF-6386EACBD689}</x14:id>
        </ext>
      </extLst>
    </cfRule>
  </conditionalFormatting>
  <conditionalFormatting sqref="V66:X6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{4031BD4B-65F2-439C-9799-94071C63A149}</x14:id>
        </ext>
      </extLst>
    </cfRule>
  </conditionalFormatting>
  <conditionalFormatting sqref="V68:X6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{49E45FEC-7C22-4349-AC3D-C31D8319F7DB}</x14:id>
        </ext>
      </extLst>
    </cfRule>
  </conditionalFormatting>
  <conditionalFormatting sqref="V77:X7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{965AFB54-9352-4A7D-895B-824D51C8CE9E}</x14:id>
        </ext>
      </extLst>
    </cfRule>
  </conditionalFormatting>
  <conditionalFormatting sqref="V79:X7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{CB31A544-859D-4AD7-B131-8F579792527B}</x14:id>
        </ext>
      </extLst>
    </cfRule>
  </conditionalFormatting>
  <conditionalFormatting sqref="V88:X8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{D176B622-A3E7-44EB-B966-C03D36271CC3}</x14:id>
        </ext>
      </extLst>
    </cfRule>
  </conditionalFormatting>
  <conditionalFormatting sqref="V90:X9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{99D03C91-3E4E-4090-852B-D5D93B6DA08A}</x14:id>
        </ext>
      </extLst>
    </cfRule>
  </conditionalFormatting>
  <conditionalFormatting sqref="V99:X9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{5962FE53-3821-40E0-AC0A-F8E84E0B69F4}</x14:id>
        </ext>
      </extLst>
    </cfRule>
  </conditionalFormatting>
  <conditionalFormatting sqref="V101:X10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{38708DD4-A4D4-417D-9187-2F556ADEF21D}</x14:id>
        </ext>
      </extLst>
    </cfRule>
  </conditionalFormatting>
  <conditionalFormatting sqref="V109:X10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{56CD78F7-86E2-4C1A-8BE6-EC28084F38D6}</x14:id>
        </ext>
      </extLst>
    </cfRule>
  </conditionalFormatting>
  <conditionalFormatting sqref="V111:X1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{0F9FCC52-EDE2-481E-A579-6E2F3E95F6FA}</x14:id>
        </ext>
      </extLst>
    </cfRule>
  </conditionalFormatting>
  <conditionalFormatting sqref="V120:X12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{15C2B7D9-F77C-4E6C-9011-92B57FAE456A}</x14:id>
        </ext>
      </extLst>
    </cfRule>
  </conditionalFormatting>
  <conditionalFormatting sqref="V122:X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{3BAE3929-36B3-44A5-AFAF-68DD5ADABFC5}</x14:id>
        </ext>
      </extLst>
    </cfRule>
  </conditionalFormatting>
  <conditionalFormatting sqref="V142:X14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{CD3B1E20-CE58-4182-A124-1EFDACF7C88A}</x14:id>
        </ext>
      </extLst>
    </cfRule>
  </conditionalFormatting>
  <conditionalFormatting sqref="V144:X14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{DD2F712E-12CB-48DD-B7A8-C8F7E391CD2A}</x14:id>
        </ext>
      </extLst>
    </cfRule>
  </conditionalFormatting>
  <conditionalFormatting sqref="V154:X15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{1C3FF6CD-1E71-4DD4-ADC8-64AA0C41CA5D}</x14:id>
        </ext>
      </extLst>
    </cfRule>
  </conditionalFormatting>
  <conditionalFormatting sqref="V156:X15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{9DCB51F5-F1D7-4826-8AA6-DB4049F968C6}</x14:id>
        </ext>
      </extLst>
    </cfRule>
  </conditionalFormatting>
  <conditionalFormatting sqref="V167:X16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{F0C7A349-07E5-4EBA-B165-8EF041A18B36}</x14:id>
        </ext>
      </extLst>
    </cfRule>
  </conditionalFormatting>
  <conditionalFormatting sqref="V169:X16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{F81956DB-8F69-4E59-A6AE-23BCF4C97D14}</x14:id>
        </ext>
      </extLst>
    </cfRule>
  </conditionalFormatting>
  <conditionalFormatting sqref="V180:X18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{4D0030BC-6BCF-4331-86F8-9F25D779EF54}</x14:id>
        </ext>
      </extLst>
    </cfRule>
  </conditionalFormatting>
  <conditionalFormatting sqref="V182:X18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{4454CAE2-9F70-4B0F-BFD8-3D0ABA0996DD}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D72291-4EA7-448A-BC6D-A8080E8F2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M11:U11</xm:sqref>
        </x14:conditionalFormatting>
        <x14:conditionalFormatting xmlns:xm="http://schemas.microsoft.com/office/excel/2006/main">
          <x14:cfRule type="dataBar" id="{97CE88AB-C463-477C-9C8D-1EB017FED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M22:U22</xm:sqref>
        </x14:conditionalFormatting>
        <x14:conditionalFormatting xmlns:xm="http://schemas.microsoft.com/office/excel/2006/main">
          <x14:cfRule type="dataBar" id="{C838A659-108C-4554-B327-80473783D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M33:U33</xm:sqref>
        </x14:conditionalFormatting>
        <x14:conditionalFormatting xmlns:xm="http://schemas.microsoft.com/office/excel/2006/main">
          <x14:cfRule type="dataBar" id="{53447F69-4AB8-4890-BD7B-14788861A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M44:U44</xm:sqref>
        </x14:conditionalFormatting>
        <x14:conditionalFormatting xmlns:xm="http://schemas.microsoft.com/office/excel/2006/main">
          <x14:cfRule type="dataBar" id="{FA4463D9-7ED0-433E-AAB9-456EFFC141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M54:U54</xm:sqref>
        </x14:conditionalFormatting>
        <x14:conditionalFormatting xmlns:xm="http://schemas.microsoft.com/office/excel/2006/main">
          <x14:cfRule type="dataBar" id="{379B4F1F-9572-4AA9-86F4-757059BE4F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M66:U66</xm:sqref>
        </x14:conditionalFormatting>
        <x14:conditionalFormatting xmlns:xm="http://schemas.microsoft.com/office/excel/2006/main">
          <x14:cfRule type="dataBar" id="{0F6572C5-5955-4F17-8D82-4A3D679F2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M77:U77</xm:sqref>
        </x14:conditionalFormatting>
        <x14:conditionalFormatting xmlns:xm="http://schemas.microsoft.com/office/excel/2006/main">
          <x14:cfRule type="dataBar" id="{C879EC6E-0D50-4732-B167-9E55AF9B0A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M88:U88</xm:sqref>
        </x14:conditionalFormatting>
        <x14:conditionalFormatting xmlns:xm="http://schemas.microsoft.com/office/excel/2006/main">
          <x14:cfRule type="dataBar" id="{CD03699A-C26E-4EEF-B1CF-ABBDCBBEDC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M99:U99</xm:sqref>
        </x14:conditionalFormatting>
        <x14:conditionalFormatting xmlns:xm="http://schemas.microsoft.com/office/excel/2006/main">
          <x14:cfRule type="dataBar" id="{F7F825CA-517F-4BEF-9690-6E6840A508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M109:U109</xm:sqref>
        </x14:conditionalFormatting>
        <x14:conditionalFormatting xmlns:xm="http://schemas.microsoft.com/office/excel/2006/main">
          <x14:cfRule type="dataBar" id="{61484C90-3B70-4FED-AAF6-1637DA3ADF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M120:U120</xm:sqref>
        </x14:conditionalFormatting>
        <x14:conditionalFormatting xmlns:xm="http://schemas.microsoft.com/office/excel/2006/main">
          <x14:cfRule type="dataBar" id="{F7476101-F886-4073-8160-EFA1F326B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M142:U142</xm:sqref>
        </x14:conditionalFormatting>
        <x14:conditionalFormatting xmlns:xm="http://schemas.microsoft.com/office/excel/2006/main">
          <x14:cfRule type="dataBar" id="{3C96FE8C-E86A-47DE-B61E-E94F95D1C5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M154:U154</xm:sqref>
        </x14:conditionalFormatting>
        <x14:conditionalFormatting xmlns:xm="http://schemas.microsoft.com/office/excel/2006/main">
          <x14:cfRule type="dataBar" id="{1AD9DDB3-452F-46D8-844B-D7FE89533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M167:U167</xm:sqref>
        </x14:conditionalFormatting>
        <x14:conditionalFormatting xmlns:xm="http://schemas.microsoft.com/office/excel/2006/main">
          <x14:cfRule type="dataBar" id="{B3979D42-C89E-470F-86CE-F497C944FB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M180:U180</xm:sqref>
        </x14:conditionalFormatting>
        <x14:conditionalFormatting xmlns:xm="http://schemas.microsoft.com/office/excel/2006/main">
          <x14:cfRule type="dataBar" id="{1B9A72F9-C497-45E5-B27F-478EE764A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M192:X192</xm:sqref>
        </x14:conditionalFormatting>
        <x14:conditionalFormatting xmlns:xm="http://schemas.microsoft.com/office/excel/2006/main">
          <x14:cfRule type="dataBar" id="{4FAE5653-01AD-4F93-9E0A-4F83334149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V11:X11</xm:sqref>
        </x14:conditionalFormatting>
        <x14:conditionalFormatting xmlns:xm="http://schemas.microsoft.com/office/excel/2006/main">
          <x14:cfRule type="dataBar" id="{1BC9D3FE-F533-435C-A22E-493A7C2617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V22:X22</xm:sqref>
        </x14:conditionalFormatting>
        <x14:conditionalFormatting xmlns:xm="http://schemas.microsoft.com/office/excel/2006/main">
          <x14:cfRule type="dataBar" id="{5C33CE1E-7FB0-498A-B95B-0190B5A3E2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V24:X24</xm:sqref>
        </x14:conditionalFormatting>
        <x14:conditionalFormatting xmlns:xm="http://schemas.microsoft.com/office/excel/2006/main">
          <x14:cfRule type="dataBar" id="{D965B8B1-10B8-4331-B4AD-6BB0DC6949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V33:X33</xm:sqref>
        </x14:conditionalFormatting>
        <x14:conditionalFormatting xmlns:xm="http://schemas.microsoft.com/office/excel/2006/main">
          <x14:cfRule type="dataBar" id="{AFCE55C4-E56B-4CC1-8D1B-09F5C9109F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V35:X35</xm:sqref>
        </x14:conditionalFormatting>
        <x14:conditionalFormatting xmlns:xm="http://schemas.microsoft.com/office/excel/2006/main">
          <x14:cfRule type="dataBar" id="{53EB276F-01D4-4A16-8288-99968E463B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V44:X44</xm:sqref>
        </x14:conditionalFormatting>
        <x14:conditionalFormatting xmlns:xm="http://schemas.microsoft.com/office/excel/2006/main">
          <x14:cfRule type="dataBar" id="{358245B9-A7B3-489A-A4E3-00ACFFD0C4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V46:X46</xm:sqref>
        </x14:conditionalFormatting>
        <x14:conditionalFormatting xmlns:xm="http://schemas.microsoft.com/office/excel/2006/main">
          <x14:cfRule type="dataBar" id="{961C9C1A-D3E6-4BF4-B78B-20EC3D3BB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V54:X54</xm:sqref>
        </x14:conditionalFormatting>
        <x14:conditionalFormatting xmlns:xm="http://schemas.microsoft.com/office/excel/2006/main">
          <x14:cfRule type="dataBar" id="{418870B3-20C5-4D24-BEAF-6386EACBD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V56:X56</xm:sqref>
        </x14:conditionalFormatting>
        <x14:conditionalFormatting xmlns:xm="http://schemas.microsoft.com/office/excel/2006/main">
          <x14:cfRule type="dataBar" id="{4031BD4B-65F2-439C-9799-94071C63A1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V66:X66</xm:sqref>
        </x14:conditionalFormatting>
        <x14:conditionalFormatting xmlns:xm="http://schemas.microsoft.com/office/excel/2006/main">
          <x14:cfRule type="dataBar" id="{49E45FEC-7C22-4349-AC3D-C31D8319F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V68:X68</xm:sqref>
        </x14:conditionalFormatting>
        <x14:conditionalFormatting xmlns:xm="http://schemas.microsoft.com/office/excel/2006/main">
          <x14:cfRule type="dataBar" id="{965AFB54-9352-4A7D-895B-824D51C8CE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V77:X77</xm:sqref>
        </x14:conditionalFormatting>
        <x14:conditionalFormatting xmlns:xm="http://schemas.microsoft.com/office/excel/2006/main">
          <x14:cfRule type="dataBar" id="{CB31A544-859D-4AD7-B131-8F57979252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V79:X79</xm:sqref>
        </x14:conditionalFormatting>
        <x14:conditionalFormatting xmlns:xm="http://schemas.microsoft.com/office/excel/2006/main">
          <x14:cfRule type="dataBar" id="{D176B622-A3E7-44EB-B966-C03D36271C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V88:X88</xm:sqref>
        </x14:conditionalFormatting>
        <x14:conditionalFormatting xmlns:xm="http://schemas.microsoft.com/office/excel/2006/main">
          <x14:cfRule type="dataBar" id="{99D03C91-3E4E-4090-852B-D5D93B6DA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V90:X90</xm:sqref>
        </x14:conditionalFormatting>
        <x14:conditionalFormatting xmlns:xm="http://schemas.microsoft.com/office/excel/2006/main">
          <x14:cfRule type="dataBar" id="{5962FE53-3821-40E0-AC0A-F8E84E0B6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V99:X99</xm:sqref>
        </x14:conditionalFormatting>
        <x14:conditionalFormatting xmlns:xm="http://schemas.microsoft.com/office/excel/2006/main">
          <x14:cfRule type="dataBar" id="{38708DD4-A4D4-417D-9187-2F556ADEF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V101:X101</xm:sqref>
        </x14:conditionalFormatting>
        <x14:conditionalFormatting xmlns:xm="http://schemas.microsoft.com/office/excel/2006/main">
          <x14:cfRule type="dataBar" id="{56CD78F7-86E2-4C1A-8BE6-EC28084F38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V109:X109</xm:sqref>
        </x14:conditionalFormatting>
        <x14:conditionalFormatting xmlns:xm="http://schemas.microsoft.com/office/excel/2006/main">
          <x14:cfRule type="dataBar" id="{0F9FCC52-EDE2-481E-A579-6E2F3E95F6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V111:X111</xm:sqref>
        </x14:conditionalFormatting>
        <x14:conditionalFormatting xmlns:xm="http://schemas.microsoft.com/office/excel/2006/main">
          <x14:cfRule type="dataBar" id="{15C2B7D9-F77C-4E6C-9011-92B57FAE4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V120:X120</xm:sqref>
        </x14:conditionalFormatting>
        <x14:conditionalFormatting xmlns:xm="http://schemas.microsoft.com/office/excel/2006/main">
          <x14:cfRule type="dataBar" id="{3BAE3929-36B3-44A5-AFAF-68DD5ADAB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V122:X122</xm:sqref>
        </x14:conditionalFormatting>
        <x14:conditionalFormatting xmlns:xm="http://schemas.microsoft.com/office/excel/2006/main">
          <x14:cfRule type="dataBar" id="{CD3B1E20-CE58-4182-A124-1EFDACF7C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V142:X142</xm:sqref>
        </x14:conditionalFormatting>
        <x14:conditionalFormatting xmlns:xm="http://schemas.microsoft.com/office/excel/2006/main">
          <x14:cfRule type="dataBar" id="{DD2F712E-12CB-48DD-B7A8-C8F7E391CD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V144:X144</xm:sqref>
        </x14:conditionalFormatting>
        <x14:conditionalFormatting xmlns:xm="http://schemas.microsoft.com/office/excel/2006/main">
          <x14:cfRule type="dataBar" id="{1C3FF6CD-1E71-4DD4-ADC8-64AA0C41CA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V154:X154</xm:sqref>
        </x14:conditionalFormatting>
        <x14:conditionalFormatting xmlns:xm="http://schemas.microsoft.com/office/excel/2006/main">
          <x14:cfRule type="dataBar" id="{9DCB51F5-F1D7-4826-8AA6-DB4049F968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V156:X156</xm:sqref>
        </x14:conditionalFormatting>
        <x14:conditionalFormatting xmlns:xm="http://schemas.microsoft.com/office/excel/2006/main">
          <x14:cfRule type="dataBar" id="{F0C7A349-07E5-4EBA-B165-8EF041A18B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V167:X167</xm:sqref>
        </x14:conditionalFormatting>
        <x14:conditionalFormatting xmlns:xm="http://schemas.microsoft.com/office/excel/2006/main">
          <x14:cfRule type="dataBar" id="{F81956DB-8F69-4E59-A6AE-23BCF4C97D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V169:X169</xm:sqref>
        </x14:conditionalFormatting>
        <x14:conditionalFormatting xmlns:xm="http://schemas.microsoft.com/office/excel/2006/main">
          <x14:cfRule type="dataBar" id="{4D0030BC-6BCF-4331-86F8-9F25D779E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V180:X180</xm:sqref>
        </x14:conditionalFormatting>
        <x14:conditionalFormatting xmlns:xm="http://schemas.microsoft.com/office/excel/2006/main">
          <x14:cfRule type="dataBar" id="{4454CAE2-9F70-4B0F-BFD8-3D0ABA0996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V182:X182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A9ED-C7A8-4771-94E2-353E92D5655A}">
  <dimension ref="A1:AL59"/>
  <sheetViews>
    <sheetView zoomScale="90" zoomScaleNormal="90" workbookViewId="0">
      <selection activeCell="B32" sqref="B32"/>
    </sheetView>
  </sheetViews>
  <sheetFormatPr defaultColWidth="8.625" defaultRowHeight="14.25"/>
  <cols>
    <col min="1" max="1" width="28.125" style="4" customWidth="1"/>
    <col min="2" max="2" width="15.75" style="4" customWidth="1"/>
    <col min="3" max="3" width="10.75" style="4" customWidth="1"/>
    <col min="4" max="10" width="8.625" style="4"/>
    <col min="11" max="11" width="17.375" style="4" customWidth="1"/>
    <col min="12" max="12" width="8.625" style="4"/>
    <col min="13" max="13" width="12.125" style="4" customWidth="1"/>
    <col min="14" max="19" width="8.625" style="4"/>
    <col min="20" max="20" width="12.375" style="4" customWidth="1"/>
    <col min="21" max="21" width="10.875" style="4" customWidth="1"/>
    <col min="22" max="16384" width="8.625" style="4"/>
  </cols>
  <sheetData>
    <row r="1" spans="1:38" ht="15">
      <c r="A1" s="68" t="s">
        <v>1573</v>
      </c>
      <c r="B1" s="91" t="s">
        <v>1183</v>
      </c>
      <c r="C1" s="3" t="s">
        <v>1170</v>
      </c>
      <c r="D1" s="3"/>
      <c r="E1" s="3" t="s">
        <v>1171</v>
      </c>
      <c r="F1" s="3"/>
      <c r="G1" s="3" t="s">
        <v>1172</v>
      </c>
      <c r="H1" s="3"/>
      <c r="I1" s="3" t="s">
        <v>1173</v>
      </c>
      <c r="J1" s="3"/>
      <c r="K1" s="3" t="s">
        <v>2193</v>
      </c>
      <c r="L1" s="3"/>
      <c r="M1" s="3" t="s">
        <v>1174</v>
      </c>
      <c r="N1" s="3"/>
      <c r="O1" s="3" t="s">
        <v>1175</v>
      </c>
      <c r="P1" s="3"/>
      <c r="Q1" s="3" t="s">
        <v>1176</v>
      </c>
      <c r="R1" s="3"/>
      <c r="S1" s="3" t="s">
        <v>2194</v>
      </c>
      <c r="T1" s="3"/>
      <c r="U1" s="3" t="s">
        <v>1177</v>
      </c>
      <c r="V1" s="3"/>
      <c r="W1" s="3" t="s">
        <v>2195</v>
      </c>
      <c r="X1" s="3"/>
      <c r="Y1" s="3" t="s">
        <v>1178</v>
      </c>
      <c r="Z1" s="3"/>
    </row>
    <row r="2" spans="1:38">
      <c r="B2" s="1" t="s">
        <v>1179</v>
      </c>
      <c r="C2" s="2">
        <v>2.9230822939999999</v>
      </c>
      <c r="D2" s="2">
        <v>2.927045804</v>
      </c>
      <c r="E2" s="2">
        <v>0.17026171500000001</v>
      </c>
      <c r="F2" s="2">
        <v>0.204119983</v>
      </c>
      <c r="G2" s="2">
        <v>0.129689892</v>
      </c>
      <c r="H2" s="2">
        <v>6.2957834000000004E-2</v>
      </c>
      <c r="I2" s="2">
        <v>0</v>
      </c>
      <c r="J2" s="2">
        <v>0</v>
      </c>
      <c r="K2" s="2">
        <v>0.117933835</v>
      </c>
      <c r="L2" s="2">
        <v>0.17026171500000001</v>
      </c>
      <c r="M2" s="2">
        <v>0.15228834399999999</v>
      </c>
      <c r="N2" s="2">
        <v>0.137354111</v>
      </c>
      <c r="O2" s="2">
        <v>0.15228834399999999</v>
      </c>
      <c r="P2" s="2">
        <v>0.21695720700000001</v>
      </c>
      <c r="Q2" s="2">
        <v>0.117933835</v>
      </c>
      <c r="R2" s="2">
        <v>0.16672605600000001</v>
      </c>
      <c r="S2" s="2">
        <v>0.22942584799999999</v>
      </c>
      <c r="T2" s="2">
        <v>0.30016053700000001</v>
      </c>
      <c r="U2" s="2">
        <v>0.22942584799999999</v>
      </c>
      <c r="V2" s="2">
        <v>0.30016053700000001</v>
      </c>
      <c r="W2" s="2">
        <v>3.0194784999999998E-2</v>
      </c>
      <c r="X2" s="2">
        <v>0</v>
      </c>
      <c r="Y2" s="2">
        <v>0.35640832700000002</v>
      </c>
      <c r="Z2" s="2">
        <v>0.32551566300000001</v>
      </c>
    </row>
    <row r="3" spans="1:38">
      <c r="B3" s="1" t="s">
        <v>1106</v>
      </c>
      <c r="C3" s="2">
        <v>6.3632431000000003E-2</v>
      </c>
      <c r="D3" s="2">
        <v>0.122095895</v>
      </c>
      <c r="E3" s="2">
        <v>2.2540105509999999</v>
      </c>
      <c r="F3" s="2">
        <v>2.2623045340000001</v>
      </c>
      <c r="G3" s="2">
        <v>6.7100331999999999E-2</v>
      </c>
      <c r="H3" s="2">
        <v>7.9365503000000004E-2</v>
      </c>
      <c r="I3" s="2">
        <v>2.7339513999999999E-2</v>
      </c>
      <c r="J3" s="2">
        <v>6.1742264999999998E-2</v>
      </c>
      <c r="K3" s="2">
        <v>0</v>
      </c>
      <c r="L3" s="2">
        <v>0</v>
      </c>
      <c r="M3" s="2">
        <v>1.5832657999999999E-2</v>
      </c>
      <c r="N3" s="2">
        <v>4.7109960999999999E-2</v>
      </c>
      <c r="O3" s="2">
        <v>9.3889572000000004E-2</v>
      </c>
      <c r="P3" s="2">
        <v>0.13138707499999999</v>
      </c>
      <c r="Q3" s="2">
        <v>4.2222562999999998E-2</v>
      </c>
      <c r="R3" s="2">
        <v>6.5324588000000003E-2</v>
      </c>
      <c r="S3" s="2">
        <v>9.3889572000000004E-2</v>
      </c>
      <c r="T3" s="2">
        <v>0.118954132</v>
      </c>
      <c r="U3" s="2">
        <v>9.3889572000000004E-2</v>
      </c>
      <c r="V3" s="2">
        <v>0.118954132</v>
      </c>
      <c r="W3" s="2">
        <v>-4.0500249999999996E-3</v>
      </c>
      <c r="X3" s="2">
        <v>5.0814513999999998E-2</v>
      </c>
      <c r="Y3" s="2">
        <v>0.194850789</v>
      </c>
      <c r="Z3" s="2">
        <v>0.21476967399999999</v>
      </c>
    </row>
    <row r="4" spans="1:38">
      <c r="B4" s="1" t="s">
        <v>1180</v>
      </c>
      <c r="C4" s="2">
        <v>0</v>
      </c>
      <c r="D4" s="2">
        <v>0</v>
      </c>
      <c r="E4" s="2">
        <v>0</v>
      </c>
      <c r="F4" s="2">
        <v>0</v>
      </c>
      <c r="G4" s="2">
        <v>2.7206772240000001</v>
      </c>
      <c r="H4" s="2">
        <v>2.731555046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</row>
    <row r="5" spans="1:38">
      <c r="B5" s="1" t="s">
        <v>2198</v>
      </c>
      <c r="C5" s="2">
        <v>0.14067348499999999</v>
      </c>
      <c r="D5" s="2">
        <v>0.18017751300000001</v>
      </c>
      <c r="E5" s="2">
        <v>1.3628022E-2</v>
      </c>
      <c r="F5" s="2">
        <v>0.168347051</v>
      </c>
      <c r="G5" s="2">
        <v>0.23078056999999999</v>
      </c>
      <c r="H5" s="2">
        <v>0.24234899600000001</v>
      </c>
      <c r="I5" s="2">
        <v>2.532897202</v>
      </c>
      <c r="J5" s="2">
        <v>2.5730118989999999</v>
      </c>
      <c r="K5" s="2">
        <v>9.4957201000000005E-2</v>
      </c>
      <c r="L5" s="2">
        <v>0.110095436</v>
      </c>
      <c r="M5" s="2">
        <v>7.8582631999999999E-2</v>
      </c>
      <c r="N5" s="2">
        <v>2.1928177E-2</v>
      </c>
      <c r="O5" s="2">
        <v>0.107145872</v>
      </c>
      <c r="P5" s="2">
        <v>2.1928177E-2</v>
      </c>
      <c r="Q5" s="2">
        <v>0.14067348499999999</v>
      </c>
      <c r="R5" s="2">
        <v>0.18649718800000001</v>
      </c>
      <c r="S5" s="2">
        <v>0.23709734800000001</v>
      </c>
      <c r="T5" s="2">
        <v>0.29954522700000002</v>
      </c>
      <c r="U5" s="2">
        <v>2.8285020000000001E-2</v>
      </c>
      <c r="V5" s="2">
        <v>0.188583475</v>
      </c>
      <c r="W5" s="2">
        <v>9.4957201000000005E-2</v>
      </c>
      <c r="X5" s="2">
        <v>2.4972310000000001E-2</v>
      </c>
      <c r="Y5" s="2">
        <v>0.263008307</v>
      </c>
      <c r="Z5" s="2">
        <v>0.21970143</v>
      </c>
    </row>
    <row r="6" spans="1:38">
      <c r="B6" s="1" t="s">
        <v>2199</v>
      </c>
      <c r="C6" s="2">
        <v>5.4812819999999996E-3</v>
      </c>
      <c r="D6" s="2">
        <v>4.8767219000000001E-2</v>
      </c>
      <c r="E6" s="2">
        <v>-0.165914856</v>
      </c>
      <c r="F6" s="2">
        <v>-0.17916049100000001</v>
      </c>
      <c r="G6" s="2">
        <v>-2.8494770999999999E-2</v>
      </c>
      <c r="H6" s="2">
        <v>-1.7553580999999999E-2</v>
      </c>
      <c r="I6" s="10" t="s">
        <v>1181</v>
      </c>
      <c r="J6" s="2">
        <v>-0.14103517400000001</v>
      </c>
      <c r="K6" s="2">
        <v>2.3106060899999998</v>
      </c>
      <c r="L6" s="2">
        <v>2.3274776560000001</v>
      </c>
      <c r="M6" s="2">
        <v>-4.6534513999999999E-2</v>
      </c>
      <c r="N6" s="2">
        <v>-4.2119666E-2</v>
      </c>
      <c r="O6" s="2">
        <v>-0.13473200599999999</v>
      </c>
      <c r="P6" s="2">
        <v>-0.10307032200000001</v>
      </c>
      <c r="Q6" s="2">
        <v>0</v>
      </c>
      <c r="R6" s="2">
        <v>5.6969919999999997E-3</v>
      </c>
      <c r="S6" s="2">
        <v>9.7884861000000004E-2</v>
      </c>
      <c r="T6" s="2">
        <v>9.6473317000000003E-2</v>
      </c>
      <c r="U6" s="2">
        <v>4.7005992000000003E-2</v>
      </c>
      <c r="V6" s="2">
        <v>5.8898964999999998E-2</v>
      </c>
      <c r="W6" s="2">
        <v>5.4812819999999996E-3</v>
      </c>
      <c r="X6" s="2">
        <v>5.6969919999999997E-3</v>
      </c>
      <c r="Y6" s="2">
        <v>1.0894246E-2</v>
      </c>
      <c r="Z6" s="2">
        <v>4.8767219000000001E-2</v>
      </c>
    </row>
    <row r="7" spans="1:38">
      <c r="B7" s="1" t="s">
        <v>2200</v>
      </c>
      <c r="C7" s="2">
        <v>0.25157523599999998</v>
      </c>
      <c r="D7" s="2">
        <v>0.32551566300000001</v>
      </c>
      <c r="E7" s="2">
        <v>-0.210557625</v>
      </c>
      <c r="F7" s="2">
        <v>-5.2430549999999999E-3</v>
      </c>
      <c r="G7" s="2">
        <v>-2.9371944000000001E-2</v>
      </c>
      <c r="H7" s="2">
        <v>6.2957834000000004E-2</v>
      </c>
      <c r="I7" s="2">
        <v>0</v>
      </c>
      <c r="J7" s="2">
        <v>0</v>
      </c>
      <c r="K7" s="2">
        <v>-0.60562467200000003</v>
      </c>
      <c r="L7" s="2">
        <v>-0.21041928800000001</v>
      </c>
      <c r="M7" s="2">
        <v>2.6149489130000001</v>
      </c>
      <c r="N7" s="2">
        <v>2.7749896879999998</v>
      </c>
      <c r="O7" s="2">
        <v>0.243544909</v>
      </c>
      <c r="P7" s="2">
        <v>0.34478512300000003</v>
      </c>
      <c r="Q7" s="2">
        <v>0.143754836</v>
      </c>
      <c r="R7" s="2">
        <v>0.22323627300000001</v>
      </c>
      <c r="S7" s="2">
        <v>-0.112915976</v>
      </c>
      <c r="T7" s="2">
        <v>-3.9844396999999997E-2</v>
      </c>
      <c r="U7" s="2">
        <v>-1.4437711000000001E-2</v>
      </c>
      <c r="V7" s="2">
        <v>0.159567193</v>
      </c>
      <c r="W7" s="2">
        <v>-0.10376822099999999</v>
      </c>
      <c r="X7" s="2">
        <v>0</v>
      </c>
      <c r="Y7" s="2">
        <v>6.2699792000000004E-2</v>
      </c>
      <c r="Z7" s="2">
        <v>0.15228834399999999</v>
      </c>
    </row>
    <row r="8" spans="1:38">
      <c r="B8" s="1" t="s">
        <v>2201</v>
      </c>
      <c r="C8" s="2">
        <v>-0.13296659</v>
      </c>
      <c r="D8" s="2">
        <v>-0.15709076499999999</v>
      </c>
      <c r="E8" s="2">
        <v>-0.22895158700000001</v>
      </c>
      <c r="F8" s="2">
        <v>-0.238288153</v>
      </c>
      <c r="G8" s="2">
        <v>-6.6152106000000002E-2</v>
      </c>
      <c r="H8" s="2">
        <v>0</v>
      </c>
      <c r="I8" s="2">
        <v>0</v>
      </c>
      <c r="J8" s="2">
        <v>0</v>
      </c>
      <c r="K8" s="2">
        <v>-0.17371155699999999</v>
      </c>
      <c r="L8" s="2">
        <v>-0.16820338400000001</v>
      </c>
      <c r="M8" s="2">
        <v>-2.7438247999999998E-2</v>
      </c>
      <c r="N8" s="2">
        <v>-0.110328703</v>
      </c>
      <c r="O8" s="2">
        <v>2.7363802389999998</v>
      </c>
      <c r="P8" s="2">
        <v>2.7186915900000002</v>
      </c>
      <c r="Q8" s="2">
        <v>0.119104586</v>
      </c>
      <c r="R8" s="2">
        <v>-8.4048058999999994E-2</v>
      </c>
      <c r="S8" s="2">
        <v>-0.185031155</v>
      </c>
      <c r="T8" s="2">
        <v>-0.10132553599999999</v>
      </c>
      <c r="U8" s="2">
        <v>4.2815893000000001E-2</v>
      </c>
      <c r="V8" s="2">
        <v>-7.0356380999999996E-2</v>
      </c>
      <c r="W8" s="2">
        <v>-0.376004638</v>
      </c>
      <c r="X8" s="2">
        <v>-0.26911831000000003</v>
      </c>
      <c r="Y8" s="2">
        <v>-0.24663223000000001</v>
      </c>
      <c r="Z8" s="2">
        <v>-5.2747436000000002E-2</v>
      </c>
    </row>
    <row r="9" spans="1:38">
      <c r="B9" s="1" t="s">
        <v>205</v>
      </c>
      <c r="C9" s="2">
        <v>-0.105188527</v>
      </c>
      <c r="D9" s="2">
        <v>-0.10225759399999999</v>
      </c>
      <c r="E9" s="2">
        <v>-0.26099826199999998</v>
      </c>
      <c r="F9" s="2">
        <v>-0.22409616800000001</v>
      </c>
      <c r="G9" s="2">
        <v>-8.2013793000000001E-2</v>
      </c>
      <c r="H9" s="2">
        <v>-0.10225759399999999</v>
      </c>
      <c r="I9" s="2">
        <v>-0.40833962400000001</v>
      </c>
      <c r="J9" s="2">
        <v>-0.48126261399999998</v>
      </c>
      <c r="K9" s="2">
        <v>-0.14854287099999999</v>
      </c>
      <c r="L9" s="2">
        <v>-0.17761243199999999</v>
      </c>
      <c r="M9" s="2">
        <v>-0.121355201</v>
      </c>
      <c r="N9" s="2">
        <v>-0.14280009199999999</v>
      </c>
      <c r="O9" s="2">
        <v>-0.29525581499999998</v>
      </c>
      <c r="P9" s="2">
        <v>-0.220837586</v>
      </c>
      <c r="Q9" s="2">
        <v>1.4951621369999999</v>
      </c>
      <c r="R9" s="2">
        <v>1.5331600590000001</v>
      </c>
      <c r="S9" s="2">
        <v>-0.18961529399999999</v>
      </c>
      <c r="T9" s="2">
        <v>-0.17077547100000001</v>
      </c>
      <c r="U9" s="2">
        <v>-7.4555776000000004E-2</v>
      </c>
      <c r="V9" s="2">
        <v>-5.5458169000000002E-2</v>
      </c>
      <c r="W9" s="2">
        <v>-6.7223674999999997E-2</v>
      </c>
      <c r="X9" s="2">
        <v>-3.3823091E-2</v>
      </c>
      <c r="Y9" s="2">
        <v>-0.105188527</v>
      </c>
      <c r="Z9" s="2">
        <v>-8.6090920000000001E-2</v>
      </c>
    </row>
    <row r="10" spans="1:38">
      <c r="B10" s="1" t="s">
        <v>2202</v>
      </c>
      <c r="C10" s="2">
        <v>-6.1025990000000002E-3</v>
      </c>
      <c r="D10" s="2">
        <v>6.6881818999999995E-2</v>
      </c>
      <c r="E10" s="2">
        <v>-0.12238760999999999</v>
      </c>
      <c r="F10" s="2">
        <v>-1.6687859999999999E-2</v>
      </c>
      <c r="G10" s="2">
        <v>4.2676224999999998E-2</v>
      </c>
      <c r="H10" s="2">
        <v>7.0376385E-2</v>
      </c>
      <c r="I10" s="2">
        <v>0.17595657300000001</v>
      </c>
      <c r="J10" s="2">
        <v>0.199835556</v>
      </c>
      <c r="K10" s="2">
        <v>-0.125612584</v>
      </c>
      <c r="L10" s="2">
        <v>-0.15392856899999999</v>
      </c>
      <c r="M10" s="2">
        <v>-3.5334810000000001E-2</v>
      </c>
      <c r="N10" s="2">
        <v>-3.8491939000000003E-2</v>
      </c>
      <c r="O10" s="2">
        <v>-7.5240033999999997E-2</v>
      </c>
      <c r="P10" s="2">
        <v>0</v>
      </c>
      <c r="Q10" s="2">
        <v>-6.5266731999999994E-2</v>
      </c>
      <c r="R10" s="2">
        <v>8.2954463000000006E-2</v>
      </c>
      <c r="S10" s="2">
        <v>2.0501235370000002</v>
      </c>
      <c r="T10" s="2">
        <v>1.885663358</v>
      </c>
      <c r="U10" s="2">
        <v>-2.4307589999999998E-3</v>
      </c>
      <c r="V10" s="2">
        <v>2.2594609000000002E-2</v>
      </c>
      <c r="W10" s="2">
        <v>-8.9897032000000002E-2</v>
      </c>
      <c r="X10" s="2">
        <v>-2.8180336E-2</v>
      </c>
      <c r="Y10" s="2">
        <v>0.341871429</v>
      </c>
      <c r="Z10" s="2">
        <v>0.37063223699999998</v>
      </c>
    </row>
    <row r="11" spans="1:38">
      <c r="B11" s="1" t="s">
        <v>215</v>
      </c>
      <c r="C11" s="2">
        <v>3.2958500000000002E-2</v>
      </c>
      <c r="D11" s="2">
        <v>7.6090168999999999E-2</v>
      </c>
      <c r="E11" s="2">
        <v>-3.9399851999999999E-2</v>
      </c>
      <c r="F11" s="2">
        <v>-2.606644E-3</v>
      </c>
      <c r="G11" s="2">
        <v>6.3591252000000001E-2</v>
      </c>
      <c r="H11" s="2">
        <v>8.3300535999999994E-2</v>
      </c>
      <c r="I11" s="2">
        <v>-0.38238529300000001</v>
      </c>
      <c r="J11" s="2">
        <v>-0.322941794</v>
      </c>
      <c r="K11" s="2">
        <v>-2.3750672E-2</v>
      </c>
      <c r="L11" s="2">
        <v>-5.2290269999999998E-3</v>
      </c>
      <c r="M11" s="2">
        <v>8.4770639999999994E-3</v>
      </c>
      <c r="N11" s="2">
        <v>2.1958643E-2</v>
      </c>
      <c r="O11" s="2">
        <v>-3.3811998000000003E-2</v>
      </c>
      <c r="P11" s="2">
        <v>-5.2290269999999998E-3</v>
      </c>
      <c r="Q11" s="2">
        <v>7.0923352999999995E-2</v>
      </c>
      <c r="R11" s="2">
        <v>0.104240052</v>
      </c>
      <c r="S11" s="2">
        <v>-0.205333662</v>
      </c>
      <c r="T11" s="2">
        <v>8.833413E-3</v>
      </c>
      <c r="U11" s="2">
        <v>2.2078172469999999</v>
      </c>
      <c r="V11" s="2">
        <v>2.2289720399999999</v>
      </c>
      <c r="W11" s="2">
        <v>-7.8610930999999995E-2</v>
      </c>
      <c r="X11" s="2">
        <v>-0.10536582899999999</v>
      </c>
      <c r="Y11" s="2">
        <v>4.8544903E-2</v>
      </c>
      <c r="Z11" s="2">
        <v>6.8758068000000006E-2</v>
      </c>
    </row>
    <row r="12" spans="1:38">
      <c r="B12" s="1" t="s">
        <v>2203</v>
      </c>
      <c r="C12" s="2">
        <v>8.2251805999999997E-2</v>
      </c>
      <c r="D12" s="2">
        <v>0.11844500500000001</v>
      </c>
      <c r="E12" s="2">
        <v>-4.1543639E-2</v>
      </c>
      <c r="F12" s="2">
        <v>-6.4472513999999995E-2</v>
      </c>
      <c r="G12" s="2">
        <v>2.2068819999999999E-2</v>
      </c>
      <c r="H12" s="2">
        <v>2.125846E-2</v>
      </c>
      <c r="I12" s="2">
        <v>-0.36603166500000001</v>
      </c>
      <c r="J12" s="2">
        <v>-0.429859414</v>
      </c>
      <c r="K12" s="2">
        <v>-4.7816657999999998E-2</v>
      </c>
      <c r="L12" s="2">
        <v>1.0759291000000001E-2</v>
      </c>
      <c r="M12" s="2">
        <v>-1.1469711E-2</v>
      </c>
      <c r="N12" s="2">
        <v>-3.3976052999999999E-2</v>
      </c>
      <c r="O12" s="2">
        <v>-6.7198409000000001E-2</v>
      </c>
      <c r="P12" s="2">
        <v>-7.7297102000000006E-2</v>
      </c>
      <c r="Q12" s="2">
        <v>0</v>
      </c>
      <c r="R12" s="2">
        <v>0</v>
      </c>
      <c r="S12" s="2">
        <v>-0.100151962</v>
      </c>
      <c r="T12" s="2">
        <v>-1.4640525999999999E-2</v>
      </c>
      <c r="U12" s="2">
        <v>7.7543109999999998E-2</v>
      </c>
      <c r="V12" s="2">
        <v>0.110071459</v>
      </c>
      <c r="W12" s="2">
        <v>1.8455344330000001</v>
      </c>
      <c r="X12" s="2">
        <v>1.8716149070000001</v>
      </c>
      <c r="Y12" s="2">
        <v>-5.6969919999999997E-3</v>
      </c>
      <c r="Z12" s="2">
        <v>-1.6655856E-2</v>
      </c>
    </row>
    <row r="13" spans="1:38">
      <c r="B13" s="1" t="s">
        <v>2204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-2.9421709000000001E-2</v>
      </c>
      <c r="T13" s="2">
        <v>-2.0739486000000001E-2</v>
      </c>
      <c r="U13" s="2">
        <v>0</v>
      </c>
      <c r="V13" s="2">
        <v>0</v>
      </c>
      <c r="W13" s="2">
        <v>0</v>
      </c>
      <c r="X13" s="2">
        <v>0</v>
      </c>
      <c r="Y13" s="2">
        <v>2.4050310210000001</v>
      </c>
      <c r="Z13" s="2">
        <v>2.426789705</v>
      </c>
    </row>
    <row r="16" spans="1:38" ht="15">
      <c r="A16" s="68" t="s">
        <v>1574</v>
      </c>
      <c r="B16" s="91" t="s">
        <v>1210</v>
      </c>
      <c r="C16" s="3" t="s">
        <v>1179</v>
      </c>
      <c r="D16" s="3"/>
      <c r="E16" s="3"/>
      <c r="F16" s="3" t="s">
        <v>1106</v>
      </c>
      <c r="G16" s="3"/>
      <c r="H16" s="3"/>
      <c r="I16" s="3" t="s">
        <v>1202</v>
      </c>
      <c r="J16" s="3"/>
      <c r="K16" s="3"/>
      <c r="L16" s="1" t="s">
        <v>2198</v>
      </c>
      <c r="M16" s="3"/>
      <c r="N16" s="3"/>
      <c r="O16" s="1" t="s">
        <v>2199</v>
      </c>
      <c r="P16" s="3"/>
      <c r="Q16" s="3"/>
      <c r="R16" s="1" t="s">
        <v>2200</v>
      </c>
      <c r="S16" s="3"/>
      <c r="T16" s="3"/>
      <c r="U16" s="1" t="s">
        <v>2201</v>
      </c>
      <c r="V16" s="3"/>
      <c r="W16" s="3"/>
      <c r="X16" s="1" t="s">
        <v>205</v>
      </c>
      <c r="Y16" s="3"/>
      <c r="Z16" s="3"/>
      <c r="AA16" s="1" t="s">
        <v>2202</v>
      </c>
      <c r="AB16" s="3"/>
      <c r="AC16" s="3"/>
      <c r="AD16" s="1" t="s">
        <v>215</v>
      </c>
      <c r="AE16" s="3"/>
      <c r="AF16" s="3"/>
      <c r="AG16" s="1" t="s">
        <v>2203</v>
      </c>
      <c r="AH16" s="3"/>
      <c r="AI16" s="3"/>
      <c r="AJ16" s="1" t="s">
        <v>2204</v>
      </c>
      <c r="AK16" s="3"/>
      <c r="AL16" s="3"/>
    </row>
    <row r="17" spans="1:38">
      <c r="B17" s="1" t="s">
        <v>1203</v>
      </c>
      <c r="C17" s="2">
        <v>2.5622319340000002</v>
      </c>
      <c r="D17" s="2">
        <v>2.5821805900000001</v>
      </c>
      <c r="E17" s="2">
        <v>2.5622319340000002</v>
      </c>
      <c r="F17" s="2">
        <v>-3.2369920000000002E-3</v>
      </c>
      <c r="G17" s="2">
        <v>0.15823842599999999</v>
      </c>
      <c r="H17" s="2">
        <v>0.16266684000000001</v>
      </c>
      <c r="I17" s="2">
        <v>0.119461336</v>
      </c>
      <c r="J17" s="2">
        <v>7.9800213999999994E-2</v>
      </c>
      <c r="K17" s="2">
        <v>0.110071459</v>
      </c>
      <c r="L17" s="2">
        <v>8.0991151999999997E-2</v>
      </c>
      <c r="M17" s="2">
        <v>8.9888456000000005E-2</v>
      </c>
      <c r="N17" s="2">
        <v>9.3376875999999998E-2</v>
      </c>
      <c r="O17" s="2">
        <v>0</v>
      </c>
      <c r="P17" s="2">
        <v>8.8474871999999996E-2</v>
      </c>
      <c r="Q17" s="2">
        <v>7.3634209000000006E-2</v>
      </c>
      <c r="R17" s="2">
        <v>0.26753538700000001</v>
      </c>
      <c r="S17" s="2">
        <v>0.31416002500000001</v>
      </c>
      <c r="T17" s="2">
        <v>0.22892105900000001</v>
      </c>
      <c r="U17" s="2">
        <v>0.13078346499999999</v>
      </c>
      <c r="V17" s="2">
        <v>0.14857717100000001</v>
      </c>
      <c r="W17" s="2">
        <v>0.13572690600000001</v>
      </c>
      <c r="X17" s="2">
        <v>0.13232390899999999</v>
      </c>
      <c r="Y17" s="2">
        <v>0.141476606</v>
      </c>
      <c r="Z17" s="2">
        <v>0.16846834299999999</v>
      </c>
      <c r="AA17" s="2">
        <v>0.30048268099999997</v>
      </c>
      <c r="AB17" s="2">
        <v>0.14809481199999999</v>
      </c>
      <c r="AC17" s="2">
        <v>0.28705149499999999</v>
      </c>
      <c r="AD17" s="2">
        <v>-5.3200000000000001E-3</v>
      </c>
      <c r="AE17" s="2">
        <v>0.71035000000000004</v>
      </c>
      <c r="AF17" s="2"/>
      <c r="AG17" s="2">
        <v>1.5793999999999999E-2</v>
      </c>
      <c r="AH17" s="2">
        <v>-5.5109999999999999E-2</v>
      </c>
      <c r="AI17" s="2"/>
      <c r="AJ17" s="2">
        <v>-0.12314</v>
      </c>
      <c r="AK17" s="2">
        <v>-0.17796999999999999</v>
      </c>
      <c r="AL17" s="2"/>
    </row>
    <row r="18" spans="1:38">
      <c r="B18" s="1" t="s">
        <v>1204</v>
      </c>
      <c r="C18" s="2">
        <v>6.8811518000000002E-2</v>
      </c>
      <c r="D18" s="2">
        <v>5.7142885999999997E-2</v>
      </c>
      <c r="E18" s="2">
        <v>7.3806653E-2</v>
      </c>
      <c r="F18" s="2">
        <v>2.7948002500000002</v>
      </c>
      <c r="G18" s="2">
        <v>2.8311489999999999</v>
      </c>
      <c r="H18" s="2">
        <v>2.79937586</v>
      </c>
      <c r="I18" s="2">
        <v>-0.167861977</v>
      </c>
      <c r="J18" s="2">
        <v>-2.4573810000000001E-2</v>
      </c>
      <c r="K18" s="2">
        <v>-3.7354917000000001E-2</v>
      </c>
      <c r="L18" s="2">
        <v>-4.6968297999999999E-2</v>
      </c>
      <c r="M18" s="2">
        <v>-7.5306321999999995E-2</v>
      </c>
      <c r="N18" s="2">
        <v>-6.7487293000000004E-2</v>
      </c>
      <c r="O18" s="2">
        <v>-0.21185243300000001</v>
      </c>
      <c r="P18" s="2">
        <v>-0.175211484</v>
      </c>
      <c r="Q18" s="2">
        <v>-0.135938278</v>
      </c>
      <c r="R18" s="2">
        <v>7.2278092000000002E-2</v>
      </c>
      <c r="S18" s="2">
        <v>5.8955585999999997E-2</v>
      </c>
      <c r="T18" s="2">
        <v>-3.0194784999999998E-2</v>
      </c>
      <c r="U18" s="2">
        <v>-6.7643333E-2</v>
      </c>
      <c r="V18" s="2">
        <v>-9.2078274000000002E-2</v>
      </c>
      <c r="W18" s="2">
        <v>-5.5363265000000002E-2</v>
      </c>
      <c r="X18" s="2">
        <v>-0.122273177</v>
      </c>
      <c r="Y18" s="2">
        <v>-0.16224490899999999</v>
      </c>
      <c r="Z18" s="2">
        <v>-0.117447316</v>
      </c>
      <c r="AA18" s="2">
        <v>-0.142424474</v>
      </c>
      <c r="AB18" s="2">
        <v>-0.27291050100000003</v>
      </c>
      <c r="AC18" s="2">
        <v>-0.18905623599999999</v>
      </c>
      <c r="AD18" s="2">
        <v>-0.13306000000000001</v>
      </c>
      <c r="AE18" s="2">
        <v>0.41317999999999999</v>
      </c>
      <c r="AF18" s="2"/>
      <c r="AG18" s="2">
        <v>-0.16009000000000001</v>
      </c>
      <c r="AH18" s="2">
        <v>1.9924999999999998E-2</v>
      </c>
      <c r="AI18" s="2"/>
      <c r="AJ18" s="2">
        <v>0</v>
      </c>
      <c r="AK18" s="2">
        <v>0</v>
      </c>
      <c r="AL18" s="2"/>
    </row>
    <row r="19" spans="1:38">
      <c r="B19" s="1" t="s">
        <v>2188</v>
      </c>
      <c r="C19" s="2">
        <v>6.8811518000000002E-2</v>
      </c>
      <c r="D19" s="2">
        <v>3.5179495999999998E-2</v>
      </c>
      <c r="E19" s="2">
        <v>3.2137961999999999E-2</v>
      </c>
      <c r="F19" s="2">
        <v>0.14758450100000001</v>
      </c>
      <c r="G19" s="2">
        <v>0</v>
      </c>
      <c r="H19" s="2">
        <v>5.3189706000000003E-2</v>
      </c>
      <c r="I19" s="2">
        <v>1.7223690700000001</v>
      </c>
      <c r="J19" s="2">
        <v>1.7203918359999999</v>
      </c>
      <c r="K19" s="2">
        <v>1.7479749179999999</v>
      </c>
      <c r="L19" s="2">
        <v>-0.118718053</v>
      </c>
      <c r="M19" s="2">
        <v>5.0697048000000001E-2</v>
      </c>
      <c r="N19" s="2">
        <v>1.3672518999999999E-2</v>
      </c>
      <c r="O19" s="2">
        <v>-0.1006181</v>
      </c>
      <c r="P19" s="2">
        <v>5.6542721999999997E-2</v>
      </c>
      <c r="Q19" s="2">
        <v>3.5023897999999998E-2</v>
      </c>
      <c r="R19" s="2">
        <v>0.14501328999999999</v>
      </c>
      <c r="S19" s="2">
        <v>0.218609308</v>
      </c>
      <c r="T19" s="2">
        <v>0.11543663</v>
      </c>
      <c r="U19" s="2">
        <v>4.7424649999999999E-2</v>
      </c>
      <c r="V19" s="2">
        <v>9.7955246999999995E-2</v>
      </c>
      <c r="W19" s="2">
        <v>7.3621391999999994E-2</v>
      </c>
      <c r="X19" s="2">
        <v>3.3084097999999999E-2</v>
      </c>
      <c r="Y19" s="2">
        <v>3.0741212E-2</v>
      </c>
      <c r="Z19" s="2">
        <v>3.4394837999999997E-2</v>
      </c>
      <c r="AA19" s="2">
        <v>1.9257590000000002E-2</v>
      </c>
      <c r="AB19" s="2">
        <v>-0.17791067699999999</v>
      </c>
      <c r="AC19" s="2">
        <v>3.9423092E-2</v>
      </c>
      <c r="AD19" s="2">
        <v>0</v>
      </c>
      <c r="AE19" s="2">
        <v>0</v>
      </c>
      <c r="AF19" s="2"/>
      <c r="AG19" s="2">
        <v>-3.2499999999999999E-3</v>
      </c>
      <c r="AH19" s="2">
        <v>6.3669000000000003E-2</v>
      </c>
      <c r="AI19" s="2"/>
      <c r="AJ19" s="2">
        <v>5.5377999999999997E-2</v>
      </c>
      <c r="AK19" s="2">
        <v>9.5451999999999995E-2</v>
      </c>
      <c r="AL19" s="2"/>
    </row>
    <row r="20" spans="1:38">
      <c r="B20" s="1" t="s">
        <v>2184</v>
      </c>
      <c r="C20" s="2">
        <v>-3.047743E-2</v>
      </c>
      <c r="D20" s="2">
        <v>-0.17271151800000001</v>
      </c>
      <c r="E20" s="2">
        <v>-0.240104716</v>
      </c>
      <c r="F20" s="2">
        <v>-0.43319509699999997</v>
      </c>
      <c r="G20" s="2">
        <v>-0.41676333300000001</v>
      </c>
      <c r="H20" s="2">
        <v>-0.41798221699999999</v>
      </c>
      <c r="I20" s="2">
        <v>-0.25590320500000002</v>
      </c>
      <c r="J20" s="2">
        <v>-0.34513886100000002</v>
      </c>
      <c r="K20" s="2">
        <v>-0.246181328</v>
      </c>
      <c r="L20" s="2">
        <v>2.4311310380000002</v>
      </c>
      <c r="M20" s="2">
        <v>2.4674772150000002</v>
      </c>
      <c r="N20" s="2">
        <v>2.4435765470000002</v>
      </c>
      <c r="O20" s="2">
        <v>-0.1006181</v>
      </c>
      <c r="P20" s="2">
        <v>6.3119746000000004E-2</v>
      </c>
      <c r="Q20" s="2">
        <v>7.3634209000000006E-2</v>
      </c>
      <c r="R20" s="2">
        <v>-3.7724159E-2</v>
      </c>
      <c r="S20" s="2">
        <v>-0.15822219300000001</v>
      </c>
      <c r="T20" s="2">
        <v>-0.29844490200000001</v>
      </c>
      <c r="U20" s="2">
        <v>-4.1810476999999999E-2</v>
      </c>
      <c r="V20" s="2">
        <v>-5.4906170999999997E-2</v>
      </c>
      <c r="W20" s="2">
        <v>-2.3209145E-2</v>
      </c>
      <c r="X20" s="2">
        <v>-0.23179743999999999</v>
      </c>
      <c r="Y20" s="2">
        <v>-0.30960893099999998</v>
      </c>
      <c r="Z20" s="2">
        <v>-0.267186643</v>
      </c>
      <c r="AA20" s="2">
        <v>0.51715266999999998</v>
      </c>
      <c r="AB20" s="2">
        <v>0.38646019100000001</v>
      </c>
      <c r="AC20" s="2">
        <v>0.54378722000000002</v>
      </c>
      <c r="AD20" s="2">
        <v>2.1773000000000001E-2</v>
      </c>
      <c r="AE20" s="2">
        <v>-6.5390000000000004E-2</v>
      </c>
      <c r="AF20" s="2"/>
      <c r="AG20" s="2">
        <v>-1.524E-2</v>
      </c>
      <c r="AH20" s="2">
        <v>-0.11304</v>
      </c>
      <c r="AI20" s="2"/>
      <c r="AJ20" s="2">
        <v>-0.11656999999999999</v>
      </c>
      <c r="AK20" s="2">
        <v>-0.14631</v>
      </c>
      <c r="AL20" s="2"/>
    </row>
    <row r="21" spans="1:38">
      <c r="B21" s="1" t="s">
        <v>2189</v>
      </c>
      <c r="C21" s="2">
        <v>-0.679153279</v>
      </c>
      <c r="D21" s="2">
        <v>-4.0511419E-2</v>
      </c>
      <c r="E21" s="2">
        <v>-6.7819744000000001E-2</v>
      </c>
      <c r="F21" s="2">
        <v>-9.1170060999999997E-2</v>
      </c>
      <c r="G21" s="2">
        <v>-0.12086430200000001</v>
      </c>
      <c r="H21" s="2">
        <v>-8.4631897999999997E-2</v>
      </c>
      <c r="I21" s="2">
        <v>-1.7537825999999999E-2</v>
      </c>
      <c r="J21" s="2">
        <v>-5.9663774000000003E-2</v>
      </c>
      <c r="K21" s="2">
        <v>-2.7710676E-2</v>
      </c>
      <c r="L21" s="2">
        <v>-2.2849514000000001E-2</v>
      </c>
      <c r="M21" s="2">
        <v>-3.1869635E-2</v>
      </c>
      <c r="N21" s="2">
        <v>-2.1351379E-2</v>
      </c>
      <c r="O21" s="2">
        <v>2.2795470089999998</v>
      </c>
      <c r="P21" s="2">
        <v>2.412056406</v>
      </c>
      <c r="Q21" s="2">
        <v>2.4025319110000001</v>
      </c>
      <c r="R21" s="2">
        <v>-0.84297780200000005</v>
      </c>
      <c r="S21" s="2">
        <v>-0.76638478399999999</v>
      </c>
      <c r="T21" s="2">
        <v>-0.22076975700000001</v>
      </c>
      <c r="U21" s="2">
        <v>-8.2534888000000001E-2</v>
      </c>
      <c r="V21" s="2">
        <v>-7.0449182999999999E-2</v>
      </c>
      <c r="W21" s="2">
        <v>-6.3134149000000001E-2</v>
      </c>
      <c r="X21" s="2">
        <v>-6.4756023999999995E-2</v>
      </c>
      <c r="Y21" s="2">
        <v>-7.8332600000000002E-2</v>
      </c>
      <c r="Z21" s="2">
        <v>-6.7643333E-2</v>
      </c>
      <c r="AA21" s="2">
        <v>-0.11591692300000001</v>
      </c>
      <c r="AB21" s="2">
        <v>-0.26481782300000001</v>
      </c>
      <c r="AC21" s="2">
        <v>-6.3358906000000006E-2</v>
      </c>
      <c r="AD21" s="2">
        <v>-0.87794000000000005</v>
      </c>
      <c r="AE21" s="2">
        <v>0.322967</v>
      </c>
      <c r="AF21" s="2"/>
      <c r="AG21" s="2">
        <v>-5.7499999999999999E-3</v>
      </c>
      <c r="AH21" s="2">
        <v>1.7077999999999999E-2</v>
      </c>
      <c r="AI21" s="2"/>
      <c r="AJ21" s="2">
        <v>0.48919400000000002</v>
      </c>
      <c r="AK21" s="2">
        <v>0.51203399999999999</v>
      </c>
      <c r="AL21" s="2"/>
    </row>
    <row r="22" spans="1:38">
      <c r="B22" s="1" t="s">
        <v>1205</v>
      </c>
      <c r="C22" s="2">
        <v>9.4811967999999996E-2</v>
      </c>
      <c r="D22" s="2">
        <v>8.4799623000000005E-2</v>
      </c>
      <c r="E22" s="2">
        <v>7.7105108000000006E-2</v>
      </c>
      <c r="F22" s="2">
        <v>1.2711966E-2</v>
      </c>
      <c r="G22" s="2">
        <v>2.9143729E-2</v>
      </c>
      <c r="H22" s="2">
        <v>4.3309500000000001E-3</v>
      </c>
      <c r="I22" s="2">
        <v>0.13232390899999999</v>
      </c>
      <c r="J22" s="2">
        <v>8.6377237999999995E-2</v>
      </c>
      <c r="K22" s="2">
        <v>0.116961521</v>
      </c>
      <c r="L22" s="2">
        <v>3.5598385000000003E-2</v>
      </c>
      <c r="M22" s="2">
        <v>3.6805849000000002E-2</v>
      </c>
      <c r="N22" s="2">
        <v>2.6927703000000001E-2</v>
      </c>
      <c r="O22" s="2">
        <v>-3.7498353999999998E-2</v>
      </c>
      <c r="P22" s="2">
        <v>7.5982319000000006E-2</v>
      </c>
      <c r="Q22" s="2">
        <v>4.8279082000000001E-2</v>
      </c>
      <c r="R22" s="2">
        <v>2.600900089</v>
      </c>
      <c r="S22" s="2">
        <v>2.60999588</v>
      </c>
      <c r="T22" s="2">
        <v>2.6062786679999999</v>
      </c>
      <c r="U22" s="2">
        <v>-0.24218472399999999</v>
      </c>
      <c r="V22" s="2">
        <v>-0.23913132500000001</v>
      </c>
      <c r="W22" s="2">
        <v>-4.5213759999999999E-2</v>
      </c>
      <c r="X22" s="2">
        <v>-5.4892743000000001E-2</v>
      </c>
      <c r="Y22" s="2">
        <v>-2.4573810000000001E-2</v>
      </c>
      <c r="Z22" s="2">
        <v>-1.8275956999999999E-2</v>
      </c>
      <c r="AA22" s="2">
        <v>-0.18048921500000001</v>
      </c>
      <c r="AB22" s="2">
        <v>-5.0789552000000002E-2</v>
      </c>
      <c r="AC22" s="2">
        <v>4.4773810999999997E-2</v>
      </c>
      <c r="AD22" s="2">
        <v>-1.273E-2</v>
      </c>
      <c r="AE22" s="2">
        <v>0</v>
      </c>
      <c r="AF22" s="2"/>
      <c r="AG22" s="2">
        <v>6.9119999999999997E-3</v>
      </c>
      <c r="AH22" s="2">
        <v>-1.2710000000000001E-2</v>
      </c>
      <c r="AI22" s="2"/>
      <c r="AJ22" s="2">
        <v>3.3500000000000002E-2</v>
      </c>
      <c r="AK22" s="2">
        <v>1.9234000000000001E-2</v>
      </c>
      <c r="AL22" s="2"/>
    </row>
    <row r="23" spans="1:38">
      <c r="B23" s="1" t="s">
        <v>1206</v>
      </c>
      <c r="C23" s="2">
        <v>0.102627916</v>
      </c>
      <c r="D23" s="2">
        <v>8.4799623000000005E-2</v>
      </c>
      <c r="E23" s="2">
        <v>9.0053976999999993E-2</v>
      </c>
      <c r="F23" s="2">
        <v>0.16114553400000001</v>
      </c>
      <c r="G23" s="2">
        <v>0.16401626499999999</v>
      </c>
      <c r="H23" s="2">
        <v>0.16266684000000001</v>
      </c>
      <c r="I23" s="2">
        <v>0.112884312</v>
      </c>
      <c r="J23" s="2">
        <v>7.9800213999999994E-2</v>
      </c>
      <c r="K23" s="2">
        <v>8.8720080000000007E-2</v>
      </c>
      <c r="L23" s="2">
        <v>6.8498598999999993E-2</v>
      </c>
      <c r="M23" s="2">
        <v>6.4157666000000002E-2</v>
      </c>
      <c r="N23" s="2">
        <v>-5.9449534999999998E-2</v>
      </c>
      <c r="O23" s="2">
        <v>-9.3134379000000003E-2</v>
      </c>
      <c r="P23" s="2">
        <v>7.4837200000000001E-3</v>
      </c>
      <c r="Q23" s="2">
        <v>-7.3569430000000003E-3</v>
      </c>
      <c r="R23" s="2">
        <v>0.36665905100000001</v>
      </c>
      <c r="S23" s="2">
        <v>0.37147072599999997</v>
      </c>
      <c r="T23" s="2">
        <v>0.29973165499999999</v>
      </c>
      <c r="U23" s="2">
        <v>2.5866777769999998</v>
      </c>
      <c r="V23" s="2">
        <v>2.5892072370000001</v>
      </c>
      <c r="W23" s="2">
        <v>2.5952322849999998</v>
      </c>
      <c r="X23" s="2">
        <v>-0.223091914</v>
      </c>
      <c r="Y23" s="2">
        <v>-0.281309535</v>
      </c>
      <c r="Z23" s="2">
        <v>-0.27723503500000002</v>
      </c>
      <c r="AA23" s="2">
        <v>0.117212837</v>
      </c>
      <c r="AB23" s="2">
        <v>-3.3976052999999999E-2</v>
      </c>
      <c r="AC23" s="2">
        <v>7.5563475000000005E-2</v>
      </c>
      <c r="AD23" s="2">
        <v>-0.51578999999999997</v>
      </c>
      <c r="AE23" s="2">
        <v>0</v>
      </c>
      <c r="AF23" s="2"/>
      <c r="AG23" s="2">
        <v>2.7879000000000001E-2</v>
      </c>
      <c r="AH23" s="2">
        <v>-2.8649999999999998E-2</v>
      </c>
      <c r="AI23" s="2"/>
      <c r="AJ23" s="2">
        <v>8.1560000000000001E-3</v>
      </c>
      <c r="AK23" s="2">
        <v>2.7323E-2</v>
      </c>
      <c r="AL23" s="2"/>
    </row>
    <row r="24" spans="1:38">
      <c r="B24" s="1" t="s">
        <v>2190</v>
      </c>
      <c r="C24" s="2">
        <v>-8.4180752999999997E-2</v>
      </c>
      <c r="D24" s="2">
        <v>-4.0511419E-2</v>
      </c>
      <c r="E24" s="2">
        <v>-5.6499525000000002E-2</v>
      </c>
      <c r="F24" s="2">
        <v>-6.2313320999999998E-2</v>
      </c>
      <c r="G24" s="2">
        <v>-0.148254466</v>
      </c>
      <c r="H24" s="2">
        <v>-7.9374739E-2</v>
      </c>
      <c r="I24" s="2">
        <v>-6.4756023999999995E-2</v>
      </c>
      <c r="J24" s="2">
        <v>0.141476606</v>
      </c>
      <c r="K24" s="2">
        <v>-4.7218198000000003E-2</v>
      </c>
      <c r="L24" s="2">
        <v>0</v>
      </c>
      <c r="M24" s="2">
        <v>7.6149429999999999E-3</v>
      </c>
      <c r="N24" s="2">
        <v>6.8900619999999997E-3</v>
      </c>
      <c r="O24" s="2">
        <v>-0.21185243300000001</v>
      </c>
      <c r="P24" s="2">
        <v>-0.111234333</v>
      </c>
      <c r="Q24" s="2">
        <v>-0.116430755</v>
      </c>
      <c r="R24" s="2">
        <v>-0.55957376999999997</v>
      </c>
      <c r="S24" s="2">
        <v>-0.49283757299999997</v>
      </c>
      <c r="T24" s="2">
        <v>-0.70222316200000001</v>
      </c>
      <c r="U24" s="2">
        <v>-0.27738908600000001</v>
      </c>
      <c r="V24" s="2">
        <v>-4.4844845000000001E-2</v>
      </c>
      <c r="W24" s="2">
        <v>-0.27436883299999998</v>
      </c>
      <c r="X24" s="2">
        <v>1.5223857300000001</v>
      </c>
      <c r="Y24" s="2">
        <v>1.512666785</v>
      </c>
      <c r="Z24" s="2">
        <v>1.5481058130000001</v>
      </c>
      <c r="AA24" s="2">
        <v>-0.32694889999999999</v>
      </c>
      <c r="AB24" s="2">
        <v>-0.39468414099999999</v>
      </c>
      <c r="AC24" s="2">
        <v>-0.37358066299999998</v>
      </c>
      <c r="AD24" s="2">
        <v>2.6180000000000001E-3</v>
      </c>
      <c r="AE24" s="2">
        <v>-0.21542</v>
      </c>
      <c r="AF24" s="2"/>
      <c r="AG24" s="2">
        <v>-2.4819999999999998E-2</v>
      </c>
      <c r="AH24" s="2">
        <v>0.20282600000000001</v>
      </c>
      <c r="AI24" s="2"/>
      <c r="AJ24" s="2">
        <v>-0.13702</v>
      </c>
      <c r="AK24" s="2">
        <v>-0.22534999999999999</v>
      </c>
      <c r="AL24" s="2"/>
    </row>
    <row r="25" spans="1:38">
      <c r="B25" s="1" t="s">
        <v>2191</v>
      </c>
      <c r="C25" s="2">
        <v>-5.6499525000000002E-2</v>
      </c>
      <c r="D25" s="2">
        <v>3.8918066000000001E-2</v>
      </c>
      <c r="E25" s="2">
        <v>7.3806653E-2</v>
      </c>
      <c r="F25" s="2">
        <v>-6.6051890000000002E-2</v>
      </c>
      <c r="G25" s="2">
        <v>-4.5881557000000003E-2</v>
      </c>
      <c r="H25" s="2">
        <v>2.6727035E-2</v>
      </c>
      <c r="I25" s="2">
        <v>0</v>
      </c>
      <c r="J25" s="2">
        <v>-5.9663774000000003E-2</v>
      </c>
      <c r="K25" s="2">
        <v>-9.0418489999999994E-3</v>
      </c>
      <c r="L25" s="2">
        <v>-0.16043587300000001</v>
      </c>
      <c r="M25" s="2">
        <v>-0.106943226</v>
      </c>
      <c r="N25" s="2">
        <v>-1.7858387999999999E-2</v>
      </c>
      <c r="O25" s="2">
        <v>-0.15695969000000001</v>
      </c>
      <c r="P25" s="2">
        <v>0</v>
      </c>
      <c r="Q25" s="2">
        <v>-4.6135914E-2</v>
      </c>
      <c r="R25" s="2">
        <v>-0.78746047500000005</v>
      </c>
      <c r="S25" s="2">
        <v>-1.006360814</v>
      </c>
      <c r="T25" s="2">
        <v>-1.62195482</v>
      </c>
      <c r="U25" s="2">
        <v>-0.37358066299999998</v>
      </c>
      <c r="V25" s="2">
        <v>-0.25296143100000001</v>
      </c>
      <c r="W25" s="2">
        <v>-0.34582596399999999</v>
      </c>
      <c r="X25" s="2">
        <v>-0.40399801699999999</v>
      </c>
      <c r="Y25" s="2">
        <v>-0.26488153800000003</v>
      </c>
      <c r="Z25" s="2">
        <v>-0.31251514000000002</v>
      </c>
      <c r="AA25" s="2">
        <v>2.3055787630000002</v>
      </c>
      <c r="AB25" s="2">
        <v>2.133154255</v>
      </c>
      <c r="AC25" s="2">
        <v>2.24676141</v>
      </c>
      <c r="AD25" s="2">
        <v>-9.4920000000000004E-2</v>
      </c>
      <c r="AE25" s="2">
        <v>0</v>
      </c>
      <c r="AF25" s="2"/>
      <c r="AG25" s="2">
        <v>-0.19836999999999999</v>
      </c>
      <c r="AH25" s="2">
        <v>-2.6599999999999999E-2</v>
      </c>
      <c r="AI25" s="2"/>
      <c r="AJ25" s="2">
        <v>-0.44630999999999998</v>
      </c>
      <c r="AK25" s="2">
        <v>-0.26240000000000002</v>
      </c>
      <c r="AL25" s="2"/>
    </row>
    <row r="26" spans="1:38">
      <c r="B26" s="1" t="s">
        <v>1207</v>
      </c>
      <c r="C26" s="2">
        <v>0.212861203</v>
      </c>
      <c r="D26" s="2">
        <v>0.21418130899999999</v>
      </c>
      <c r="E26" s="2">
        <v>0.27334996299999997</v>
      </c>
      <c r="F26" s="2">
        <v>0.16114553400000001</v>
      </c>
      <c r="G26" s="2">
        <v>0.129381686</v>
      </c>
      <c r="H26" s="2">
        <v>0.152574338</v>
      </c>
      <c r="I26" s="2">
        <v>0.13232390899999999</v>
      </c>
      <c r="J26" s="2">
        <v>0.12387559200000001</v>
      </c>
      <c r="K26" s="2">
        <v>0.149861735</v>
      </c>
      <c r="L26" s="2">
        <v>6.8498598999999993E-2</v>
      </c>
      <c r="M26" s="2">
        <v>5.0697048000000001E-2</v>
      </c>
      <c r="N26" s="2">
        <v>9.3376875999999998E-2</v>
      </c>
      <c r="O26" s="2">
        <v>1.1812908E-2</v>
      </c>
      <c r="P26" s="2">
        <v>0.1006181</v>
      </c>
      <c r="Q26" s="2">
        <v>4.8279082000000001E-2</v>
      </c>
      <c r="R26" s="2">
        <v>-0.39476352100000001</v>
      </c>
      <c r="S26" s="2">
        <v>-0.38345068399999999</v>
      </c>
      <c r="T26" s="2">
        <v>-0.59818809799999995</v>
      </c>
      <c r="U26" s="2">
        <v>-0.14620396799999999</v>
      </c>
      <c r="V26" s="2">
        <v>-0.100475207</v>
      </c>
      <c r="W26" s="2">
        <v>-0.220469837</v>
      </c>
      <c r="X26" s="2">
        <v>-0.32639315899999999</v>
      </c>
      <c r="Y26" s="2">
        <v>-0.24905237799999999</v>
      </c>
      <c r="Z26" s="2">
        <v>-0.17504853500000001</v>
      </c>
      <c r="AA26" s="2">
        <v>-1.6727143999999999E-2</v>
      </c>
      <c r="AB26" s="2">
        <v>-0.11678498399999999</v>
      </c>
      <c r="AC26" s="2">
        <v>-8.4320885999999998E-2</v>
      </c>
      <c r="AD26" s="2">
        <v>2.9783949999999999</v>
      </c>
      <c r="AE26" s="2">
        <v>3.0963349999999998</v>
      </c>
      <c r="AF26" s="2"/>
      <c r="AG26" s="2">
        <v>3.4028000000000003E-2</v>
      </c>
      <c r="AH26" s="2">
        <v>-1.316E-2</v>
      </c>
      <c r="AI26" s="2"/>
      <c r="AJ26" s="2">
        <v>0.103159</v>
      </c>
      <c r="AK26" s="2">
        <v>6.0213000000000003E-2</v>
      </c>
      <c r="AL26" s="2"/>
    </row>
    <row r="27" spans="1:38">
      <c r="B27" s="1" t="s">
        <v>2192</v>
      </c>
      <c r="C27" s="2">
        <v>6.0356459000000001E-2</v>
      </c>
      <c r="D27" s="2">
        <v>4.8126068000000001E-2</v>
      </c>
      <c r="E27" s="2">
        <v>0.153723057</v>
      </c>
      <c r="F27" s="2">
        <v>4.1490399999999997E-2</v>
      </c>
      <c r="G27" s="2">
        <v>5.7922163999999998E-2</v>
      </c>
      <c r="H27" s="2">
        <v>7.4480868000000006E-2</v>
      </c>
      <c r="I27" s="2">
        <v>5.6341589999999997E-2</v>
      </c>
      <c r="J27" s="2">
        <v>3.0741212E-2</v>
      </c>
      <c r="K27" s="2">
        <v>8.8574340000000008E-3</v>
      </c>
      <c r="L27" s="2">
        <v>-2.2849514000000001E-2</v>
      </c>
      <c r="M27" s="2">
        <v>-1.5642548999999999E-2</v>
      </c>
      <c r="N27" s="2">
        <v>-2.1351379E-2</v>
      </c>
      <c r="O27" s="2">
        <v>-0.13191335000000001</v>
      </c>
      <c r="P27" s="2">
        <v>-5.6341589999999997E-2</v>
      </c>
      <c r="Q27" s="2">
        <v>-8.8720080000000007E-2</v>
      </c>
      <c r="R27" s="2">
        <v>-0.25983057399999998</v>
      </c>
      <c r="S27" s="2">
        <v>-0.202858923</v>
      </c>
      <c r="T27" s="2">
        <v>-0.31419144199999999</v>
      </c>
      <c r="U27" s="2">
        <v>-0.17249968500000001</v>
      </c>
      <c r="V27" s="2">
        <v>-0.14508280200000001</v>
      </c>
      <c r="W27" s="2">
        <v>-0.220469837</v>
      </c>
      <c r="X27" s="2">
        <v>-0.227422865</v>
      </c>
      <c r="Y27" s="2">
        <v>-0.23789216299999999</v>
      </c>
      <c r="Z27" s="2">
        <v>-0.22164994199999999</v>
      </c>
      <c r="AA27" s="2">
        <v>0.203298751</v>
      </c>
      <c r="AB27" s="2">
        <v>2.9478790000000001E-2</v>
      </c>
      <c r="AC27" s="2">
        <v>0.15666698900000001</v>
      </c>
      <c r="AD27" s="2">
        <v>0.30185200000000001</v>
      </c>
      <c r="AE27" s="10" t="s">
        <v>1208</v>
      </c>
      <c r="AF27" s="2"/>
      <c r="AG27" s="2">
        <v>1.9015139999999999</v>
      </c>
      <c r="AH27" s="2">
        <v>1.897108</v>
      </c>
      <c r="AI27" s="2"/>
      <c r="AJ27" s="2">
        <v>-0.13347999999999999</v>
      </c>
      <c r="AK27" s="2">
        <v>-0.15256</v>
      </c>
      <c r="AL27" s="2"/>
    </row>
    <row r="28" spans="1:38">
      <c r="B28" s="1" t="s">
        <v>1209</v>
      </c>
      <c r="C28" s="2">
        <v>-0.12314</v>
      </c>
      <c r="D28" s="2">
        <v>-0.17796999999999999</v>
      </c>
      <c r="E28" s="2"/>
      <c r="F28" s="2">
        <v>0</v>
      </c>
      <c r="G28" s="2">
        <v>0</v>
      </c>
      <c r="H28" s="2"/>
      <c r="I28" s="2">
        <v>5.5377999999999997E-2</v>
      </c>
      <c r="J28" s="2">
        <v>9.5451999999999995E-2</v>
      </c>
      <c r="K28" s="2"/>
      <c r="L28" s="2">
        <v>-0.11656999999999999</v>
      </c>
      <c r="M28" s="2">
        <v>-0.14631</v>
      </c>
      <c r="N28" s="2"/>
      <c r="O28" s="2">
        <v>0.48919400000000002</v>
      </c>
      <c r="P28" s="2">
        <v>0.51203399999999999</v>
      </c>
      <c r="Q28" s="2"/>
      <c r="R28" s="2">
        <v>3.3500000000000002E-2</v>
      </c>
      <c r="S28" s="2">
        <v>1.9234000000000001E-2</v>
      </c>
      <c r="T28" s="2"/>
      <c r="U28" s="2">
        <v>8.1560000000000001E-3</v>
      </c>
      <c r="V28" s="2">
        <v>2.7323E-2</v>
      </c>
      <c r="W28" s="2"/>
      <c r="X28" s="2">
        <v>-0.13702</v>
      </c>
      <c r="Y28" s="2">
        <v>-0.22534999999999999</v>
      </c>
      <c r="Z28" s="2"/>
      <c r="AA28" s="2">
        <v>-0.44630999999999998</v>
      </c>
      <c r="AB28" s="2">
        <v>-0.26240000000000002</v>
      </c>
      <c r="AC28" s="2"/>
      <c r="AD28" s="2">
        <v>0.103159</v>
      </c>
      <c r="AE28" s="2">
        <v>6.0213000000000003E-2</v>
      </c>
      <c r="AF28" s="2"/>
      <c r="AG28" s="2">
        <v>-0.13347999999999999</v>
      </c>
      <c r="AH28" s="2">
        <v>-0.15256</v>
      </c>
      <c r="AI28" s="2"/>
      <c r="AJ28" s="2">
        <v>1.809566</v>
      </c>
      <c r="AK28" s="2">
        <v>1.8916029999999999</v>
      </c>
      <c r="AL28" s="2"/>
    </row>
    <row r="29" spans="1:38">
      <c r="AL29" s="2"/>
    </row>
    <row r="30" spans="1:38" ht="18.75">
      <c r="B30" s="218" t="s">
        <v>1590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126" t="s">
        <v>1594</v>
      </c>
      <c r="AL30" s="2"/>
    </row>
    <row r="31" spans="1:38">
      <c r="A31" s="66" t="s">
        <v>1572</v>
      </c>
      <c r="B31" s="218">
        <v>12.05</v>
      </c>
      <c r="C31" s="218"/>
      <c r="D31" s="218"/>
      <c r="E31" s="218">
        <v>12.06</v>
      </c>
      <c r="F31" s="218"/>
      <c r="G31" s="218"/>
      <c r="H31" s="218">
        <v>12.07</v>
      </c>
      <c r="I31" s="218"/>
      <c r="J31" s="218"/>
      <c r="L31" s="218">
        <v>12.05</v>
      </c>
      <c r="M31" s="218"/>
      <c r="N31" s="218"/>
      <c r="O31" s="218">
        <v>12.06</v>
      </c>
      <c r="P31" s="218"/>
      <c r="Q31" s="218"/>
      <c r="R31" s="218">
        <v>12.07</v>
      </c>
      <c r="S31" s="218"/>
      <c r="T31" s="218"/>
      <c r="AD31" s="1"/>
      <c r="AE31" s="2"/>
      <c r="AF31" s="2"/>
      <c r="AG31" s="2"/>
      <c r="AH31" s="2"/>
      <c r="AI31" s="2"/>
      <c r="AL31" s="2"/>
    </row>
    <row r="32" spans="1:38">
      <c r="A32" s="122" t="s">
        <v>1570</v>
      </c>
      <c r="B32" s="122">
        <v>0.32200000000000001</v>
      </c>
      <c r="C32" s="125" t="s">
        <v>1591</v>
      </c>
      <c r="D32" s="122">
        <v>0.34799999999999998</v>
      </c>
      <c r="E32" s="122">
        <v>0.11799999999999999</v>
      </c>
      <c r="F32" s="122">
        <v>0.26800000000000002</v>
      </c>
      <c r="G32" s="122">
        <v>0.27700000000000002</v>
      </c>
      <c r="H32" s="122">
        <v>0.28399999999999997</v>
      </c>
      <c r="I32" s="122">
        <v>0.24</v>
      </c>
      <c r="J32" s="122">
        <v>0.27</v>
      </c>
      <c r="K32" s="122" t="s">
        <v>1183</v>
      </c>
      <c r="L32" s="122">
        <v>0.29499999999999998</v>
      </c>
      <c r="M32" s="125" t="s">
        <v>1593</v>
      </c>
      <c r="N32" s="122">
        <v>0.3</v>
      </c>
      <c r="O32" s="122">
        <v>0.24299999999999999</v>
      </c>
      <c r="P32" s="122">
        <v>0.17899999999999999</v>
      </c>
      <c r="Q32" s="122">
        <v>0.23499999999999999</v>
      </c>
      <c r="R32" s="122">
        <v>0.23300000000000001</v>
      </c>
      <c r="S32" s="122">
        <v>0.23400000000000001</v>
      </c>
      <c r="T32" s="122">
        <v>0.245</v>
      </c>
      <c r="V32" s="4">
        <f>AVERAGE(B32:D32)</f>
        <v>0.33499999999999996</v>
      </c>
      <c r="Y32" s="4">
        <f>AVERAGE(E32:G32)</f>
        <v>0.221</v>
      </c>
      <c r="AB32" s="4">
        <f>AVERAGE(H32:J32)</f>
        <v>0.26466666666666666</v>
      </c>
      <c r="AD32" s="1"/>
      <c r="AE32" s="2"/>
      <c r="AF32" s="2"/>
      <c r="AG32" s="2"/>
      <c r="AH32" s="2"/>
      <c r="AI32" s="2"/>
      <c r="AL32" s="2"/>
    </row>
    <row r="33" spans="1:38">
      <c r="A33" s="122" t="s">
        <v>1571</v>
      </c>
      <c r="B33" s="122">
        <v>0.16200000000000001</v>
      </c>
      <c r="C33" s="125" t="s">
        <v>1592</v>
      </c>
      <c r="D33" s="122">
        <v>0.25800000000000001</v>
      </c>
      <c r="E33" s="122">
        <v>0.19</v>
      </c>
      <c r="F33" s="122">
        <v>0.16200000000000001</v>
      </c>
      <c r="G33" s="122">
        <v>0.14799999999999999</v>
      </c>
      <c r="H33" s="122">
        <v>0.154</v>
      </c>
      <c r="I33" s="122">
        <v>0.16300000000000001</v>
      </c>
      <c r="J33" s="122">
        <v>0.20100000000000001</v>
      </c>
      <c r="K33" s="122" t="s">
        <v>1210</v>
      </c>
      <c r="L33" s="122">
        <v>0.154</v>
      </c>
      <c r="M33" s="122">
        <v>0.19900000000000001</v>
      </c>
      <c r="N33" s="122">
        <v>0.13700000000000001</v>
      </c>
      <c r="O33" s="122">
        <v>0.13900000000000001</v>
      </c>
      <c r="P33" s="122">
        <v>0.13100000000000001</v>
      </c>
      <c r="Q33" s="122">
        <v>0.14499999999999999</v>
      </c>
      <c r="R33" s="122">
        <v>0.14399999999999999</v>
      </c>
      <c r="S33" s="122">
        <v>0.13100000000000001</v>
      </c>
      <c r="T33" s="122">
        <v>0.14000000000000001</v>
      </c>
      <c r="V33" s="4">
        <f>AVERAGE(B33:D33)</f>
        <v>0.21000000000000002</v>
      </c>
      <c r="Y33" s="4">
        <f>AVERAGE(E33:G33)</f>
        <v>0.16666666666666666</v>
      </c>
      <c r="AB33" s="4">
        <f>AVERAGE(H33:J33)</f>
        <v>0.17266666666666666</v>
      </c>
      <c r="AD33" s="1"/>
      <c r="AE33" s="2"/>
      <c r="AF33" s="2"/>
      <c r="AG33" s="2"/>
      <c r="AH33" s="2"/>
      <c r="AI33" s="2"/>
      <c r="AL33" s="2"/>
    </row>
    <row r="34" spans="1:38" ht="18.75">
      <c r="A34" s="122"/>
      <c r="B34" s="218" t="s">
        <v>1590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AD34" s="1"/>
      <c r="AE34" s="2"/>
      <c r="AF34" s="2"/>
      <c r="AG34" s="2"/>
      <c r="AH34" s="2"/>
      <c r="AI34" s="2"/>
      <c r="AL34" s="2"/>
    </row>
    <row r="35" spans="1:38">
      <c r="A35" s="122" t="s">
        <v>1570</v>
      </c>
      <c r="B35" s="122">
        <f>B32/$V$32</f>
        <v>0.96119402985074642</v>
      </c>
      <c r="C35" s="122" t="e">
        <f>C32/$V$32</f>
        <v>#VALUE!</v>
      </c>
      <c r="D35" s="122">
        <f>D32/$V$32</f>
        <v>1.0388059701492538</v>
      </c>
      <c r="E35" s="122">
        <f>E32/$Y$32</f>
        <v>0.5339366515837104</v>
      </c>
      <c r="F35" s="122">
        <f t="shared" ref="F35:G35" si="0">F32/$Y$32</f>
        <v>1.2126696832579187</v>
      </c>
      <c r="G35" s="122">
        <f t="shared" si="0"/>
        <v>1.253393665158371</v>
      </c>
      <c r="H35" s="122">
        <f>H32/$AB$32</f>
        <v>1.0730478589420653</v>
      </c>
      <c r="I35" s="122">
        <f t="shared" ref="I35:J35" si="1">I32/$AB$32</f>
        <v>0.90680100755667503</v>
      </c>
      <c r="J35" s="122">
        <f t="shared" si="1"/>
        <v>1.0201511335012596</v>
      </c>
      <c r="K35" s="122" t="s">
        <v>1183</v>
      </c>
      <c r="L35" s="122">
        <f>L32/$V$32</f>
        <v>0.88059701492537323</v>
      </c>
      <c r="M35" s="122" t="e">
        <f t="shared" ref="M35" si="2">M32/$V$32</f>
        <v>#VALUE!</v>
      </c>
      <c r="N35" s="122">
        <f>N32/$V$32</f>
        <v>0.89552238805970152</v>
      </c>
      <c r="O35" s="122">
        <f>O32/$Y$32</f>
        <v>1.0995475113122171</v>
      </c>
      <c r="P35" s="122">
        <f t="shared" ref="P35:Q35" si="3">P32/$Y$32</f>
        <v>0.80995475113122173</v>
      </c>
      <c r="Q35" s="122">
        <f t="shared" si="3"/>
        <v>1.0633484162895928</v>
      </c>
      <c r="R35" s="122">
        <f>R32/$AB$32</f>
        <v>0.88035264483627207</v>
      </c>
      <c r="S35" s="122">
        <f t="shared" ref="S35:T35" si="4">S32/$AB$32</f>
        <v>0.88413098236775822</v>
      </c>
      <c r="T35" s="122">
        <f t="shared" si="4"/>
        <v>0.9256926952141058</v>
      </c>
      <c r="AD35" s="1"/>
      <c r="AE35" s="2"/>
      <c r="AF35" s="2"/>
      <c r="AG35" s="2"/>
      <c r="AH35" s="2"/>
      <c r="AI35" s="2"/>
      <c r="AL35" s="2"/>
    </row>
    <row r="36" spans="1:38">
      <c r="A36" s="122" t="s">
        <v>1571</v>
      </c>
      <c r="B36" s="4">
        <f>B33/$V$33</f>
        <v>0.77142857142857135</v>
      </c>
      <c r="C36" s="4" t="e">
        <f t="shared" ref="C36:D36" si="5">C33/$V$33</f>
        <v>#VALUE!</v>
      </c>
      <c r="D36" s="4">
        <f t="shared" si="5"/>
        <v>1.2285714285714284</v>
      </c>
      <c r="E36" s="4">
        <f>E33/$Y$33</f>
        <v>1.1400000000000001</v>
      </c>
      <c r="F36" s="4">
        <f t="shared" ref="F36:G36" si="6">F33/$Y$33</f>
        <v>0.97200000000000009</v>
      </c>
      <c r="G36" s="4">
        <f t="shared" si="6"/>
        <v>0.88800000000000001</v>
      </c>
      <c r="H36" s="4">
        <f>H33/$AB$33</f>
        <v>0.89189189189189189</v>
      </c>
      <c r="I36" s="4">
        <f t="shared" ref="I36:J36" si="7">I33/$AB$33</f>
        <v>0.94401544401544402</v>
      </c>
      <c r="J36" s="4">
        <f t="shared" si="7"/>
        <v>1.1640926640926641</v>
      </c>
      <c r="K36" s="122" t="s">
        <v>1210</v>
      </c>
      <c r="L36" s="4">
        <f>L33/$V$33</f>
        <v>0.73333333333333328</v>
      </c>
      <c r="M36" s="4">
        <f t="shared" ref="M36:N36" si="8">M33/$V$33</f>
        <v>0.94761904761904758</v>
      </c>
      <c r="N36" s="4">
        <f t="shared" si="8"/>
        <v>0.65238095238095239</v>
      </c>
      <c r="O36" s="4">
        <f>O33/$Y$33</f>
        <v>0.83400000000000007</v>
      </c>
      <c r="P36" s="4">
        <f t="shared" ref="P36:Q36" si="9">P33/$Y$33</f>
        <v>0.78600000000000003</v>
      </c>
      <c r="Q36" s="4">
        <f t="shared" si="9"/>
        <v>0.87</v>
      </c>
      <c r="R36" s="4">
        <f>R33/$AB$33</f>
        <v>0.83397683397683398</v>
      </c>
      <c r="S36" s="4">
        <f t="shared" ref="S36:T36" si="10">S33/$AB$33</f>
        <v>0.75868725868725873</v>
      </c>
      <c r="T36" s="4">
        <f t="shared" si="10"/>
        <v>0.81081081081081086</v>
      </c>
      <c r="AL36" s="2"/>
    </row>
    <row r="37" spans="1:38">
      <c r="K37" s="122"/>
      <c r="AL37" s="2"/>
    </row>
    <row r="38" spans="1:38">
      <c r="AL38" s="2"/>
    </row>
    <row r="39" spans="1:38">
      <c r="A39" s="66" t="s">
        <v>1575</v>
      </c>
      <c r="B39" s="91" t="s">
        <v>1211</v>
      </c>
      <c r="C39" s="3" t="s">
        <v>2184</v>
      </c>
      <c r="D39" s="3"/>
      <c r="E39" s="3" t="s">
        <v>2189</v>
      </c>
      <c r="F39" s="3"/>
      <c r="G39" s="3" t="s">
        <v>1205</v>
      </c>
      <c r="H39" s="3"/>
      <c r="I39" s="3" t="s">
        <v>1206</v>
      </c>
      <c r="J39" s="3"/>
      <c r="K39" s="3" t="s">
        <v>2196</v>
      </c>
      <c r="L39" s="3"/>
      <c r="M39" s="3" t="s">
        <v>2197</v>
      </c>
      <c r="N39" s="3"/>
      <c r="O39" s="3" t="s">
        <v>1213</v>
      </c>
      <c r="P39" s="3"/>
    </row>
    <row r="40" spans="1:38">
      <c r="B40" s="1" t="s">
        <v>2185</v>
      </c>
      <c r="C40" s="2"/>
      <c r="D40" s="2">
        <v>2.853968940823576</v>
      </c>
      <c r="E40" s="2">
        <v>-7.520947861923391E-2</v>
      </c>
      <c r="F40" s="2">
        <v>3.6764281129849141E-2</v>
      </c>
      <c r="G40" s="2">
        <v>0.20526941741795071</v>
      </c>
      <c r="H40" s="2">
        <v>0.24369524104558626</v>
      </c>
      <c r="I40" s="2">
        <v>0.33354339952634643</v>
      </c>
      <c r="J40" s="2">
        <v>0.38957303496811174</v>
      </c>
      <c r="K40" s="2">
        <v>0.16938984621541955</v>
      </c>
      <c r="L40" s="2">
        <v>0.2221555631180786</v>
      </c>
      <c r="M40" s="2">
        <v>1.3603244056219119</v>
      </c>
      <c r="N40" s="2">
        <v>1.3439545854255845</v>
      </c>
      <c r="O40" s="2">
        <v>-8.2570577943399115E-2</v>
      </c>
      <c r="P40" s="2">
        <v>-0.1595303643561562</v>
      </c>
    </row>
    <row r="41" spans="1:38">
      <c r="B41" s="1" t="s">
        <v>2186</v>
      </c>
      <c r="C41" s="4">
        <v>0.13292861087352217</v>
      </c>
      <c r="D41" s="4">
        <v>0.1156237526286536</v>
      </c>
      <c r="E41" s="4">
        <v>2.2230474516267686</v>
      </c>
      <c r="F41" s="4">
        <v>2.2164144337293834</v>
      </c>
      <c r="G41" s="4">
        <v>8.830062535691284E-2</v>
      </c>
      <c r="H41" s="4">
        <v>7.8797084590215991E-2</v>
      </c>
      <c r="I41" s="4">
        <v>4.8971100668404599E-2</v>
      </c>
      <c r="J41" s="4">
        <v>8.830062535691284E-2</v>
      </c>
      <c r="K41" s="4">
        <v>5.9142396546789974E-2</v>
      </c>
      <c r="L41" s="4">
        <v>5.9142396546789974E-2</v>
      </c>
      <c r="M41" s="4">
        <v>0.18483446301241072</v>
      </c>
      <c r="N41" s="4">
        <v>0.18858163437395187</v>
      </c>
      <c r="O41" s="4">
        <v>8.830062535691284E-2</v>
      </c>
      <c r="P41" s="4">
        <v>7.8797084590215991E-2</v>
      </c>
    </row>
    <row r="42" spans="1:38">
      <c r="B42" s="1" t="s">
        <v>2187</v>
      </c>
      <c r="C42" s="4">
        <v>-0.21319964016530102</v>
      </c>
      <c r="D42" s="4">
        <v>-0.22560889864072214</v>
      </c>
      <c r="E42" s="4">
        <v>-0.38321675232181696</v>
      </c>
      <c r="F42" s="4">
        <v>-0.27206629942045563</v>
      </c>
      <c r="G42" s="4">
        <v>2.7030985791849425</v>
      </c>
      <c r="H42" s="4">
        <v>2.7204729660528968</v>
      </c>
      <c r="I42" s="4">
        <v>0.62038737240672637</v>
      </c>
      <c r="J42" s="4">
        <v>0.64650512979201535</v>
      </c>
      <c r="K42" s="4">
        <v>0.11738559885499972</v>
      </c>
      <c r="L42" s="4">
        <v>5.2813306495150258E-2</v>
      </c>
      <c r="M42" s="4">
        <v>0.46574170896079042</v>
      </c>
      <c r="N42" s="4">
        <v>0.46188128814224488</v>
      </c>
      <c r="O42" s="4">
        <v>-1.2863067382642155</v>
      </c>
      <c r="P42" s="4" t="s">
        <v>1588</v>
      </c>
      <c r="R42" s="4" t="s">
        <v>1588</v>
      </c>
      <c r="S42" s="4" t="s">
        <v>1589</v>
      </c>
    </row>
    <row r="43" spans="1:38">
      <c r="B43" s="1" t="s">
        <v>1215</v>
      </c>
      <c r="C43" s="4">
        <v>6.799707893775804E-2</v>
      </c>
      <c r="D43" s="4">
        <v>8.7233814479493771E-2</v>
      </c>
      <c r="E43" s="4">
        <v>-0.12739933507699414</v>
      </c>
      <c r="F43" s="4">
        <v>-0.13361252356286255</v>
      </c>
      <c r="G43" s="4">
        <v>-8.6231033740863675E-2</v>
      </c>
      <c r="H43" s="4">
        <v>-9.7600648188684191E-2</v>
      </c>
      <c r="I43" s="4">
        <v>1.8032805796278533</v>
      </c>
      <c r="J43" s="4">
        <v>1.8113108183239639</v>
      </c>
      <c r="K43" s="4">
        <v>-7.5151491827215089E-2</v>
      </c>
      <c r="L43" s="4">
        <v>-6.9715945679257832E-2</v>
      </c>
      <c r="M43" s="4">
        <v>-2.8519729269274829E-2</v>
      </c>
      <c r="N43" s="4">
        <v>-2.8519729269274829E-2</v>
      </c>
      <c r="O43" s="4">
        <v>-0.11523342784178503</v>
      </c>
      <c r="P43" s="4">
        <v>-0.1092759343157301</v>
      </c>
    </row>
    <row r="44" spans="1:38">
      <c r="B44" s="1" t="s">
        <v>1217</v>
      </c>
      <c r="C44" s="4">
        <v>-0.20762648120261099</v>
      </c>
      <c r="D44" s="4">
        <v>-0.21311237976835326</v>
      </c>
      <c r="E44" s="4">
        <v>-0.20762648120261099</v>
      </c>
      <c r="F44" s="4">
        <v>-5.1998276367031984E-2</v>
      </c>
      <c r="G44" s="4">
        <v>-7.6821860236044578E-2</v>
      </c>
      <c r="H44" s="4">
        <v>-3.579602955147565E-2</v>
      </c>
      <c r="I44" s="4">
        <v>5.7428294147576248E-2</v>
      </c>
      <c r="J44" s="4">
        <v>9.8820979374983325E-2</v>
      </c>
      <c r="K44" s="4">
        <v>1.7800996026548126</v>
      </c>
      <c r="L44" s="4">
        <v>1.79893801490704</v>
      </c>
      <c r="M44" s="4">
        <v>0.32990282925137321</v>
      </c>
      <c r="N44" s="4">
        <v>0.36531313643517449</v>
      </c>
      <c r="O44" s="4">
        <v>-0.22053639721153834</v>
      </c>
      <c r="P44" s="4">
        <v>-0.23967140822391048</v>
      </c>
    </row>
    <row r="45" spans="1:38">
      <c r="B45" s="1" t="s">
        <v>1219</v>
      </c>
      <c r="C45" s="4">
        <v>0.69465935374586463</v>
      </c>
      <c r="D45" s="4">
        <v>0.70447534442074444</v>
      </c>
      <c r="E45" s="4">
        <v>0.13683795979063082</v>
      </c>
      <c r="F45" s="4">
        <v>0.11682084628369255</v>
      </c>
      <c r="G45" s="4">
        <v>1.1028893550909663E-2</v>
      </c>
      <c r="H45" s="4">
        <v>-3.9742645251227143E-2</v>
      </c>
      <c r="I45" s="4">
        <v>-1.1316286097269253E-2</v>
      </c>
      <c r="J45" s="4">
        <v>-2.0586530646851037E-2</v>
      </c>
      <c r="K45" s="4">
        <v>6.4257651278597977E-2</v>
      </c>
      <c r="L45" s="4">
        <v>3.434947499217559E-2</v>
      </c>
      <c r="M45" s="4">
        <v>1.4989342143838926</v>
      </c>
      <c r="N45" s="4">
        <v>1.488251776451643</v>
      </c>
      <c r="O45" s="4">
        <v>3.434947499217559E-2</v>
      </c>
      <c r="P45" s="4">
        <v>4.4549438231377872E-2</v>
      </c>
    </row>
    <row r="46" spans="1:38">
      <c r="B46" s="1" t="s">
        <v>1221</v>
      </c>
      <c r="C46" s="4">
        <v>-0.37885342477569905</v>
      </c>
      <c r="D46" s="4">
        <v>-0.42351203161606177</v>
      </c>
      <c r="E46" s="4">
        <v>-0.56496180383039563</v>
      </c>
      <c r="F46" s="4">
        <v>-0.42351203161606177</v>
      </c>
      <c r="G46" s="4">
        <v>-0.44769050839378433</v>
      </c>
      <c r="H46" s="4">
        <v>-0.39323535106861607</v>
      </c>
      <c r="I46" s="4">
        <v>-0.40060894900729616</v>
      </c>
      <c r="J46" s="4">
        <v>-0.34485371625152988</v>
      </c>
      <c r="K46" s="4">
        <v>-0.42351203161606177</v>
      </c>
      <c r="L46" s="4">
        <v>-0.3383618990300572</v>
      </c>
      <c r="M46" s="4">
        <v>-0.33196569379267438</v>
      </c>
      <c r="N46" s="4">
        <v>-0.24585574500254562</v>
      </c>
      <c r="O46" s="4">
        <v>1.9333970015996544</v>
      </c>
      <c r="P46" s="4">
        <v>1.9187823521716434</v>
      </c>
    </row>
    <row r="49" spans="1:21">
      <c r="A49" s="66" t="s">
        <v>1576</v>
      </c>
    </row>
    <row r="50" spans="1:21">
      <c r="B50" s="91" t="s">
        <v>1184</v>
      </c>
      <c r="C50" s="235" t="s">
        <v>1063</v>
      </c>
      <c r="D50" s="235"/>
      <c r="E50" s="235" t="s">
        <v>1559</v>
      </c>
      <c r="F50" s="235"/>
      <c r="G50" s="235" t="s">
        <v>1212</v>
      </c>
      <c r="H50" s="235"/>
      <c r="I50" s="235" t="s">
        <v>1214</v>
      </c>
      <c r="J50" s="235"/>
      <c r="K50" s="235" t="s">
        <v>1216</v>
      </c>
      <c r="L50" s="235"/>
      <c r="M50" s="235" t="s">
        <v>1218</v>
      </c>
      <c r="N50" s="235"/>
      <c r="O50" s="235" t="s">
        <v>1220</v>
      </c>
      <c r="P50" s="235"/>
    </row>
    <row r="51" spans="1:21">
      <c r="B51" s="1" t="s">
        <v>2184</v>
      </c>
      <c r="C51" s="2">
        <v>2.6604860000000001</v>
      </c>
      <c r="D51" s="2">
        <v>2.7143899999999999</v>
      </c>
      <c r="E51" s="2">
        <v>0</v>
      </c>
      <c r="F51" s="2">
        <v>0</v>
      </c>
      <c r="G51" s="2">
        <v>-0.54988000000000004</v>
      </c>
      <c r="H51" s="2">
        <v>-0.50241000000000002</v>
      </c>
      <c r="I51" s="2">
        <v>-0.18343000000000001</v>
      </c>
      <c r="J51" s="2">
        <v>-0.14002999999999999</v>
      </c>
      <c r="K51" s="2">
        <v>-0.21756</v>
      </c>
      <c r="L51" s="2">
        <v>-0.2223</v>
      </c>
      <c r="M51" s="2">
        <v>0.31164799999999998</v>
      </c>
      <c r="N51" s="2">
        <v>0.27277800000000002</v>
      </c>
      <c r="O51" s="2">
        <v>-9.7549999999999998E-2</v>
      </c>
      <c r="P51" s="2">
        <v>-5.5120000000000002E-2</v>
      </c>
    </row>
    <row r="52" spans="1:21">
      <c r="A52" s="3"/>
      <c r="B52" s="1" t="s">
        <v>2189</v>
      </c>
      <c r="C52" s="2">
        <v>-0.20981</v>
      </c>
      <c r="D52" s="2">
        <v>-0.13425999999999999</v>
      </c>
      <c r="E52" s="2">
        <v>3.3420179999999999</v>
      </c>
      <c r="F52" s="2">
        <v>3.352611</v>
      </c>
      <c r="G52" s="2">
        <v>-7.9640000000000002E-2</v>
      </c>
      <c r="H52" s="2">
        <v>-6.336E-2</v>
      </c>
      <c r="I52" s="2">
        <v>-5.0729999999999997E-2</v>
      </c>
      <c r="J52" s="2">
        <v>-9.6809999999999993E-2</v>
      </c>
      <c r="K52" s="2">
        <v>-5.4640000000000001E-2</v>
      </c>
      <c r="L52" s="2">
        <v>-2.409E-2</v>
      </c>
      <c r="M52" s="2">
        <v>3.588E-3</v>
      </c>
      <c r="N52" s="2">
        <v>1.4264000000000001E-2</v>
      </c>
      <c r="O52" s="2">
        <v>-1.291E-2</v>
      </c>
      <c r="P52" s="2">
        <v>2.8349999999999998E-3</v>
      </c>
    </row>
    <row r="53" spans="1:21">
      <c r="B53" s="1" t="s">
        <v>1205</v>
      </c>
      <c r="C53" s="2">
        <v>-7.8969999999999999E-2</v>
      </c>
      <c r="D53" s="2">
        <v>7.8980999999999996E-2</v>
      </c>
      <c r="E53" s="2">
        <v>0</v>
      </c>
      <c r="F53" s="2">
        <v>0</v>
      </c>
      <c r="G53" s="2">
        <v>2.5365250000000001</v>
      </c>
      <c r="H53" s="2">
        <v>2.4675980000000002</v>
      </c>
      <c r="I53" s="2">
        <v>-6.0299999999999998E-3</v>
      </c>
      <c r="J53" s="2">
        <v>1.4710000000000001E-2</v>
      </c>
      <c r="K53" s="2">
        <v>0</v>
      </c>
      <c r="L53" s="2">
        <v>1.7229000000000001E-2</v>
      </c>
      <c r="M53" s="2">
        <v>-1.0019999999999999E-2</v>
      </c>
      <c r="N53" s="2">
        <v>4.2440000000000004E-3</v>
      </c>
      <c r="O53" s="2">
        <v>3.0942999999999998E-2</v>
      </c>
      <c r="P53" s="2">
        <v>2.4337000000000001E-2</v>
      </c>
    </row>
    <row r="54" spans="1:21">
      <c r="B54" s="1" t="s">
        <v>1206</v>
      </c>
      <c r="C54" s="2">
        <v>2.7373999999999999E-2</v>
      </c>
      <c r="D54" s="2">
        <v>0.11087900000000001</v>
      </c>
      <c r="E54" s="2">
        <v>0</v>
      </c>
      <c r="F54" s="2">
        <v>0</v>
      </c>
      <c r="G54" s="2">
        <v>0.317463</v>
      </c>
      <c r="H54" s="2">
        <v>0.25385099999999999</v>
      </c>
      <c r="I54" s="2">
        <v>1.6276820000000001</v>
      </c>
      <c r="J54" s="2">
        <v>1.6290199999999999</v>
      </c>
      <c r="K54" s="2">
        <v>-2.9499999999999998E-2</v>
      </c>
      <c r="L54" s="2">
        <v>-5.8999999999999999E-3</v>
      </c>
      <c r="M54" s="2">
        <v>-5.2600000000000001E-2</v>
      </c>
      <c r="N54" s="2">
        <v>-5.6390000000000003E-2</v>
      </c>
      <c r="O54" s="2">
        <v>-5.5989999999999998E-2</v>
      </c>
      <c r="P54" s="2">
        <v>-8.5209999999999994E-2</v>
      </c>
      <c r="U54" s="122"/>
    </row>
    <row r="55" spans="1:21">
      <c r="B55" s="1" t="s">
        <v>2196</v>
      </c>
      <c r="C55" s="2">
        <v>-0.1225</v>
      </c>
      <c r="D55" s="2">
        <v>6.0540999999999998E-2</v>
      </c>
      <c r="E55" s="2">
        <v>0</v>
      </c>
      <c r="F55" s="2">
        <v>0</v>
      </c>
      <c r="G55" s="2">
        <v>7.0234000000000005E-2</v>
      </c>
      <c r="H55" s="2">
        <v>5.2678000000000003E-2</v>
      </c>
      <c r="I55" s="2">
        <v>-3.4229999999999997E-2</v>
      </c>
      <c r="J55" s="2">
        <v>0</v>
      </c>
      <c r="K55" s="2">
        <v>1.7382629999999999</v>
      </c>
      <c r="L55" s="2">
        <v>1.74183</v>
      </c>
      <c r="M55" s="2">
        <v>5.8090000000000003E-2</v>
      </c>
      <c r="N55" s="2">
        <v>3.9128000000000003E-2</v>
      </c>
      <c r="O55" s="2">
        <v>2.4719000000000001E-2</v>
      </c>
      <c r="P55" s="2">
        <v>2.7552E-2</v>
      </c>
      <c r="U55" s="122"/>
    </row>
    <row r="56" spans="1:21">
      <c r="A56" s="1"/>
      <c r="B56" s="1" t="s">
        <v>2197</v>
      </c>
      <c r="C56" s="2">
        <v>1.0525690000000001</v>
      </c>
      <c r="D56" s="2">
        <v>1.0989739999999999</v>
      </c>
      <c r="E56" s="2">
        <v>0</v>
      </c>
      <c r="F56" s="2">
        <v>0</v>
      </c>
      <c r="G56" s="2">
        <v>0.70219200000000004</v>
      </c>
      <c r="H56" s="2">
        <v>0.61081399999999997</v>
      </c>
      <c r="I56" s="2">
        <v>3.9994000000000002E-2</v>
      </c>
      <c r="J56" s="2">
        <v>2.0456999999999999E-2</v>
      </c>
      <c r="K56" s="2">
        <v>0.31744899999999998</v>
      </c>
      <c r="L56" s="2">
        <v>0.390376</v>
      </c>
      <c r="M56" s="2">
        <v>1.1382239999999999</v>
      </c>
      <c r="N56" s="2">
        <v>1.115934</v>
      </c>
      <c r="O56" s="2">
        <v>8.6002999999999996E-2</v>
      </c>
      <c r="P56" s="2">
        <v>6.7320000000000005E-2</v>
      </c>
    </row>
    <row r="57" spans="1:21">
      <c r="A57" s="1"/>
      <c r="B57" s="1" t="s">
        <v>1213</v>
      </c>
      <c r="C57" s="2">
        <v>0.13400000000000001</v>
      </c>
      <c r="D57" s="2">
        <v>0.12733800000000001</v>
      </c>
      <c r="E57" s="2">
        <v>0</v>
      </c>
      <c r="F57" s="2">
        <v>0</v>
      </c>
      <c r="G57" s="2">
        <v>0.120294</v>
      </c>
      <c r="H57" s="2">
        <v>4.4774000000000001E-2</v>
      </c>
      <c r="I57" s="2">
        <v>-1.8339999999999999E-2</v>
      </c>
      <c r="J57" s="2">
        <v>-1.523E-2</v>
      </c>
      <c r="K57" s="2">
        <v>0</v>
      </c>
      <c r="L57" s="2">
        <v>1.1561E-2</v>
      </c>
      <c r="M57" s="2">
        <v>0.118328</v>
      </c>
      <c r="N57" s="2">
        <v>5.7444000000000002E-2</v>
      </c>
      <c r="O57" s="2">
        <v>1.695978</v>
      </c>
      <c r="P57" s="2">
        <v>1.696361</v>
      </c>
    </row>
    <row r="58" spans="1:21">
      <c r="A58" s="1"/>
    </row>
    <row r="59" spans="1:21">
      <c r="A59" s="1"/>
    </row>
  </sheetData>
  <mergeCells count="15">
    <mergeCell ref="M50:N50"/>
    <mergeCell ref="O50:P50"/>
    <mergeCell ref="C50:D50"/>
    <mergeCell ref="E50:F50"/>
    <mergeCell ref="G50:H50"/>
    <mergeCell ref="I50:J50"/>
    <mergeCell ref="K50:L50"/>
    <mergeCell ref="R31:T31"/>
    <mergeCell ref="B30:T30"/>
    <mergeCell ref="B34:T34"/>
    <mergeCell ref="B31:D31"/>
    <mergeCell ref="E31:G31"/>
    <mergeCell ref="H31:J31"/>
    <mergeCell ref="L31:N31"/>
    <mergeCell ref="O31:Q31"/>
  </mergeCells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502F-2488-4658-A124-581E4154FC0D}">
  <dimension ref="A1:AV69"/>
  <sheetViews>
    <sheetView workbookViewId="0">
      <selection activeCell="Q40" sqref="Q40"/>
    </sheetView>
  </sheetViews>
  <sheetFormatPr defaultRowHeight="14.25"/>
  <sheetData>
    <row r="1" spans="1:48">
      <c r="A1" s="79" t="s">
        <v>571</v>
      </c>
      <c r="G1" s="79" t="s">
        <v>583</v>
      </c>
      <c r="M1" s="79" t="s">
        <v>1133</v>
      </c>
      <c r="S1" s="79" t="s">
        <v>1134</v>
      </c>
      <c r="Y1" s="79" t="s">
        <v>1135</v>
      </c>
      <c r="AE1" s="79" t="s">
        <v>1136</v>
      </c>
      <c r="AK1" s="79" t="s">
        <v>1137</v>
      </c>
      <c r="AQ1" s="79" t="s">
        <v>1138</v>
      </c>
    </row>
    <row r="2" spans="1:48">
      <c r="A2" s="3" t="s">
        <v>1139</v>
      </c>
      <c r="B2" s="3" t="s">
        <v>1140</v>
      </c>
      <c r="C2" s="3" t="s">
        <v>1139</v>
      </c>
      <c r="D2" s="3" t="s">
        <v>579</v>
      </c>
      <c r="E2" s="3" t="s">
        <v>1139</v>
      </c>
      <c r="F2" s="3" t="s">
        <v>1141</v>
      </c>
      <c r="G2" s="3" t="s">
        <v>1139</v>
      </c>
      <c r="H2" s="3" t="s">
        <v>572</v>
      </c>
      <c r="I2" s="3" t="s">
        <v>1139</v>
      </c>
      <c r="J2" s="3" t="s">
        <v>579</v>
      </c>
      <c r="K2" s="3" t="s">
        <v>1139</v>
      </c>
      <c r="L2" s="3" t="s">
        <v>1141</v>
      </c>
      <c r="M2" s="3" t="s">
        <v>1139</v>
      </c>
      <c r="N2" s="3" t="s">
        <v>572</v>
      </c>
      <c r="O2" s="3" t="s">
        <v>1139</v>
      </c>
      <c r="P2" s="3" t="s">
        <v>579</v>
      </c>
      <c r="Q2" s="3" t="s">
        <v>1139</v>
      </c>
      <c r="R2" s="3" t="s">
        <v>1141</v>
      </c>
      <c r="S2" s="3" t="s">
        <v>1139</v>
      </c>
      <c r="T2" s="3" t="s">
        <v>572</v>
      </c>
      <c r="U2" s="3" t="s">
        <v>1139</v>
      </c>
      <c r="V2" s="3" t="s">
        <v>579</v>
      </c>
      <c r="W2" s="3" t="s">
        <v>1139</v>
      </c>
      <c r="X2" s="3" t="s">
        <v>1141</v>
      </c>
      <c r="Y2" s="3" t="s">
        <v>1139</v>
      </c>
      <c r="Z2" s="3" t="s">
        <v>572</v>
      </c>
      <c r="AA2" s="3" t="s">
        <v>1139</v>
      </c>
      <c r="AB2" s="3" t="s">
        <v>579</v>
      </c>
      <c r="AC2" s="3" t="s">
        <v>1139</v>
      </c>
      <c r="AD2" s="3" t="s">
        <v>1141</v>
      </c>
      <c r="AE2" s="3" t="s">
        <v>1139</v>
      </c>
      <c r="AF2" s="3" t="s">
        <v>1142</v>
      </c>
      <c r="AG2" s="3" t="s">
        <v>1139</v>
      </c>
      <c r="AH2" s="3" t="s">
        <v>579</v>
      </c>
      <c r="AI2" s="3" t="s">
        <v>1139</v>
      </c>
      <c r="AJ2" s="3" t="s">
        <v>1141</v>
      </c>
      <c r="AK2" s="3" t="s">
        <v>1139</v>
      </c>
      <c r="AL2" s="3" t="s">
        <v>1142</v>
      </c>
      <c r="AM2" s="3" t="s">
        <v>1139</v>
      </c>
      <c r="AN2" s="3" t="s">
        <v>579</v>
      </c>
      <c r="AO2" s="3" t="s">
        <v>1139</v>
      </c>
      <c r="AP2" s="3" t="s">
        <v>1141</v>
      </c>
      <c r="AQ2" s="3" t="s">
        <v>570</v>
      </c>
      <c r="AR2" s="3" t="s">
        <v>1142</v>
      </c>
      <c r="AS2" s="3" t="s">
        <v>1139</v>
      </c>
      <c r="AT2" s="3" t="s">
        <v>579</v>
      </c>
      <c r="AU2" s="3" t="s">
        <v>1139</v>
      </c>
      <c r="AV2" s="3" t="s">
        <v>1141</v>
      </c>
    </row>
    <row r="3" spans="1:48">
      <c r="A3" s="2">
        <v>9.9400000000000002E-2</v>
      </c>
      <c r="B3" s="2">
        <v>3.2429269999999999</v>
      </c>
      <c r="C3" s="2">
        <v>0.32140000000000002</v>
      </c>
      <c r="D3" s="2">
        <v>8.1150939999999991</v>
      </c>
      <c r="E3" s="2">
        <v>0.32040000000000002</v>
      </c>
      <c r="F3" s="2">
        <v>13.727209999999999</v>
      </c>
      <c r="G3" s="2">
        <v>9.9400000000000002E-2</v>
      </c>
      <c r="H3" s="2">
        <v>11.030329999999999</v>
      </c>
      <c r="I3" s="2">
        <v>0.32140000000000002</v>
      </c>
      <c r="J3" s="2">
        <v>1.2839499999999999</v>
      </c>
      <c r="K3" s="2">
        <v>0.32040000000000002</v>
      </c>
      <c r="L3" s="2">
        <v>5.0856620000000001</v>
      </c>
      <c r="M3" s="2">
        <v>9.9400000000000002E-2</v>
      </c>
      <c r="N3" s="2">
        <v>12.43627</v>
      </c>
      <c r="O3" s="2">
        <v>0.32140000000000002</v>
      </c>
      <c r="P3" s="2">
        <v>10.91948</v>
      </c>
      <c r="Q3" s="2">
        <v>0.32040000000000002</v>
      </c>
      <c r="R3" s="2">
        <v>14.37649</v>
      </c>
      <c r="S3" s="2">
        <v>9.9400000000000002E-2</v>
      </c>
      <c r="T3" s="2">
        <v>35.129882989999999</v>
      </c>
      <c r="U3" s="2">
        <v>0.32140000000000002</v>
      </c>
      <c r="V3" s="2">
        <v>20.266210000000001</v>
      </c>
      <c r="W3" s="2">
        <v>0.32040000000000002</v>
      </c>
      <c r="X3" s="2">
        <v>34.457639999999998</v>
      </c>
      <c r="Y3" s="2">
        <v>9.9400000000000002E-2</v>
      </c>
      <c r="Z3" s="2">
        <v>0.14876500000000001</v>
      </c>
      <c r="AA3" s="2">
        <v>0.32140000000000002</v>
      </c>
      <c r="AB3" s="2">
        <v>10.109400000000001</v>
      </c>
      <c r="AC3" s="2">
        <v>0.32040000000000002</v>
      </c>
      <c r="AD3" s="2">
        <v>5.2325220000000003</v>
      </c>
      <c r="AE3" s="2">
        <v>9.9400000000000002E-2</v>
      </c>
      <c r="AF3" s="2">
        <v>27.091750000000001</v>
      </c>
      <c r="AG3" s="2">
        <v>0.32140000000000002</v>
      </c>
      <c r="AH3" s="2">
        <v>5.7811349999999999</v>
      </c>
      <c r="AI3" s="2">
        <v>0.32040000000000002</v>
      </c>
      <c r="AJ3" s="2">
        <v>29.84122</v>
      </c>
      <c r="AK3" s="2">
        <v>9.9400000000000002E-2</v>
      </c>
      <c r="AL3" s="2">
        <v>1.435832</v>
      </c>
      <c r="AM3" s="2">
        <v>0.32140000000000002</v>
      </c>
      <c r="AN3" s="2">
        <v>3.2891569999999999</v>
      </c>
      <c r="AO3" s="2">
        <v>0.32040000000000002</v>
      </c>
      <c r="AP3" s="2">
        <v>3.4953240000000001</v>
      </c>
      <c r="AQ3" s="2">
        <v>9.9400000000000002E-2</v>
      </c>
      <c r="AR3" s="2">
        <v>0.72822399999999998</v>
      </c>
      <c r="AS3" s="2">
        <v>0.32140000000000002</v>
      </c>
      <c r="AT3" s="2">
        <v>6.8182479999999996</v>
      </c>
      <c r="AU3" s="2">
        <v>0.32040000000000002</v>
      </c>
      <c r="AV3" s="2">
        <v>2.3552270000000002</v>
      </c>
    </row>
    <row r="4" spans="1:48">
      <c r="A4" s="2">
        <v>0.2104</v>
      </c>
      <c r="B4" s="2">
        <v>6.964836</v>
      </c>
      <c r="C4" s="2">
        <v>0.35099999999999998</v>
      </c>
      <c r="D4" s="2">
        <v>7.8662590000000003</v>
      </c>
      <c r="E4" s="2">
        <v>0.376</v>
      </c>
      <c r="F4" s="2">
        <v>2.8228599999999999</v>
      </c>
      <c r="G4" s="2">
        <v>0.2104</v>
      </c>
      <c r="H4" s="2">
        <v>5.6460000000000003E-2</v>
      </c>
      <c r="I4" s="2">
        <v>0.35099999999999998</v>
      </c>
      <c r="J4" s="2">
        <v>0.103348</v>
      </c>
      <c r="K4" s="2">
        <v>0.376</v>
      </c>
      <c r="L4" s="2">
        <v>9.4798650000000002</v>
      </c>
      <c r="M4" s="2">
        <v>0.2104</v>
      </c>
      <c r="N4" s="2">
        <v>19.345199999999998</v>
      </c>
      <c r="O4" s="2">
        <v>0.35099999999999998</v>
      </c>
      <c r="P4" s="2">
        <v>18.769570000000002</v>
      </c>
      <c r="Q4" s="2">
        <v>0.376</v>
      </c>
      <c r="R4" s="2">
        <v>13.518520000000001</v>
      </c>
      <c r="S4" s="2">
        <v>0.2104</v>
      </c>
      <c r="T4" s="2">
        <v>10.025568010000001</v>
      </c>
      <c r="U4" s="2">
        <v>0.35099999999999998</v>
      </c>
      <c r="V4" s="2">
        <v>24.50911</v>
      </c>
      <c r="W4" s="2">
        <v>0.376</v>
      </c>
      <c r="X4" s="2">
        <v>22.444120000000002</v>
      </c>
      <c r="Y4" s="2">
        <v>0.2104</v>
      </c>
      <c r="Z4" s="2">
        <v>20.949850000000001</v>
      </c>
      <c r="AA4" s="2">
        <v>0.35099999999999998</v>
      </c>
      <c r="AB4" s="2">
        <v>9.5917539999999999</v>
      </c>
      <c r="AC4" s="2">
        <v>0.376</v>
      </c>
      <c r="AD4" s="2">
        <v>7.5590919999999997</v>
      </c>
      <c r="AE4" s="2">
        <v>0.2104</v>
      </c>
      <c r="AF4" s="2">
        <v>17.21866</v>
      </c>
      <c r="AG4" s="2">
        <v>0.35099999999999998</v>
      </c>
      <c r="AH4" s="2">
        <v>15.18417</v>
      </c>
      <c r="AI4" s="2">
        <v>0.376</v>
      </c>
      <c r="AJ4" s="2">
        <v>31.725280000000001</v>
      </c>
      <c r="AK4" s="2">
        <v>0.2104</v>
      </c>
      <c r="AL4" s="2">
        <v>1.673559</v>
      </c>
      <c r="AM4" s="2">
        <v>0.35099999999999998</v>
      </c>
      <c r="AN4" s="2">
        <v>3.0094449999999999</v>
      </c>
      <c r="AO4" s="2">
        <v>0.376</v>
      </c>
      <c r="AP4" s="2">
        <v>4.0054689999999997</v>
      </c>
      <c r="AQ4" s="2">
        <v>0.2104</v>
      </c>
      <c r="AR4" s="2">
        <v>8.5156320000000001</v>
      </c>
      <c r="AS4" s="2">
        <v>0.35099999999999998</v>
      </c>
      <c r="AT4" s="2">
        <v>1.291215</v>
      </c>
      <c r="AU4" s="2">
        <v>0.376</v>
      </c>
      <c r="AV4" s="2">
        <v>5.1822800000000004</v>
      </c>
    </row>
    <row r="5" spans="1:48">
      <c r="A5" s="2">
        <v>5.3400000000000003E-2</v>
      </c>
      <c r="B5" s="2">
        <v>9.0560890000000001</v>
      </c>
      <c r="C5" s="10" t="s">
        <v>573</v>
      </c>
      <c r="D5" s="10" t="s">
        <v>574</v>
      </c>
      <c r="E5" s="2">
        <v>0.36099999999999999</v>
      </c>
      <c r="F5" s="2">
        <v>2.9330050000000001</v>
      </c>
      <c r="G5" s="2">
        <v>5.3400000000000003E-2</v>
      </c>
      <c r="H5" s="2">
        <v>6.7603999999999997E-2</v>
      </c>
      <c r="I5" s="10" t="s">
        <v>573</v>
      </c>
      <c r="J5" s="10" t="s">
        <v>580</v>
      </c>
      <c r="K5" s="2">
        <v>0.36099999999999999</v>
      </c>
      <c r="L5" s="2">
        <v>6.5523290000000003</v>
      </c>
      <c r="M5" s="2">
        <v>5.3400000000000003E-2</v>
      </c>
      <c r="N5" s="2">
        <v>0.367919</v>
      </c>
      <c r="O5" s="10" t="s">
        <v>573</v>
      </c>
      <c r="P5" s="10" t="s">
        <v>1143</v>
      </c>
      <c r="Q5" s="2">
        <v>0.36099999999999999</v>
      </c>
      <c r="R5" s="2">
        <v>20.21997</v>
      </c>
      <c r="S5" s="2">
        <v>5.3400000000000003E-2</v>
      </c>
      <c r="T5" s="2">
        <v>36.110505789999998</v>
      </c>
      <c r="U5" s="10" t="s">
        <v>573</v>
      </c>
      <c r="V5" s="10" t="s">
        <v>1144</v>
      </c>
      <c r="W5" s="2">
        <v>0.36099999999999999</v>
      </c>
      <c r="X5" s="2">
        <v>34.563920000000003</v>
      </c>
      <c r="Y5" s="2">
        <v>5.3400000000000003E-2</v>
      </c>
      <c r="Z5" s="2">
        <v>12.707420000000001</v>
      </c>
      <c r="AA5" s="10" t="s">
        <v>573</v>
      </c>
      <c r="AB5" s="10" t="s">
        <v>1145</v>
      </c>
      <c r="AC5" s="2">
        <v>0.36099999999999999</v>
      </c>
      <c r="AD5" s="2">
        <v>7.4199609999999998</v>
      </c>
      <c r="AE5" s="2">
        <v>5.3400000000000003E-2</v>
      </c>
      <c r="AF5" s="2">
        <v>16.750630000000001</v>
      </c>
      <c r="AG5" s="10" t="s">
        <v>573</v>
      </c>
      <c r="AH5" s="10" t="s">
        <v>1146</v>
      </c>
      <c r="AI5" s="2">
        <v>0.36099999999999999</v>
      </c>
      <c r="AJ5" s="2">
        <v>30.863440000000001</v>
      </c>
      <c r="AK5" s="2">
        <v>5.3400000000000003E-2</v>
      </c>
      <c r="AL5" s="2">
        <v>5.1999999999999998E-3</v>
      </c>
      <c r="AM5" s="10" t="s">
        <v>573</v>
      </c>
      <c r="AN5" s="10" t="s">
        <v>1147</v>
      </c>
      <c r="AO5" s="2">
        <v>0.36099999999999999</v>
      </c>
      <c r="AP5" s="2">
        <v>3.9919419999999999</v>
      </c>
      <c r="AQ5" s="2">
        <v>5.3400000000000003E-2</v>
      </c>
      <c r="AR5" s="2">
        <v>10.120290000000001</v>
      </c>
      <c r="AS5" s="10" t="s">
        <v>573</v>
      </c>
      <c r="AT5" s="10" t="s">
        <v>1148</v>
      </c>
      <c r="AU5" s="2">
        <v>0.36099999999999999</v>
      </c>
      <c r="AV5" s="2">
        <v>8.5059520000000006</v>
      </c>
    </row>
    <row r="6" spans="1:48">
      <c r="A6" s="2">
        <v>0.2112</v>
      </c>
      <c r="B6" s="2">
        <v>5.9099240000000002</v>
      </c>
      <c r="C6" s="10" t="s">
        <v>575</v>
      </c>
      <c r="D6" s="10" t="s">
        <v>576</v>
      </c>
      <c r="E6" s="2">
        <v>0.35620000000000002</v>
      </c>
      <c r="F6" s="2">
        <v>8.5059520000000006</v>
      </c>
      <c r="G6" s="2">
        <v>0.2112</v>
      </c>
      <c r="H6" s="2">
        <v>7.980747</v>
      </c>
      <c r="I6" s="10" t="s">
        <v>575</v>
      </c>
      <c r="J6" s="10" t="s">
        <v>581</v>
      </c>
      <c r="K6" s="2">
        <v>0.35620000000000002</v>
      </c>
      <c r="L6" s="2">
        <v>5.2325220000000003</v>
      </c>
      <c r="M6" s="2">
        <v>0.2112</v>
      </c>
      <c r="N6" s="2">
        <v>17.21866</v>
      </c>
      <c r="O6" s="10" t="s">
        <v>575</v>
      </c>
      <c r="P6" s="10" t="s">
        <v>1149</v>
      </c>
      <c r="Q6" s="2">
        <v>0.35620000000000002</v>
      </c>
      <c r="R6" s="2">
        <v>20.407409999999999</v>
      </c>
      <c r="S6" s="2">
        <v>0.2112</v>
      </c>
      <c r="T6" s="2">
        <v>23.319692939999999</v>
      </c>
      <c r="U6" s="10" t="s">
        <v>575</v>
      </c>
      <c r="V6" s="10" t="s">
        <v>1150</v>
      </c>
      <c r="W6" s="2">
        <v>0.35620000000000002</v>
      </c>
      <c r="X6" s="2">
        <v>35.528170000000003</v>
      </c>
      <c r="Y6" s="2">
        <v>0.2112</v>
      </c>
      <c r="Z6" s="2">
        <v>9.2826719999999998</v>
      </c>
      <c r="AA6" s="10" t="s">
        <v>575</v>
      </c>
      <c r="AB6" s="10" t="s">
        <v>1151</v>
      </c>
      <c r="AC6" s="2">
        <v>0.35620000000000002</v>
      </c>
      <c r="AD6" s="2">
        <v>8.4537779999999998</v>
      </c>
      <c r="AE6" s="2">
        <v>0.2112</v>
      </c>
      <c r="AF6" s="2">
        <v>0.182195</v>
      </c>
      <c r="AG6" s="10" t="s">
        <v>575</v>
      </c>
      <c r="AH6" s="10" t="s">
        <v>1152</v>
      </c>
      <c r="AI6" s="2">
        <v>0.35620000000000002</v>
      </c>
      <c r="AJ6" s="2">
        <v>21.043150000000001</v>
      </c>
      <c r="AK6" s="2">
        <v>0.2112</v>
      </c>
      <c r="AL6" s="2">
        <v>2.360738</v>
      </c>
      <c r="AM6" s="10" t="s">
        <v>575</v>
      </c>
      <c r="AN6" s="10" t="s">
        <v>1153</v>
      </c>
      <c r="AO6" s="2">
        <v>0.35620000000000002</v>
      </c>
      <c r="AP6" s="2">
        <v>3.8798650000000001</v>
      </c>
      <c r="AQ6" s="2">
        <v>0.2112</v>
      </c>
      <c r="AR6" s="2">
        <v>8.0290350000000004</v>
      </c>
      <c r="AS6" s="10" t="s">
        <v>575</v>
      </c>
      <c r="AT6" s="10" t="s">
        <v>1154</v>
      </c>
      <c r="AU6" s="2">
        <v>0.35620000000000002</v>
      </c>
      <c r="AV6" s="2">
        <v>6.7378359999999997</v>
      </c>
    </row>
    <row r="7" spans="1:48">
      <c r="A7" s="2">
        <v>0.20660000000000001</v>
      </c>
      <c r="B7" s="2">
        <v>6.5469569999999999</v>
      </c>
      <c r="C7" s="2">
        <v>0.32279999999999998</v>
      </c>
      <c r="D7" s="2">
        <v>6.9907969999999997</v>
      </c>
      <c r="E7" s="2">
        <v>0.32819999999999999</v>
      </c>
      <c r="F7" s="2">
        <v>7.9938739999999999</v>
      </c>
      <c r="G7" s="2">
        <v>0.20660000000000001</v>
      </c>
      <c r="H7" s="2">
        <v>4.1230999999999997E-2</v>
      </c>
      <c r="I7" s="2">
        <v>0.32279999999999998</v>
      </c>
      <c r="J7" s="2">
        <v>7.0779800000000002</v>
      </c>
      <c r="K7" s="2">
        <v>0.32819999999999999</v>
      </c>
      <c r="L7" s="2">
        <v>6.9078840000000001</v>
      </c>
      <c r="M7" s="2">
        <v>0.20660000000000001</v>
      </c>
      <c r="N7" s="2">
        <v>16.956790000000002</v>
      </c>
      <c r="O7" s="2">
        <v>0.32279999999999998</v>
      </c>
      <c r="P7" s="2">
        <v>10.785069999999999</v>
      </c>
      <c r="Q7" s="2">
        <v>0.32819999999999999</v>
      </c>
      <c r="R7" s="2">
        <v>8.1446050000000003</v>
      </c>
      <c r="S7" s="2">
        <v>0.20660000000000001</v>
      </c>
      <c r="T7" s="2">
        <v>35.889494210000002</v>
      </c>
      <c r="U7" s="2">
        <v>0.32279999999999998</v>
      </c>
      <c r="V7" s="2">
        <v>4.0683540000000002</v>
      </c>
      <c r="W7" s="2">
        <v>0.32819999999999999</v>
      </c>
      <c r="X7" s="2">
        <v>22.650880000000001</v>
      </c>
      <c r="Y7" s="2">
        <v>0.20660000000000001</v>
      </c>
      <c r="Z7" s="2">
        <v>12.28397</v>
      </c>
      <c r="AA7" s="2">
        <v>0.32279999999999998</v>
      </c>
      <c r="AB7" s="2">
        <v>8.0133799999999997</v>
      </c>
      <c r="AC7" s="2">
        <v>0.32819999999999999</v>
      </c>
      <c r="AD7" s="2">
        <v>6.9948410000000001</v>
      </c>
      <c r="AE7" s="2">
        <v>0.20660000000000001</v>
      </c>
      <c r="AF7" s="2">
        <v>17.32452</v>
      </c>
      <c r="AG7" s="2">
        <v>0.32279999999999998</v>
      </c>
      <c r="AH7" s="2">
        <v>16.44651</v>
      </c>
      <c r="AI7" s="2">
        <v>0.32819999999999999</v>
      </c>
      <c r="AJ7" s="2">
        <v>30.48856</v>
      </c>
      <c r="AK7" s="2">
        <v>0.20660000000000001</v>
      </c>
      <c r="AL7" s="2">
        <v>1.352257</v>
      </c>
      <c r="AM7" s="2">
        <v>0.32279999999999998</v>
      </c>
      <c r="AN7" s="2">
        <v>3.1166070000000001</v>
      </c>
      <c r="AO7" s="2">
        <v>0.32819999999999999</v>
      </c>
      <c r="AP7" s="2">
        <v>3.7465310000000001</v>
      </c>
      <c r="AQ7" s="2">
        <v>0.20660000000000001</v>
      </c>
      <c r="AR7" s="2">
        <v>8.1553269999999998</v>
      </c>
      <c r="AS7" s="2">
        <v>0.32279999999999998</v>
      </c>
      <c r="AT7" s="2">
        <v>1.100503</v>
      </c>
      <c r="AU7" s="2">
        <v>0.32819999999999999</v>
      </c>
      <c r="AV7" s="2">
        <v>4.6740680000000001</v>
      </c>
    </row>
    <row r="8" spans="1:48">
      <c r="A8" s="2">
        <v>8.1799999999999998E-2</v>
      </c>
      <c r="B8" s="2">
        <v>6.6082460000000003</v>
      </c>
      <c r="C8" s="2">
        <v>0.33579999999999999</v>
      </c>
      <c r="D8" s="2">
        <v>6.8400439999999998</v>
      </c>
      <c r="E8" s="2">
        <v>0.31419999999999998</v>
      </c>
      <c r="F8" s="2">
        <v>3.0470139999999999</v>
      </c>
      <c r="G8" s="2">
        <v>8.1799999999999998E-2</v>
      </c>
      <c r="H8" s="2">
        <v>6.3278030000000003</v>
      </c>
      <c r="I8" s="2">
        <v>0.33579999999999999</v>
      </c>
      <c r="J8" s="2">
        <v>0.711812</v>
      </c>
      <c r="K8" s="2">
        <v>0.31419999999999998</v>
      </c>
      <c r="L8" s="2">
        <v>9.2769659999999998</v>
      </c>
      <c r="M8" s="2">
        <v>8.1799999999999998E-2</v>
      </c>
      <c r="N8" s="2">
        <v>16.444189999999999</v>
      </c>
      <c r="O8" s="2">
        <v>0.33579999999999999</v>
      </c>
      <c r="P8" s="2">
        <v>17.543559999999999</v>
      </c>
      <c r="Q8" s="2">
        <v>0.31419999999999998</v>
      </c>
      <c r="R8" s="2">
        <v>20.660550000000001</v>
      </c>
      <c r="S8" s="2">
        <v>8.1799999999999998E-2</v>
      </c>
      <c r="T8" s="2">
        <v>8.0047049999999995E-2</v>
      </c>
      <c r="U8" s="2">
        <v>0.33579999999999999</v>
      </c>
      <c r="V8" s="2">
        <v>22.21874</v>
      </c>
      <c r="W8" s="2">
        <v>0.31419999999999998</v>
      </c>
      <c r="X8" s="2">
        <v>23.000640000000001</v>
      </c>
      <c r="Y8" s="2">
        <v>8.1799999999999998E-2</v>
      </c>
      <c r="Z8" s="2">
        <v>18.028420000000001</v>
      </c>
      <c r="AA8" s="2">
        <v>0.33579999999999999</v>
      </c>
      <c r="AB8" s="2">
        <v>7.650118</v>
      </c>
      <c r="AC8" s="2">
        <v>0.31419999999999998</v>
      </c>
      <c r="AD8" s="2">
        <v>8.0943570000000005</v>
      </c>
      <c r="AE8" s="2">
        <v>8.1799999999999998E-2</v>
      </c>
      <c r="AF8" s="2">
        <v>25.405370000000001</v>
      </c>
      <c r="AG8" s="2">
        <v>0.33579999999999999</v>
      </c>
      <c r="AH8" s="2">
        <v>25.34825</v>
      </c>
      <c r="AI8" s="2">
        <v>0.31419999999999998</v>
      </c>
      <c r="AJ8" s="2">
        <v>17.23639</v>
      </c>
      <c r="AK8" s="2">
        <v>8.1799999999999998E-2</v>
      </c>
      <c r="AL8" s="2">
        <v>3.7100000000000002E-4</v>
      </c>
      <c r="AM8" s="2">
        <v>0.33579999999999999</v>
      </c>
      <c r="AN8" s="2">
        <v>2.9059149999999998</v>
      </c>
      <c r="AO8" s="2">
        <v>0.31419999999999998</v>
      </c>
      <c r="AP8" s="2">
        <v>4.2663380000000002</v>
      </c>
      <c r="AQ8" s="2">
        <v>8.1799999999999998E-2</v>
      </c>
      <c r="AR8" s="2">
        <v>8.5156320000000001</v>
      </c>
      <c r="AS8" s="2">
        <v>0.33579999999999999</v>
      </c>
      <c r="AT8" s="2">
        <v>0.90252500000000002</v>
      </c>
      <c r="AU8" s="2">
        <v>0.31419999999999998</v>
      </c>
      <c r="AV8" s="2">
        <v>8.7185120000000005</v>
      </c>
    </row>
    <row r="9" spans="1:48">
      <c r="A9" s="2">
        <v>0.25280000000000002</v>
      </c>
      <c r="B9" s="2">
        <v>4.0025380000000004</v>
      </c>
      <c r="C9" s="2">
        <v>0.33100000000000002</v>
      </c>
      <c r="D9" s="2">
        <v>7.8662590000000003</v>
      </c>
      <c r="E9" s="2">
        <v>0.31340000000000001</v>
      </c>
      <c r="F9" s="2">
        <v>3.3523290000000001</v>
      </c>
      <c r="G9" s="2">
        <v>0.25280000000000002</v>
      </c>
      <c r="H9" s="2">
        <v>8.0290350000000004</v>
      </c>
      <c r="I9" s="2">
        <v>0.33100000000000002</v>
      </c>
      <c r="J9" s="2">
        <v>0.250469</v>
      </c>
      <c r="K9" s="2">
        <v>0.31340000000000001</v>
      </c>
      <c r="L9" s="2">
        <v>5.6228600000000002</v>
      </c>
      <c r="M9" s="2">
        <v>0.25280000000000002</v>
      </c>
      <c r="N9" s="2">
        <v>0.271343</v>
      </c>
      <c r="O9" s="2">
        <v>0.33100000000000002</v>
      </c>
      <c r="P9" s="2">
        <v>11.722289999999999</v>
      </c>
      <c r="Q9" s="2">
        <v>0.31340000000000001</v>
      </c>
      <c r="R9" s="2">
        <v>21.56683</v>
      </c>
      <c r="S9" s="2">
        <v>0.25280000000000002</v>
      </c>
      <c r="T9" s="2">
        <v>8.4877731690000005</v>
      </c>
      <c r="U9" s="2">
        <v>0.33100000000000002</v>
      </c>
      <c r="V9" s="2">
        <v>27.031970000000001</v>
      </c>
      <c r="W9" s="2">
        <v>0.31340000000000001</v>
      </c>
      <c r="X9" s="2">
        <v>35.097259999999999</v>
      </c>
      <c r="Y9" s="2">
        <v>0.25280000000000002</v>
      </c>
      <c r="Z9" s="2">
        <v>11.65808</v>
      </c>
      <c r="AA9" s="2">
        <v>0.33100000000000002</v>
      </c>
      <c r="AB9" s="2">
        <v>9.9223219999999994</v>
      </c>
      <c r="AC9" s="2">
        <v>0.31340000000000001</v>
      </c>
      <c r="AD9" s="2">
        <v>8.8286569999999998</v>
      </c>
      <c r="AE9" s="2">
        <v>0.25280000000000002</v>
      </c>
      <c r="AF9" s="2">
        <v>24.714479999999998</v>
      </c>
      <c r="AG9" s="2">
        <v>0.33100000000000002</v>
      </c>
      <c r="AH9" s="2">
        <v>15.276809999999999</v>
      </c>
      <c r="AI9" s="2">
        <v>0.31340000000000001</v>
      </c>
      <c r="AJ9" s="2">
        <v>16.714649999999999</v>
      </c>
      <c r="AK9" s="2">
        <v>0.25280000000000002</v>
      </c>
      <c r="AL9" s="2">
        <v>1.7794220000000001</v>
      </c>
      <c r="AM9" s="2">
        <v>0.33100000000000002</v>
      </c>
      <c r="AN9" s="2">
        <v>0.48659000000000002</v>
      </c>
      <c r="AO9" s="2">
        <v>0.31340000000000001</v>
      </c>
      <c r="AP9" s="2">
        <v>4.0808309999999999</v>
      </c>
      <c r="AQ9" s="2">
        <v>0.25280000000000002</v>
      </c>
      <c r="AR9" s="2">
        <v>0.60936000000000001</v>
      </c>
      <c r="AS9" s="2">
        <v>0.33100000000000002</v>
      </c>
      <c r="AT9" s="2">
        <v>7.370406</v>
      </c>
      <c r="AU9" s="2">
        <v>0.31340000000000001</v>
      </c>
      <c r="AV9" s="2">
        <v>8.3494299999999999</v>
      </c>
    </row>
    <row r="10" spans="1:48">
      <c r="A10" s="2">
        <v>6.9599999999999995E-2</v>
      </c>
      <c r="B10" s="2">
        <v>0.23977000000000001</v>
      </c>
      <c r="C10" s="2">
        <v>0.311</v>
      </c>
      <c r="D10" s="2">
        <v>7.4394260000000001</v>
      </c>
      <c r="E10" s="2">
        <v>0.3322</v>
      </c>
      <c r="F10" s="2">
        <v>3.4296229999999999</v>
      </c>
      <c r="G10" s="2">
        <v>6.9599999999999995E-2</v>
      </c>
      <c r="H10" s="2">
        <v>12.668419999999999</v>
      </c>
      <c r="I10" s="2">
        <v>0.311</v>
      </c>
      <c r="J10" s="2">
        <v>8.8817999999999994E-2</v>
      </c>
      <c r="K10" s="2">
        <v>0.3322</v>
      </c>
      <c r="L10" s="2">
        <v>9.5977390000000007</v>
      </c>
      <c r="M10" s="2">
        <v>6.9599999999999995E-2</v>
      </c>
      <c r="N10" s="2">
        <v>0.56850100000000003</v>
      </c>
      <c r="O10" s="2">
        <v>0.311</v>
      </c>
      <c r="P10" s="2">
        <v>11.651450000000001</v>
      </c>
      <c r="Q10" s="2">
        <v>0.3322</v>
      </c>
      <c r="R10" s="2">
        <v>21.10886</v>
      </c>
      <c r="S10" s="2">
        <v>6.9599999999999995E-2</v>
      </c>
      <c r="T10" s="2">
        <v>15.41899338</v>
      </c>
      <c r="U10" s="2">
        <v>0.311</v>
      </c>
      <c r="V10" s="2">
        <v>11.722289999999999</v>
      </c>
      <c r="W10" s="2">
        <v>0.3322</v>
      </c>
      <c r="X10" s="2">
        <v>11.58808</v>
      </c>
      <c r="Y10" s="2">
        <v>6.9599999999999995E-2</v>
      </c>
      <c r="Z10" s="2">
        <v>0.202625</v>
      </c>
      <c r="AA10" s="2">
        <v>0.311</v>
      </c>
      <c r="AB10" s="2">
        <v>10.014950000000001</v>
      </c>
      <c r="AC10" s="2">
        <v>0.3322</v>
      </c>
      <c r="AD10" s="2">
        <v>9.0218939999999996</v>
      </c>
      <c r="AE10" s="2">
        <v>6.9599999999999995E-2</v>
      </c>
      <c r="AF10" s="2">
        <v>17.37838</v>
      </c>
      <c r="AG10" s="2">
        <v>0.311</v>
      </c>
      <c r="AH10" s="2">
        <v>6.2697219999999998</v>
      </c>
      <c r="AI10" s="2">
        <v>0.3322</v>
      </c>
      <c r="AJ10" s="2">
        <v>22.581309999999998</v>
      </c>
      <c r="AK10" s="2">
        <v>6.9599999999999995E-2</v>
      </c>
      <c r="AL10" s="2">
        <v>4.3015540000000003</v>
      </c>
      <c r="AM10" s="2">
        <v>0.311</v>
      </c>
      <c r="AN10" s="2">
        <v>3.0566689999999999</v>
      </c>
      <c r="AO10" s="2">
        <v>0.3322</v>
      </c>
      <c r="AP10" s="2">
        <v>4.4305890000000003</v>
      </c>
      <c r="AQ10" s="2">
        <v>6.9599999999999995E-2</v>
      </c>
      <c r="AR10" s="2">
        <v>11.269920000000001</v>
      </c>
      <c r="AS10" s="2">
        <v>0.311</v>
      </c>
      <c r="AT10" s="2">
        <v>1.2839499999999999</v>
      </c>
      <c r="AU10" s="2">
        <v>0.3322</v>
      </c>
      <c r="AV10" s="2">
        <v>10.335900000000001</v>
      </c>
    </row>
    <row r="11" spans="1:48">
      <c r="A11" s="2">
        <v>0.08</v>
      </c>
      <c r="B11" s="2">
        <v>7.7374479999999997</v>
      </c>
      <c r="C11" s="2">
        <v>0.3382</v>
      </c>
      <c r="D11" s="2">
        <v>0.68456700000000004</v>
      </c>
      <c r="E11" s="2">
        <v>0.30880000000000002</v>
      </c>
      <c r="F11" s="2">
        <v>9.1629570000000005</v>
      </c>
      <c r="G11" s="2">
        <v>0.08</v>
      </c>
      <c r="H11" s="2">
        <v>12.62942</v>
      </c>
      <c r="I11" s="2">
        <v>0.3382</v>
      </c>
      <c r="J11" s="2">
        <v>7.7209539999999999</v>
      </c>
      <c r="K11" s="2">
        <v>0.30880000000000002</v>
      </c>
      <c r="L11" s="2">
        <v>7.2595749999999999</v>
      </c>
      <c r="M11" s="2">
        <v>0.08</v>
      </c>
      <c r="N11" s="2">
        <v>0.548072</v>
      </c>
      <c r="O11" s="2">
        <v>0.3382</v>
      </c>
      <c r="P11" s="2">
        <v>18.09027</v>
      </c>
      <c r="Q11" s="2">
        <v>0.30880000000000002</v>
      </c>
      <c r="R11" s="2">
        <v>20.660550000000001</v>
      </c>
      <c r="S11" s="2">
        <v>0.08</v>
      </c>
      <c r="T11" s="2">
        <v>14.770816569999999</v>
      </c>
      <c r="U11" s="2">
        <v>0.3382</v>
      </c>
      <c r="V11" s="2">
        <v>10.490830000000001</v>
      </c>
      <c r="W11" s="2">
        <v>0.30880000000000002</v>
      </c>
      <c r="X11" s="2">
        <v>23.499189999999999</v>
      </c>
      <c r="Y11" s="2">
        <v>0.08</v>
      </c>
      <c r="Z11" s="2">
        <v>0.224912</v>
      </c>
      <c r="AA11" s="2">
        <v>0.3382</v>
      </c>
      <c r="AB11" s="2">
        <v>8.3439490000000003</v>
      </c>
      <c r="AC11" s="2">
        <v>0.30880000000000002</v>
      </c>
      <c r="AD11" s="2">
        <v>8.9098159999999993</v>
      </c>
      <c r="AE11" s="2">
        <v>0.08</v>
      </c>
      <c r="AF11" s="2">
        <v>0.15990799999999999</v>
      </c>
      <c r="AG11" s="2">
        <v>0.3382</v>
      </c>
      <c r="AH11" s="2">
        <v>16.700790000000001</v>
      </c>
      <c r="AI11" s="2">
        <v>0.30880000000000002</v>
      </c>
      <c r="AJ11" s="2">
        <v>17.13204</v>
      </c>
      <c r="AK11" s="2">
        <v>0.08</v>
      </c>
      <c r="AL11" s="2">
        <v>2.9123380000000001</v>
      </c>
      <c r="AM11" s="2">
        <v>0.3382</v>
      </c>
      <c r="AN11" s="2">
        <v>10.140280000000001</v>
      </c>
      <c r="AO11" s="2">
        <v>0.30880000000000002</v>
      </c>
      <c r="AP11" s="2">
        <v>4.119478</v>
      </c>
      <c r="AQ11" s="2">
        <v>0.08</v>
      </c>
      <c r="AR11" s="2">
        <v>11.58751</v>
      </c>
      <c r="AS11" s="2">
        <v>0.3382</v>
      </c>
      <c r="AT11" s="2">
        <v>7.9897679999999998</v>
      </c>
      <c r="AU11" s="2">
        <v>0.30880000000000002</v>
      </c>
      <c r="AV11" s="2">
        <v>7.7020869999999997</v>
      </c>
    </row>
    <row r="12" spans="1:48">
      <c r="A12" s="2">
        <v>0.18920000000000001</v>
      </c>
      <c r="B12" s="2">
        <v>0.10419100000000001</v>
      </c>
      <c r="C12" s="2">
        <v>0.2636</v>
      </c>
      <c r="D12" s="2">
        <v>0.36671300000000001</v>
      </c>
      <c r="E12" s="2">
        <v>0.33019999999999999</v>
      </c>
      <c r="F12" s="2">
        <v>3.2267250000000001</v>
      </c>
      <c r="G12" s="2">
        <v>0.18920000000000001</v>
      </c>
      <c r="H12" s="2">
        <v>5.4177549999999997</v>
      </c>
      <c r="I12" s="2">
        <v>0.2636</v>
      </c>
      <c r="J12" s="2">
        <v>6.6093719999999996</v>
      </c>
      <c r="K12" s="2">
        <v>0.33019999999999999</v>
      </c>
      <c r="L12" s="2">
        <v>5.5185120000000003</v>
      </c>
      <c r="M12" s="2">
        <v>0.18920000000000001</v>
      </c>
      <c r="N12" s="2">
        <v>22.409649999999999</v>
      </c>
      <c r="O12" s="2">
        <v>0.2636</v>
      </c>
      <c r="P12" s="2">
        <v>17.11673</v>
      </c>
      <c r="Q12" s="2">
        <v>0.33019999999999999</v>
      </c>
      <c r="R12" s="2">
        <v>19.97456</v>
      </c>
      <c r="S12" s="2">
        <v>0.18920000000000001</v>
      </c>
      <c r="T12" s="2">
        <v>0.12833529399999999</v>
      </c>
      <c r="U12" s="2">
        <v>0.2636</v>
      </c>
      <c r="V12" s="2">
        <v>24.81062</v>
      </c>
      <c r="W12" s="2">
        <v>0.33019999999999999</v>
      </c>
      <c r="X12" s="2">
        <v>11.76779</v>
      </c>
      <c r="Y12" s="2">
        <v>0.18920000000000001</v>
      </c>
      <c r="Z12" s="2">
        <v>18.36458</v>
      </c>
      <c r="AA12" s="2">
        <v>0.2636</v>
      </c>
      <c r="AB12" s="2">
        <v>7.3013859999999999</v>
      </c>
      <c r="AC12" s="2">
        <v>0.33019999999999999</v>
      </c>
      <c r="AD12" s="2">
        <v>7.3291399999999998</v>
      </c>
      <c r="AE12" s="2">
        <v>0.18920000000000001</v>
      </c>
      <c r="AF12" s="2">
        <v>0.21005399999999999</v>
      </c>
      <c r="AG12" s="2">
        <v>0.2636</v>
      </c>
      <c r="AH12" s="2">
        <v>16.49737</v>
      </c>
      <c r="AI12" s="2">
        <v>0.33019999999999999</v>
      </c>
      <c r="AJ12" s="2">
        <v>32.018999999999998</v>
      </c>
      <c r="AK12" s="2">
        <v>0.18920000000000001</v>
      </c>
      <c r="AL12" s="2">
        <v>1.9614309999999999</v>
      </c>
      <c r="AM12" s="2">
        <v>0.2636</v>
      </c>
      <c r="AN12" s="2">
        <v>2.4990619999999999</v>
      </c>
      <c r="AO12" s="2">
        <v>0.33019999999999999</v>
      </c>
      <c r="AP12" s="2">
        <v>4.1987050000000004</v>
      </c>
      <c r="AQ12" s="2">
        <v>0.18920000000000001</v>
      </c>
      <c r="AR12" s="2">
        <v>9.4553949999999993</v>
      </c>
      <c r="AS12" s="2">
        <v>0.2636</v>
      </c>
      <c r="AT12" s="2">
        <v>0.87891300000000006</v>
      </c>
      <c r="AU12" s="2">
        <v>0.33019999999999999</v>
      </c>
      <c r="AV12" s="2">
        <v>9.1900099999999991</v>
      </c>
    </row>
    <row r="13" spans="1:48">
      <c r="A13" s="2">
        <v>0.24340000000000001</v>
      </c>
      <c r="B13" s="2">
        <v>4.3424129999999996</v>
      </c>
      <c r="C13" s="2">
        <v>0.28739999999999999</v>
      </c>
      <c r="D13" s="2">
        <v>8.3439490000000003</v>
      </c>
      <c r="E13" s="2">
        <v>0.317</v>
      </c>
      <c r="F13" s="2">
        <v>8.2199609999999996</v>
      </c>
      <c r="G13" s="2">
        <v>0.24340000000000001</v>
      </c>
      <c r="H13" s="2">
        <v>7.8098809999999999</v>
      </c>
      <c r="I13" s="2">
        <v>0.28739999999999999</v>
      </c>
      <c r="J13" s="2">
        <v>0.83168900000000001</v>
      </c>
      <c r="K13" s="2">
        <v>0.317</v>
      </c>
      <c r="L13" s="2">
        <v>9.3040190000000003</v>
      </c>
      <c r="M13" s="2">
        <v>0.24340000000000001</v>
      </c>
      <c r="N13" s="2">
        <v>0.23048399999999999</v>
      </c>
      <c r="O13" s="2">
        <v>0.28739999999999999</v>
      </c>
      <c r="P13" s="2">
        <v>19.29448</v>
      </c>
      <c r="Q13" s="2">
        <v>0.317</v>
      </c>
      <c r="R13" s="2">
        <v>14.289529999999999</v>
      </c>
      <c r="S13" s="2">
        <v>0.24340000000000001</v>
      </c>
      <c r="T13" s="2">
        <v>16.44418993</v>
      </c>
      <c r="U13" s="2">
        <v>0.28739999999999999</v>
      </c>
      <c r="V13" s="2">
        <v>4.4425140000000001</v>
      </c>
      <c r="W13" s="2">
        <v>0.317</v>
      </c>
      <c r="X13" s="2">
        <v>23.427689999999998</v>
      </c>
      <c r="Y13" s="2">
        <v>0.24340000000000001</v>
      </c>
      <c r="Z13" s="2">
        <v>12.09639</v>
      </c>
      <c r="AA13" s="2">
        <v>0.28739999999999999</v>
      </c>
      <c r="AB13" s="2">
        <v>9.1558390000000003</v>
      </c>
      <c r="AC13" s="2">
        <v>0.317</v>
      </c>
      <c r="AD13" s="2">
        <v>8.1697199999999999</v>
      </c>
      <c r="AE13" s="2">
        <v>0.24340000000000001</v>
      </c>
      <c r="AF13" s="2">
        <v>25.56138</v>
      </c>
      <c r="AG13" s="2">
        <v>0.28739999999999999</v>
      </c>
      <c r="AH13" s="2">
        <v>16.649940000000001</v>
      </c>
      <c r="AI13" s="2">
        <v>0.317</v>
      </c>
      <c r="AJ13" s="2">
        <v>21.63252</v>
      </c>
      <c r="AK13" s="2">
        <v>0.24340000000000001</v>
      </c>
      <c r="AL13" s="2">
        <v>3.5419429999999998</v>
      </c>
      <c r="AM13" s="2">
        <v>0.28739999999999999</v>
      </c>
      <c r="AN13" s="2">
        <v>3.3636249999999999</v>
      </c>
      <c r="AO13" s="2">
        <v>0.317</v>
      </c>
      <c r="AP13" s="2">
        <v>3.9668209999999999</v>
      </c>
      <c r="AQ13" s="2">
        <v>0.24340000000000001</v>
      </c>
      <c r="AR13" s="2">
        <v>0.58521599999999996</v>
      </c>
      <c r="AS13" s="2">
        <v>0.28739999999999999</v>
      </c>
      <c r="AT13" s="2">
        <v>7.9152990000000001</v>
      </c>
      <c r="AU13" s="2">
        <v>0.317</v>
      </c>
      <c r="AV13" s="2">
        <v>5.4489470000000004</v>
      </c>
    </row>
    <row r="14" spans="1:48">
      <c r="A14" s="2">
        <v>0.23419999999999999</v>
      </c>
      <c r="B14" s="2">
        <v>9.0839470000000002</v>
      </c>
      <c r="C14" s="2">
        <v>0.33100000000000002</v>
      </c>
      <c r="D14" s="2">
        <v>7.0561850000000002</v>
      </c>
      <c r="E14" s="2">
        <v>0.33260000000000001</v>
      </c>
      <c r="F14" s="2">
        <v>13.897259999999999</v>
      </c>
      <c r="G14" s="2">
        <v>0.23419999999999999</v>
      </c>
      <c r="H14" s="2">
        <v>7.3864299999999998</v>
      </c>
      <c r="I14" s="2">
        <v>0.33100000000000002</v>
      </c>
      <c r="J14" s="2">
        <v>7.3013859999999999</v>
      </c>
      <c r="K14" s="2">
        <v>0.33260000000000001</v>
      </c>
      <c r="L14" s="2">
        <v>6.4904929999999998</v>
      </c>
      <c r="M14" s="2">
        <v>0.23419999999999999</v>
      </c>
      <c r="N14" s="2">
        <v>0.204482</v>
      </c>
      <c r="O14" s="2">
        <v>0.33100000000000002</v>
      </c>
      <c r="P14" s="2">
        <v>17.329239999999999</v>
      </c>
      <c r="Q14" s="2">
        <v>0.33260000000000001</v>
      </c>
      <c r="R14" s="2">
        <v>9.5977460000000008</v>
      </c>
      <c r="S14" s="2">
        <v>0.23419999999999999</v>
      </c>
      <c r="T14" s="2">
        <v>10.40444499</v>
      </c>
      <c r="U14" s="2">
        <v>0.33100000000000002</v>
      </c>
      <c r="V14" s="2">
        <v>9.35745</v>
      </c>
      <c r="W14" s="2">
        <v>0.33260000000000001</v>
      </c>
      <c r="X14" s="2">
        <v>23.284700000000001</v>
      </c>
      <c r="Y14" s="2">
        <v>0.23419999999999999</v>
      </c>
      <c r="Z14" s="2">
        <v>18.762029999999999</v>
      </c>
      <c r="AA14" s="2">
        <v>0.33100000000000002</v>
      </c>
      <c r="AB14" s="2">
        <v>7.0125929999999999</v>
      </c>
      <c r="AC14" s="2">
        <v>0.33260000000000001</v>
      </c>
      <c r="AD14" s="2">
        <v>5.0392849999999996</v>
      </c>
      <c r="AE14" s="2">
        <v>0.23419999999999999</v>
      </c>
      <c r="AF14" s="2">
        <v>19.644210000000001</v>
      </c>
      <c r="AG14" s="2">
        <v>0.33100000000000002</v>
      </c>
      <c r="AH14" s="2">
        <v>27.199069999999999</v>
      </c>
      <c r="AI14" s="2">
        <v>0.33260000000000001</v>
      </c>
      <c r="AJ14" s="2">
        <v>30.2103</v>
      </c>
      <c r="AK14" s="2">
        <v>0.23419999999999999</v>
      </c>
      <c r="AL14" s="2">
        <v>3.9041049999999999</v>
      </c>
      <c r="AM14" s="2">
        <v>0.33100000000000002</v>
      </c>
      <c r="AN14" s="2">
        <v>2.6806930000000002</v>
      </c>
      <c r="AO14" s="2">
        <v>0.33260000000000001</v>
      </c>
      <c r="AP14" s="2">
        <v>3.6885599999999998</v>
      </c>
      <c r="AQ14" s="2">
        <v>0.23419999999999999</v>
      </c>
      <c r="AR14" s="2">
        <v>9.2250979999999991</v>
      </c>
      <c r="AS14" s="2">
        <v>0.33100000000000002</v>
      </c>
      <c r="AT14" s="2">
        <v>6.1334989999999996</v>
      </c>
      <c r="AU14" s="2">
        <v>0.33260000000000001</v>
      </c>
      <c r="AV14" s="2">
        <v>5.5532950000000003</v>
      </c>
    </row>
    <row r="15" spans="1:48">
      <c r="A15" s="2">
        <v>7.0999999999999994E-2</v>
      </c>
      <c r="B15" s="2">
        <v>8.0550359999999994</v>
      </c>
      <c r="C15" s="2">
        <v>0.27400000000000002</v>
      </c>
      <c r="D15" s="2">
        <v>6.9036140000000001</v>
      </c>
      <c r="E15" s="2">
        <v>0.3236</v>
      </c>
      <c r="F15" s="2">
        <v>4.0170630000000003</v>
      </c>
      <c r="G15" s="2">
        <v>7.0999999999999994E-2</v>
      </c>
      <c r="H15" s="2">
        <v>5.3859999999999998E-2</v>
      </c>
      <c r="I15" s="2">
        <v>0.27400000000000002</v>
      </c>
      <c r="J15" s="2">
        <v>0.70091400000000004</v>
      </c>
      <c r="K15" s="2">
        <v>0.3236</v>
      </c>
      <c r="L15" s="2">
        <v>8.1445989999999995</v>
      </c>
      <c r="M15" s="2">
        <v>7.0999999999999994E-2</v>
      </c>
      <c r="N15" s="2">
        <v>17.48424</v>
      </c>
      <c r="O15" s="2">
        <v>0.27400000000000002</v>
      </c>
      <c r="P15" s="2">
        <v>10.852270000000001</v>
      </c>
      <c r="Q15" s="2">
        <v>0.3236</v>
      </c>
      <c r="R15" s="2">
        <v>15.28857</v>
      </c>
      <c r="S15" s="2">
        <v>7.0999999999999994E-2</v>
      </c>
      <c r="T15" s="2">
        <v>12.746424810000001</v>
      </c>
      <c r="U15" s="2">
        <v>0.27400000000000002</v>
      </c>
      <c r="V15" s="2">
        <v>26.621479999999998</v>
      </c>
      <c r="W15" s="2">
        <v>0.3236</v>
      </c>
      <c r="X15" s="2">
        <v>12.2103</v>
      </c>
      <c r="Y15" s="2">
        <v>7.0999999999999994E-2</v>
      </c>
      <c r="Z15" s="2">
        <v>13.6379</v>
      </c>
      <c r="AA15" s="2">
        <v>0.27400000000000002</v>
      </c>
      <c r="AB15" s="2">
        <v>9.0159839999999996</v>
      </c>
      <c r="AC15" s="2">
        <v>0.3236</v>
      </c>
      <c r="AD15" s="2">
        <v>8.4788990000000002</v>
      </c>
      <c r="AE15" s="2">
        <v>7.0999999999999994E-2</v>
      </c>
      <c r="AF15" s="2">
        <v>0.20633899999999999</v>
      </c>
      <c r="AG15" s="2">
        <v>0.27400000000000002</v>
      </c>
      <c r="AH15" s="2">
        <v>15.705450000000001</v>
      </c>
      <c r="AI15" s="2">
        <v>0.3236</v>
      </c>
      <c r="AJ15" s="2">
        <v>9.3909760000000002</v>
      </c>
      <c r="AK15" s="2">
        <v>7.0999999999999994E-2</v>
      </c>
      <c r="AL15" s="2">
        <v>1.114E-3</v>
      </c>
      <c r="AM15" s="2">
        <v>0.27400000000000002</v>
      </c>
      <c r="AN15" s="2">
        <v>2.1594120000000001</v>
      </c>
      <c r="AO15" s="2">
        <v>0.3236</v>
      </c>
      <c r="AP15" s="2">
        <v>4.279865</v>
      </c>
      <c r="AQ15" s="2">
        <v>7.0999999999999994E-2</v>
      </c>
      <c r="AR15" s="2">
        <v>10.372870000000001</v>
      </c>
      <c r="AS15" s="2">
        <v>0.27400000000000002</v>
      </c>
      <c r="AT15" s="2">
        <v>0.97517699999999996</v>
      </c>
      <c r="AU15" s="2">
        <v>0.3236</v>
      </c>
      <c r="AV15" s="2">
        <v>9.0489470000000001</v>
      </c>
    </row>
    <row r="16" spans="1:48">
      <c r="A16" s="2">
        <v>0.21959999999999999</v>
      </c>
      <c r="B16" s="2">
        <v>5.9470689999999999</v>
      </c>
      <c r="C16" s="2">
        <v>0.26800000000000002</v>
      </c>
      <c r="D16" s="2">
        <v>6.6729430000000001</v>
      </c>
      <c r="E16" s="2">
        <v>0.3196</v>
      </c>
      <c r="F16" s="2">
        <v>7.7252749999999999</v>
      </c>
      <c r="G16" s="2">
        <v>0.21959999999999999</v>
      </c>
      <c r="H16" s="2">
        <v>8.2054729999999996</v>
      </c>
      <c r="I16" s="2">
        <v>0.26800000000000002</v>
      </c>
      <c r="J16" s="2">
        <v>8.0642370000000003</v>
      </c>
      <c r="K16" s="2">
        <v>0.3196</v>
      </c>
      <c r="L16" s="2">
        <v>6.9078840000000001</v>
      </c>
      <c r="M16" s="2">
        <v>0.21959999999999999</v>
      </c>
      <c r="N16" s="2">
        <v>15.46542</v>
      </c>
      <c r="O16" s="2">
        <v>0.26800000000000002</v>
      </c>
      <c r="P16" s="2">
        <v>9.7098139999999997</v>
      </c>
      <c r="Q16" s="2">
        <v>0.3196</v>
      </c>
      <c r="R16" s="2">
        <v>17.665379999999999</v>
      </c>
      <c r="S16" s="2">
        <v>0.21959999999999999</v>
      </c>
      <c r="T16" s="2">
        <v>12.512412550000001</v>
      </c>
      <c r="U16" s="2">
        <v>0.26800000000000002</v>
      </c>
      <c r="V16" s="2">
        <v>3.5725009999999999</v>
      </c>
      <c r="W16" s="2">
        <v>0.3196</v>
      </c>
      <c r="X16" s="2">
        <v>22.511749999999999</v>
      </c>
      <c r="Y16" s="2">
        <v>0.21959999999999999</v>
      </c>
      <c r="Z16" s="2">
        <v>10.9969</v>
      </c>
      <c r="AA16" s="2">
        <v>0.26800000000000002</v>
      </c>
      <c r="AB16" s="2">
        <v>6.9254100000000003</v>
      </c>
      <c r="AC16" s="2">
        <v>0.3196</v>
      </c>
      <c r="AD16" s="2">
        <v>5.7832460000000001</v>
      </c>
      <c r="AE16" s="2">
        <v>0.21959999999999999</v>
      </c>
      <c r="AF16" s="2">
        <v>25.019069999999999</v>
      </c>
      <c r="AG16" s="2">
        <v>0.26800000000000002</v>
      </c>
      <c r="AH16" s="2">
        <v>26.784949999999998</v>
      </c>
      <c r="AI16" s="2">
        <v>0.3196</v>
      </c>
      <c r="AJ16" s="2">
        <v>30.303049999999999</v>
      </c>
      <c r="AK16" s="2">
        <v>0.21959999999999999</v>
      </c>
      <c r="AL16" s="2">
        <v>3.8669600000000002</v>
      </c>
      <c r="AM16" s="2">
        <v>0.26800000000000002</v>
      </c>
      <c r="AN16" s="2">
        <v>2.7860390000000002</v>
      </c>
      <c r="AO16" s="2">
        <v>0.3196</v>
      </c>
      <c r="AP16" s="2">
        <v>3.8914589999999998</v>
      </c>
      <c r="AQ16" s="2">
        <v>0.21959999999999999</v>
      </c>
      <c r="AR16" s="2">
        <v>8.6214940000000002</v>
      </c>
      <c r="AS16" s="2">
        <v>0.26800000000000002</v>
      </c>
      <c r="AT16" s="2">
        <v>6.5694129999999999</v>
      </c>
      <c r="AU16" s="2">
        <v>0.3196</v>
      </c>
      <c r="AV16" s="2">
        <v>8.2721350000000005</v>
      </c>
    </row>
    <row r="17" spans="1:48">
      <c r="A17" s="2">
        <v>0.2014</v>
      </c>
      <c r="B17" s="2">
        <v>6.4652390000000004</v>
      </c>
      <c r="C17" s="2">
        <v>0.2994</v>
      </c>
      <c r="D17" s="2">
        <v>8.1150939999999991</v>
      </c>
      <c r="E17" s="2">
        <v>0.31900000000000001</v>
      </c>
      <c r="F17" s="2">
        <v>3.6885599999999998</v>
      </c>
      <c r="G17" s="2">
        <v>0.2014</v>
      </c>
      <c r="H17" s="2">
        <v>7.7615920000000003</v>
      </c>
      <c r="I17" s="2">
        <v>0.2994</v>
      </c>
      <c r="J17" s="2">
        <v>0.95701400000000003</v>
      </c>
      <c r="K17" s="2">
        <v>0.31900000000000001</v>
      </c>
      <c r="L17" s="2">
        <v>6.654744</v>
      </c>
      <c r="M17" s="2">
        <v>0.2014</v>
      </c>
      <c r="N17" s="2">
        <v>17.37838</v>
      </c>
      <c r="O17" s="2">
        <v>0.2994</v>
      </c>
      <c r="P17" s="2">
        <v>18.597020000000001</v>
      </c>
      <c r="Q17" s="2">
        <v>0.31900000000000001</v>
      </c>
      <c r="R17" s="2">
        <v>15.336880000000001</v>
      </c>
      <c r="S17" s="2">
        <v>0.2014</v>
      </c>
      <c r="T17" s="2">
        <v>0.111620132</v>
      </c>
      <c r="U17" s="2">
        <v>0.2994</v>
      </c>
      <c r="V17" s="2">
        <v>3.7359689999999999</v>
      </c>
      <c r="W17" s="2">
        <v>0.31900000000000001</v>
      </c>
      <c r="X17" s="2">
        <v>23.356190000000002</v>
      </c>
      <c r="Y17" s="2">
        <v>0.2014</v>
      </c>
      <c r="Z17" s="2">
        <v>10.404439999999999</v>
      </c>
      <c r="AA17" s="2">
        <v>0.2994</v>
      </c>
      <c r="AB17" s="2">
        <v>8.2658470000000008</v>
      </c>
      <c r="AC17" s="2">
        <v>0.31900000000000001</v>
      </c>
      <c r="AD17" s="2">
        <v>8.4537779999999998</v>
      </c>
      <c r="AE17" s="2">
        <v>0.2014</v>
      </c>
      <c r="AF17" s="2">
        <v>19.404630000000001</v>
      </c>
      <c r="AG17" s="2">
        <v>0.2994</v>
      </c>
      <c r="AH17" s="2">
        <v>25.34825</v>
      </c>
      <c r="AI17" s="2">
        <v>0.31900000000000001</v>
      </c>
      <c r="AJ17" s="2">
        <v>20.471170000000001</v>
      </c>
      <c r="AK17" s="2">
        <v>0.2014</v>
      </c>
      <c r="AL17" s="2">
        <v>2.1805859999999999</v>
      </c>
      <c r="AM17" s="2">
        <v>0.2994</v>
      </c>
      <c r="AN17" s="2">
        <v>3.1965249999999998</v>
      </c>
      <c r="AO17" s="2">
        <v>0.31900000000000001</v>
      </c>
      <c r="AP17" s="2">
        <v>4.2392849999999997</v>
      </c>
      <c r="AQ17" s="2">
        <v>0.2014</v>
      </c>
      <c r="AR17" s="2">
        <v>8.2556180000000001</v>
      </c>
      <c r="AS17" s="2">
        <v>0.2994</v>
      </c>
      <c r="AT17" s="2">
        <v>7.370406</v>
      </c>
      <c r="AU17" s="2">
        <v>0.31900000000000001</v>
      </c>
      <c r="AV17" s="2">
        <v>10.52914</v>
      </c>
    </row>
    <row r="18" spans="1:48">
      <c r="A18" s="2">
        <v>0.1988</v>
      </c>
      <c r="B18" s="2">
        <v>9.7525539999999999</v>
      </c>
      <c r="C18" s="2">
        <v>0.30359999999999998</v>
      </c>
      <c r="D18" s="2">
        <v>7.4630380000000001</v>
      </c>
      <c r="E18" s="2">
        <v>0.3926</v>
      </c>
      <c r="F18" s="2">
        <v>7.9938739999999999</v>
      </c>
      <c r="G18" s="2">
        <v>0.1988</v>
      </c>
      <c r="H18" s="2">
        <v>6.0732000000000001E-2</v>
      </c>
      <c r="I18" s="2">
        <v>0.30359999999999998</v>
      </c>
      <c r="J18" s="2">
        <v>6.7564929999999999</v>
      </c>
      <c r="K18" s="2">
        <v>0.3926</v>
      </c>
      <c r="L18" s="2">
        <v>8.7185120000000005</v>
      </c>
      <c r="M18" s="2">
        <v>0.1988</v>
      </c>
      <c r="N18" s="2">
        <v>0.42363600000000001</v>
      </c>
      <c r="O18" s="2">
        <v>0.30359999999999998</v>
      </c>
      <c r="P18" s="2">
        <v>17.759699999999999</v>
      </c>
      <c r="Q18" s="2">
        <v>0.3926</v>
      </c>
      <c r="R18" s="2">
        <v>7.1706919999999998</v>
      </c>
      <c r="S18" s="2">
        <v>0.1988</v>
      </c>
      <c r="T18" s="2">
        <v>13.76419241</v>
      </c>
      <c r="U18" s="2">
        <v>0.30359999999999998</v>
      </c>
      <c r="V18" s="2">
        <v>9.2121449999999996</v>
      </c>
      <c r="W18" s="2">
        <v>0.3926</v>
      </c>
      <c r="X18" s="2">
        <v>23.072140000000001</v>
      </c>
      <c r="Y18" s="2">
        <v>0.1988</v>
      </c>
      <c r="Z18" s="2">
        <v>14.105919999999999</v>
      </c>
      <c r="AA18" s="2">
        <v>0.30359999999999998</v>
      </c>
      <c r="AB18" s="2">
        <v>6.7564929999999999</v>
      </c>
      <c r="AC18" s="2">
        <v>0.3926</v>
      </c>
      <c r="AD18" s="2">
        <v>8.2199609999999996</v>
      </c>
      <c r="AE18" s="2">
        <v>0.1988</v>
      </c>
      <c r="AF18" s="2">
        <v>16.648489999999999</v>
      </c>
      <c r="AG18" s="2">
        <v>0.30359999999999998</v>
      </c>
      <c r="AH18" s="2">
        <v>26.703209999999999</v>
      </c>
      <c r="AI18" s="2">
        <v>0.3926</v>
      </c>
      <c r="AJ18" s="2">
        <v>19.369720000000001</v>
      </c>
      <c r="AK18" s="2">
        <v>0.1988</v>
      </c>
      <c r="AL18" s="2">
        <v>3.6552340000000001</v>
      </c>
      <c r="AM18" s="2">
        <v>0.30359999999999998</v>
      </c>
      <c r="AN18" s="2">
        <v>2.0159229999999999</v>
      </c>
      <c r="AO18" s="2">
        <v>0.3926</v>
      </c>
      <c r="AP18" s="2">
        <v>3.9552269999999998</v>
      </c>
      <c r="AQ18" s="2">
        <v>0.1988</v>
      </c>
      <c r="AR18" s="2">
        <v>10.662599999999999</v>
      </c>
      <c r="AS18" s="2">
        <v>0.30359999999999998</v>
      </c>
      <c r="AT18" s="2">
        <v>6.5494339999999998</v>
      </c>
      <c r="AU18" s="2">
        <v>0.3926</v>
      </c>
      <c r="AV18" s="2">
        <v>6.3706860000000001</v>
      </c>
    </row>
    <row r="19" spans="1:48">
      <c r="A19" s="2">
        <v>0.21879999999999999</v>
      </c>
      <c r="B19" s="2">
        <v>0.501641</v>
      </c>
      <c r="C19" s="2">
        <v>0.25979999999999998</v>
      </c>
      <c r="D19" s="2">
        <v>7.8662590000000003</v>
      </c>
      <c r="E19" s="2">
        <v>0.32119999999999999</v>
      </c>
      <c r="F19" s="2">
        <v>3.6305890000000001</v>
      </c>
      <c r="G19" s="2">
        <v>0.21879999999999999</v>
      </c>
      <c r="H19" s="2">
        <v>6.7603999999999997E-2</v>
      </c>
      <c r="I19" s="2">
        <v>0.25979999999999998</v>
      </c>
      <c r="J19" s="2">
        <v>7.6737299999999999</v>
      </c>
      <c r="K19" s="2">
        <v>0.32119999999999999</v>
      </c>
      <c r="L19" s="2">
        <v>7.8953239999999996</v>
      </c>
      <c r="M19" s="2">
        <v>0.21879999999999999</v>
      </c>
      <c r="N19" s="2">
        <v>0.37163400000000002</v>
      </c>
      <c r="O19" s="2">
        <v>0.25979999999999998</v>
      </c>
      <c r="P19" s="2">
        <v>11.26276</v>
      </c>
      <c r="Q19" s="2">
        <v>0.32119999999999999</v>
      </c>
      <c r="R19" s="2">
        <v>20.596779999999999</v>
      </c>
      <c r="S19" s="2">
        <v>0.21879999999999999</v>
      </c>
      <c r="T19" s="2">
        <v>36.554386180000002</v>
      </c>
      <c r="U19" s="2">
        <v>0.25979999999999998</v>
      </c>
      <c r="V19" s="2">
        <v>24.886900000000001</v>
      </c>
      <c r="W19" s="2">
        <v>0.32119999999999999</v>
      </c>
      <c r="X19" s="2">
        <v>12.362959999999999</v>
      </c>
      <c r="Y19" s="2">
        <v>0.21879999999999999</v>
      </c>
      <c r="Z19" s="2">
        <v>14.99926</v>
      </c>
      <c r="AA19" s="2">
        <v>0.25979999999999998</v>
      </c>
      <c r="AB19" s="2">
        <v>8.1387060000000009</v>
      </c>
      <c r="AC19" s="2">
        <v>0.32119999999999999</v>
      </c>
      <c r="AD19" s="2">
        <v>7.6305889999999996</v>
      </c>
      <c r="AE19" s="2">
        <v>0.21879999999999999</v>
      </c>
      <c r="AF19" s="2">
        <v>0.133907</v>
      </c>
      <c r="AG19" s="2">
        <v>0.25979999999999998</v>
      </c>
      <c r="AH19" s="2">
        <v>17.064060000000001</v>
      </c>
      <c r="AI19" s="2">
        <v>0.32119999999999999</v>
      </c>
      <c r="AJ19" s="2">
        <v>14.60064</v>
      </c>
      <c r="AK19" s="2">
        <v>0.21879999999999999</v>
      </c>
      <c r="AL19" s="2">
        <v>3.5196559999999999</v>
      </c>
      <c r="AM19" s="2">
        <v>0.25979999999999998</v>
      </c>
      <c r="AN19" s="2">
        <v>2.6897739999999999</v>
      </c>
      <c r="AO19" s="2">
        <v>0.32119999999999999</v>
      </c>
      <c r="AP19" s="2">
        <v>4.4016039999999998</v>
      </c>
      <c r="AQ19" s="2">
        <v>0.21879999999999999</v>
      </c>
      <c r="AR19" s="2">
        <v>9.8435579999999998</v>
      </c>
      <c r="AS19" s="2">
        <v>0.25979999999999998</v>
      </c>
      <c r="AT19" s="2">
        <v>6.7764730000000002</v>
      </c>
      <c r="AU19" s="2">
        <v>0.32119999999999999</v>
      </c>
      <c r="AV19" s="2">
        <v>9.9610240000000001</v>
      </c>
    </row>
    <row r="20" spans="1:48">
      <c r="A20" s="2">
        <v>0.19040000000000001</v>
      </c>
      <c r="B20" s="2">
        <v>7.5015790000000004</v>
      </c>
      <c r="C20" s="10" t="s">
        <v>577</v>
      </c>
      <c r="D20" s="10" t="s">
        <v>578</v>
      </c>
      <c r="E20" s="2">
        <v>0.3004</v>
      </c>
      <c r="F20" s="2">
        <v>8.5581259999999997</v>
      </c>
      <c r="G20" s="2">
        <v>0.19040000000000001</v>
      </c>
      <c r="H20" s="2">
        <v>4.4944999999999999E-2</v>
      </c>
      <c r="I20" s="10" t="s">
        <v>577</v>
      </c>
      <c r="J20" s="10" t="s">
        <v>582</v>
      </c>
      <c r="K20" s="2">
        <v>0.3004</v>
      </c>
      <c r="L20" s="2">
        <v>7.8218940000000003</v>
      </c>
      <c r="M20" s="2">
        <v>0.19040000000000001</v>
      </c>
      <c r="N20" s="2">
        <v>0.42549399999999998</v>
      </c>
      <c r="O20" s="10" t="s">
        <v>577</v>
      </c>
      <c r="P20" s="10" t="s">
        <v>1155</v>
      </c>
      <c r="Q20" s="2">
        <v>0.3004</v>
      </c>
      <c r="R20" s="2">
        <v>14.78035</v>
      </c>
      <c r="S20" s="2">
        <v>0.19040000000000001</v>
      </c>
      <c r="T20" s="2">
        <v>0.18590973799999999</v>
      </c>
      <c r="U20" s="10" t="s">
        <v>577</v>
      </c>
      <c r="V20" s="10" t="s">
        <v>1156</v>
      </c>
      <c r="W20" s="2">
        <v>0.3004</v>
      </c>
      <c r="X20" s="2">
        <v>12.024789999999999</v>
      </c>
      <c r="Y20" s="2">
        <v>0.19040000000000001</v>
      </c>
      <c r="Z20" s="2">
        <v>14.23593</v>
      </c>
      <c r="AA20" s="10" t="s">
        <v>577</v>
      </c>
      <c r="AB20" s="10" t="s">
        <v>1157</v>
      </c>
      <c r="AC20" s="2">
        <v>0.3004</v>
      </c>
      <c r="AD20" s="2">
        <v>9.1049860000000002</v>
      </c>
      <c r="AE20" s="2">
        <v>0.19040000000000001</v>
      </c>
      <c r="AF20" s="2">
        <v>16.546340000000001</v>
      </c>
      <c r="AG20" s="10" t="s">
        <v>577</v>
      </c>
      <c r="AH20" s="10" t="s">
        <v>1158</v>
      </c>
      <c r="AI20" s="2">
        <v>0.3004</v>
      </c>
      <c r="AJ20" s="2">
        <v>14.68953</v>
      </c>
      <c r="AK20" s="2">
        <v>0.19040000000000001</v>
      </c>
      <c r="AL20" s="2">
        <v>2.1731569999999998</v>
      </c>
      <c r="AM20" s="10" t="s">
        <v>577</v>
      </c>
      <c r="AN20" s="10" t="s">
        <v>1159</v>
      </c>
      <c r="AO20" s="2">
        <v>0.3004</v>
      </c>
      <c r="AP20" s="2">
        <v>4.1078840000000003</v>
      </c>
      <c r="AQ20" s="2">
        <v>0.19040000000000001</v>
      </c>
      <c r="AR20" s="2">
        <v>9.2548130000000004</v>
      </c>
      <c r="AS20" s="10" t="s">
        <v>577</v>
      </c>
      <c r="AT20" s="10" t="s">
        <v>1160</v>
      </c>
      <c r="AU20" s="2">
        <v>0.3004</v>
      </c>
      <c r="AV20" s="2">
        <v>8.0943570000000005</v>
      </c>
    </row>
    <row r="21" spans="1:48">
      <c r="A21" s="2">
        <v>0.2258</v>
      </c>
      <c r="B21" s="2">
        <v>3.9523929999999998</v>
      </c>
      <c r="C21" s="2">
        <v>0.27679999999999999</v>
      </c>
      <c r="D21" s="2">
        <v>7.7936069999999997</v>
      </c>
      <c r="E21" s="2">
        <v>0.311</v>
      </c>
      <c r="F21" s="2">
        <v>9.1339710000000007</v>
      </c>
      <c r="G21" s="2">
        <v>0.2258</v>
      </c>
      <c r="H21" s="2">
        <v>4.0526840000000002</v>
      </c>
      <c r="I21" s="2">
        <v>0.27679999999999999</v>
      </c>
      <c r="J21" s="2">
        <v>0.87709599999999999</v>
      </c>
      <c r="K21" s="2">
        <v>0.311</v>
      </c>
      <c r="L21" s="2">
        <v>8.4016040000000007</v>
      </c>
      <c r="M21" s="2">
        <v>0.2258</v>
      </c>
      <c r="N21" s="2">
        <v>22.069769999999998</v>
      </c>
      <c r="O21" s="2">
        <v>0.27679999999999999</v>
      </c>
      <c r="P21" s="2">
        <v>10.98668</v>
      </c>
      <c r="Q21" s="2">
        <v>0.311</v>
      </c>
      <c r="R21" s="2">
        <v>14.91755</v>
      </c>
      <c r="S21" s="2">
        <v>0.2258</v>
      </c>
      <c r="T21" s="2">
        <v>11.765802020000001</v>
      </c>
      <c r="U21" s="2">
        <v>0.27679999999999999</v>
      </c>
      <c r="V21" s="2">
        <v>11.758609999999999</v>
      </c>
      <c r="W21" s="2">
        <v>0.311</v>
      </c>
      <c r="X21" s="2">
        <v>11.84122</v>
      </c>
      <c r="Y21" s="2">
        <v>0.2258</v>
      </c>
      <c r="Z21" s="2">
        <v>18.084129999999998</v>
      </c>
      <c r="AA21" s="2">
        <v>0.27679999999999999</v>
      </c>
      <c r="AB21" s="2">
        <v>9.3865110000000005</v>
      </c>
      <c r="AC21" s="2">
        <v>0.311</v>
      </c>
      <c r="AD21" s="2">
        <v>9.0218939999999996</v>
      </c>
      <c r="AE21" s="2">
        <v>0.2258</v>
      </c>
      <c r="AF21" s="2">
        <v>21.601749999999999</v>
      </c>
      <c r="AG21" s="2">
        <v>0.27679999999999999</v>
      </c>
      <c r="AH21" s="2">
        <v>5.4814429999999996</v>
      </c>
      <c r="AI21" s="2">
        <v>0.311</v>
      </c>
      <c r="AJ21" s="2">
        <v>8.799671</v>
      </c>
      <c r="AK21" s="2">
        <v>0.2258</v>
      </c>
      <c r="AL21" s="2">
        <v>1.8629979999999999</v>
      </c>
      <c r="AM21" s="2">
        <v>0.27679999999999999</v>
      </c>
      <c r="AN21" s="2">
        <v>3.0385059999999999</v>
      </c>
      <c r="AO21" s="2">
        <v>0.311</v>
      </c>
      <c r="AP21" s="2">
        <v>4.119478</v>
      </c>
      <c r="AQ21" s="2">
        <v>0.2258</v>
      </c>
      <c r="AR21" s="2">
        <v>0.62050399999999994</v>
      </c>
      <c r="AS21" s="2">
        <v>0.27679999999999999</v>
      </c>
      <c r="AT21" s="2">
        <v>1.231277</v>
      </c>
      <c r="AU21" s="2">
        <v>0.311</v>
      </c>
      <c r="AV21" s="2">
        <v>10.14653</v>
      </c>
    </row>
    <row r="22" spans="1:48">
      <c r="A22" s="2">
        <v>0.20380000000000001</v>
      </c>
      <c r="B22" s="2">
        <v>3.5976599999999999</v>
      </c>
      <c r="C22" s="2">
        <v>0.31219999999999998</v>
      </c>
      <c r="D22" s="2">
        <v>7.5792820000000001</v>
      </c>
      <c r="E22" s="2">
        <v>0.3236</v>
      </c>
      <c r="F22" s="2">
        <v>8.9098159999999993</v>
      </c>
      <c r="G22" s="2">
        <v>0.20380000000000001</v>
      </c>
      <c r="H22" s="2">
        <v>5.36761</v>
      </c>
      <c r="I22" s="2">
        <v>0.31219999999999998</v>
      </c>
      <c r="J22" s="2">
        <v>7.1451840000000004</v>
      </c>
      <c r="K22" s="2">
        <v>0.3236</v>
      </c>
      <c r="L22" s="2">
        <v>8.2972560000000009</v>
      </c>
      <c r="M22" s="2">
        <v>0.20380000000000001</v>
      </c>
      <c r="N22" s="2">
        <v>19.10933</v>
      </c>
      <c r="O22" s="2">
        <v>0.31219999999999998</v>
      </c>
      <c r="P22" s="2">
        <v>11.159230000000001</v>
      </c>
      <c r="Q22" s="2">
        <v>0.3236</v>
      </c>
      <c r="R22" s="2">
        <v>9.7175519999999995</v>
      </c>
      <c r="S22" s="2">
        <v>0.20380000000000001</v>
      </c>
      <c r="T22" s="2">
        <v>5.9617409000000003E-2</v>
      </c>
      <c r="U22" s="2">
        <v>0.31219999999999998</v>
      </c>
      <c r="V22" s="2">
        <v>26.703209999999999</v>
      </c>
      <c r="W22" s="2">
        <v>0.3236</v>
      </c>
      <c r="X22" s="2">
        <v>22.581309999999998</v>
      </c>
      <c r="Y22" s="2">
        <v>0.20380000000000001</v>
      </c>
      <c r="Z22" s="2">
        <v>8.3336220000000001</v>
      </c>
      <c r="AA22" s="2">
        <v>0.31219999999999998</v>
      </c>
      <c r="AB22" s="2">
        <v>7.8172189999999997</v>
      </c>
      <c r="AC22" s="2">
        <v>0.3236</v>
      </c>
      <c r="AD22" s="2">
        <v>9.7774490000000007</v>
      </c>
      <c r="AE22" s="2">
        <v>0.20380000000000001</v>
      </c>
      <c r="AF22" s="2">
        <v>28.276669999999999</v>
      </c>
      <c r="AG22" s="2">
        <v>0.31219999999999998</v>
      </c>
      <c r="AH22" s="2">
        <v>16.856999999999999</v>
      </c>
      <c r="AI22" s="2">
        <v>0.3236</v>
      </c>
      <c r="AJ22" s="2">
        <v>20.15813</v>
      </c>
      <c r="AK22" s="2">
        <v>0.20380000000000001</v>
      </c>
      <c r="AL22" s="2">
        <v>1.537981</v>
      </c>
      <c r="AM22" s="2">
        <v>0.31219999999999998</v>
      </c>
      <c r="AN22" s="2">
        <v>2.9240780000000002</v>
      </c>
      <c r="AO22" s="2">
        <v>0.3236</v>
      </c>
      <c r="AP22" s="2">
        <v>4.119478</v>
      </c>
      <c r="AQ22" s="2">
        <v>0.20380000000000001</v>
      </c>
      <c r="AR22" s="2">
        <v>0.642791</v>
      </c>
      <c r="AS22" s="2">
        <v>0.31219999999999998</v>
      </c>
      <c r="AT22" s="2">
        <v>0.90797399999999995</v>
      </c>
      <c r="AU22" s="2">
        <v>0.3236</v>
      </c>
      <c r="AV22" s="2">
        <v>9.7465309999999992</v>
      </c>
    </row>
    <row r="23" spans="1:48">
      <c r="A23" s="2">
        <v>0.21859999999999999</v>
      </c>
      <c r="B23" s="2">
        <v>6.6695349999999998</v>
      </c>
      <c r="C23" s="2">
        <v>0.26379999999999998</v>
      </c>
      <c r="D23" s="2">
        <v>7.6737299999999999</v>
      </c>
      <c r="E23" s="2">
        <v>0.30940000000000001</v>
      </c>
      <c r="F23" s="2">
        <v>8.9098159999999993</v>
      </c>
      <c r="G23" s="2">
        <v>0.21859999999999999</v>
      </c>
      <c r="H23" s="2">
        <v>6.1142200000000004</v>
      </c>
      <c r="I23" s="2">
        <v>0.26379999999999998</v>
      </c>
      <c r="J23" s="2">
        <v>2.2157170000000002</v>
      </c>
      <c r="K23" s="2">
        <v>0.30940000000000001</v>
      </c>
      <c r="L23" s="2">
        <v>5.7465310000000001</v>
      </c>
      <c r="M23" s="2">
        <v>0.21859999999999999</v>
      </c>
      <c r="N23" s="2">
        <v>19.946940000000001</v>
      </c>
      <c r="O23" s="2">
        <v>0.26379999999999998</v>
      </c>
      <c r="P23" s="2">
        <v>10.014950000000001</v>
      </c>
      <c r="Q23" s="2">
        <v>0.30940000000000001</v>
      </c>
      <c r="R23" s="2">
        <v>15.57456</v>
      </c>
      <c r="S23" s="2">
        <v>0.21859999999999999</v>
      </c>
      <c r="T23" s="2">
        <v>8.9465114840000002</v>
      </c>
      <c r="U23" s="2">
        <v>0.26379999999999998</v>
      </c>
      <c r="V23" s="2">
        <v>4.29176</v>
      </c>
      <c r="W23" s="2">
        <v>0.30940000000000001</v>
      </c>
      <c r="X23" s="2">
        <v>11.47986</v>
      </c>
      <c r="Y23" s="2">
        <v>0.21859999999999999</v>
      </c>
      <c r="Z23" s="2">
        <v>17.699680000000001</v>
      </c>
      <c r="AA23" s="2">
        <v>0.26379999999999998</v>
      </c>
      <c r="AB23" s="2">
        <v>7.6737299999999999</v>
      </c>
      <c r="AC23" s="2">
        <v>0.30940000000000001</v>
      </c>
      <c r="AD23" s="2">
        <v>10.59484</v>
      </c>
      <c r="AE23" s="2">
        <v>0.21859999999999999</v>
      </c>
      <c r="AF23" s="2">
        <v>20.442830000000001</v>
      </c>
      <c r="AG23" s="2">
        <v>0.26379999999999998</v>
      </c>
      <c r="AH23" s="2">
        <v>26.3781</v>
      </c>
      <c r="AI23" s="2">
        <v>0.30940000000000001</v>
      </c>
      <c r="AJ23" s="2">
        <v>14.68953</v>
      </c>
      <c r="AK23" s="2">
        <v>0.21859999999999999</v>
      </c>
      <c r="AL23" s="2">
        <v>3.794527</v>
      </c>
      <c r="AM23" s="2">
        <v>0.26379999999999998</v>
      </c>
      <c r="AN23" s="2">
        <v>2.613489</v>
      </c>
      <c r="AO23" s="2">
        <v>0.30940000000000001</v>
      </c>
      <c r="AP23" s="2">
        <v>4.279865</v>
      </c>
      <c r="AQ23" s="2">
        <v>0.21859999999999999</v>
      </c>
      <c r="AR23" s="2">
        <v>7.6185850000000004</v>
      </c>
      <c r="AS23" s="2">
        <v>0.26379999999999998</v>
      </c>
      <c r="AT23" s="2">
        <v>6.6929220000000003</v>
      </c>
      <c r="AU23" s="2">
        <v>0.30940000000000001</v>
      </c>
      <c r="AV23" s="2">
        <v>10.24122</v>
      </c>
    </row>
    <row r="24" spans="1:48">
      <c r="A24" s="2">
        <v>0.2082</v>
      </c>
      <c r="B24" s="2">
        <v>5.4177549999999997</v>
      </c>
      <c r="C24" s="2">
        <v>0.28960000000000002</v>
      </c>
      <c r="D24" s="2">
        <v>7.0561850000000002</v>
      </c>
      <c r="E24" s="2">
        <v>0.31359999999999999</v>
      </c>
      <c r="F24" s="2">
        <v>7.0373530000000004</v>
      </c>
      <c r="G24" s="2">
        <v>0.2082</v>
      </c>
      <c r="H24" s="2">
        <v>7.0521269999999996</v>
      </c>
      <c r="I24" s="2">
        <v>0.28960000000000002</v>
      </c>
      <c r="J24" s="2">
        <v>6.7982680000000002</v>
      </c>
      <c r="K24" s="2">
        <v>0.31359999999999999</v>
      </c>
      <c r="L24" s="2">
        <v>1.0238259999999999</v>
      </c>
      <c r="M24" s="2">
        <v>0.2082</v>
      </c>
      <c r="N24" s="2">
        <v>0.23791200000000001</v>
      </c>
      <c r="O24" s="2">
        <v>0.28960000000000002</v>
      </c>
      <c r="P24" s="2">
        <v>16.44651</v>
      </c>
      <c r="Q24" s="2">
        <v>0.31359999999999999</v>
      </c>
      <c r="R24" s="2">
        <v>18.216100000000001</v>
      </c>
      <c r="S24" s="2">
        <v>0.2082</v>
      </c>
      <c r="T24" s="2">
        <v>7.0389401000000004E-2</v>
      </c>
      <c r="U24" s="2">
        <v>0.28960000000000002</v>
      </c>
      <c r="V24" s="2">
        <v>9.5027550000000005</v>
      </c>
      <c r="W24" s="2">
        <v>0.31359999999999999</v>
      </c>
      <c r="X24" s="2">
        <v>13.06827</v>
      </c>
      <c r="Y24" s="2">
        <v>0.2082</v>
      </c>
      <c r="Z24" s="2">
        <v>9.7822700000000005</v>
      </c>
      <c r="AA24" s="2">
        <v>0.28960000000000002</v>
      </c>
      <c r="AB24" s="2">
        <v>6.8836349999999999</v>
      </c>
      <c r="AC24" s="2">
        <v>0.31359999999999999</v>
      </c>
      <c r="AD24" s="2">
        <v>7.9938739999999999</v>
      </c>
      <c r="AE24" s="2">
        <v>0.2082</v>
      </c>
      <c r="AF24" s="2">
        <v>29.42258</v>
      </c>
      <c r="AG24" s="2">
        <v>0.28960000000000002</v>
      </c>
      <c r="AH24" s="2">
        <v>27.282620000000001</v>
      </c>
      <c r="AI24" s="2">
        <v>0.31359999999999999</v>
      </c>
      <c r="AJ24" s="2">
        <v>30.48856</v>
      </c>
      <c r="AK24" s="2">
        <v>0.2082</v>
      </c>
      <c r="AL24" s="2">
        <v>1.948431</v>
      </c>
      <c r="AM24" s="2">
        <v>0.28960000000000002</v>
      </c>
      <c r="AN24" s="2">
        <v>2.6988560000000001</v>
      </c>
      <c r="AO24" s="2">
        <v>0.31359999999999999</v>
      </c>
      <c r="AP24" s="2">
        <v>2.8402509999999999</v>
      </c>
      <c r="AQ24" s="2">
        <v>0.2082</v>
      </c>
      <c r="AR24" s="2">
        <v>0.71336599999999994</v>
      </c>
      <c r="AS24" s="2">
        <v>0.28960000000000002</v>
      </c>
      <c r="AT24" s="2">
        <v>5.7448079999999999</v>
      </c>
      <c r="AU24" s="2">
        <v>0.31359999999999999</v>
      </c>
      <c r="AV24" s="2">
        <v>1.3484640000000001</v>
      </c>
    </row>
    <row r="25" spans="1:48">
      <c r="A25" s="2">
        <v>7.6600000000000001E-2</v>
      </c>
      <c r="B25" s="2">
        <v>5.1391689999999999</v>
      </c>
      <c r="C25" s="2">
        <v>0.2888</v>
      </c>
      <c r="D25" s="2">
        <v>8.1387060000000009</v>
      </c>
      <c r="E25" s="2">
        <v>0.34760000000000002</v>
      </c>
      <c r="F25" s="2">
        <v>0.3417</v>
      </c>
      <c r="G25" s="2">
        <v>7.6600000000000001E-2</v>
      </c>
      <c r="H25" s="2">
        <v>11.305210000000001</v>
      </c>
      <c r="I25" s="2">
        <v>0.2888</v>
      </c>
      <c r="J25" s="2">
        <v>8.3439490000000003</v>
      </c>
      <c r="K25" s="2">
        <v>0.34760000000000002</v>
      </c>
      <c r="L25" s="2">
        <v>1.5996710000000001</v>
      </c>
      <c r="M25" s="2">
        <v>7.6600000000000001E-2</v>
      </c>
      <c r="N25" s="2">
        <v>14.770820000000001</v>
      </c>
      <c r="O25" s="2">
        <v>0.2888</v>
      </c>
      <c r="P25" s="2">
        <v>10.785069999999999</v>
      </c>
      <c r="Q25" s="2">
        <v>0.34760000000000002</v>
      </c>
      <c r="R25" s="2">
        <v>13.35233</v>
      </c>
      <c r="S25" s="2">
        <v>7.6600000000000001E-2</v>
      </c>
      <c r="T25" s="2">
        <v>11.840091620000001</v>
      </c>
      <c r="U25" s="2">
        <v>0.2888</v>
      </c>
      <c r="V25" s="2">
        <v>3.8794580000000001</v>
      </c>
      <c r="W25" s="2">
        <v>0.34760000000000002</v>
      </c>
      <c r="X25" s="2">
        <v>12.438319999999999</v>
      </c>
      <c r="Y25" s="2">
        <v>7.6600000000000001E-2</v>
      </c>
      <c r="Z25" s="2">
        <v>0.152479</v>
      </c>
      <c r="AA25" s="2">
        <v>0.2888</v>
      </c>
      <c r="AB25" s="2">
        <v>8.2404189999999993</v>
      </c>
      <c r="AC25" s="2">
        <v>0.34760000000000002</v>
      </c>
      <c r="AD25" s="2">
        <v>11.26924</v>
      </c>
      <c r="AE25" s="2">
        <v>7.6600000000000001E-2</v>
      </c>
      <c r="AF25" s="2">
        <v>27.507770000000001</v>
      </c>
      <c r="AG25" s="2">
        <v>0.2888</v>
      </c>
      <c r="AH25" s="2">
        <v>17.543559999999999</v>
      </c>
      <c r="AI25" s="2">
        <v>0.34760000000000002</v>
      </c>
      <c r="AJ25" s="2">
        <v>6.8653719999999998</v>
      </c>
      <c r="AK25" s="2">
        <v>7.6600000000000001E-2</v>
      </c>
      <c r="AL25" s="2">
        <v>2.921624</v>
      </c>
      <c r="AM25" s="2">
        <v>0.2888</v>
      </c>
      <c r="AN25" s="2">
        <v>1.6508449999999999</v>
      </c>
      <c r="AO25" s="2">
        <v>0.34760000000000002</v>
      </c>
      <c r="AP25" s="2">
        <v>3.5513620000000001</v>
      </c>
      <c r="AQ25" s="2">
        <v>7.6600000000000001E-2</v>
      </c>
      <c r="AR25" s="2">
        <v>8.0550359999999994</v>
      </c>
      <c r="AS25" s="2">
        <v>0.2888</v>
      </c>
      <c r="AT25" s="2">
        <v>7.3013859999999999</v>
      </c>
      <c r="AU25" s="2">
        <v>0.34760000000000002</v>
      </c>
      <c r="AV25" s="2">
        <v>1.704019</v>
      </c>
    </row>
    <row r="26" spans="1:48">
      <c r="A26" s="2">
        <v>8.1799999999999998E-2</v>
      </c>
      <c r="B26" s="2">
        <v>7.6427290000000001</v>
      </c>
      <c r="C26" s="2">
        <v>0.25019999999999998</v>
      </c>
      <c r="D26" s="2">
        <v>8.2404189999999993</v>
      </c>
      <c r="E26" s="2">
        <v>0.31559999999999999</v>
      </c>
      <c r="F26" s="2">
        <v>20.660540000000001</v>
      </c>
      <c r="G26" s="2">
        <v>8.1799999999999998E-2</v>
      </c>
      <c r="H26" s="2">
        <v>11.7658</v>
      </c>
      <c r="I26" s="2">
        <v>0.25019999999999998</v>
      </c>
      <c r="J26" s="2">
        <v>1.405643</v>
      </c>
      <c r="K26" s="2">
        <v>0.31559999999999999</v>
      </c>
      <c r="L26" s="2">
        <v>5.3639229999999998</v>
      </c>
      <c r="M26" s="2">
        <v>8.1799999999999998E-2</v>
      </c>
      <c r="N26" s="2">
        <v>15.183120000000001</v>
      </c>
      <c r="O26" s="2">
        <v>0.25019999999999998</v>
      </c>
      <c r="P26" s="2">
        <v>10.36187</v>
      </c>
      <c r="Q26" s="2">
        <v>0.31559999999999999</v>
      </c>
      <c r="R26" s="2">
        <v>16.109819999999999</v>
      </c>
      <c r="S26" s="2">
        <v>8.1799999999999998E-2</v>
      </c>
      <c r="T26" s="2">
        <v>36.110505789999998</v>
      </c>
      <c r="U26" s="2">
        <v>0.25019999999999998</v>
      </c>
      <c r="V26" s="2">
        <v>10.785069999999999</v>
      </c>
      <c r="W26" s="2">
        <v>0.31559999999999999</v>
      </c>
      <c r="X26" s="2">
        <v>40.521410000000003</v>
      </c>
      <c r="Y26" s="2">
        <v>8.1799999999999998E-2</v>
      </c>
      <c r="Z26" s="2">
        <v>0.174766</v>
      </c>
      <c r="AA26" s="2">
        <v>0.25019999999999998</v>
      </c>
      <c r="AB26" s="2">
        <v>8.0642370000000003</v>
      </c>
      <c r="AC26" s="2">
        <v>0.31559999999999999</v>
      </c>
      <c r="AD26" s="2">
        <v>6.156193</v>
      </c>
      <c r="AE26" s="2">
        <v>8.1799999999999998E-2</v>
      </c>
      <c r="AF26" s="2">
        <v>18.704450000000001</v>
      </c>
      <c r="AG26" s="2">
        <v>0.25019999999999998</v>
      </c>
      <c r="AH26" s="2">
        <v>6.3877819999999996</v>
      </c>
      <c r="AI26" s="2">
        <v>0.31559999999999999</v>
      </c>
      <c r="AJ26" s="2">
        <v>34.038319999999999</v>
      </c>
      <c r="AK26" s="2">
        <v>8.1799999999999998E-2</v>
      </c>
      <c r="AL26" s="2">
        <v>2.7600449999999999</v>
      </c>
      <c r="AM26" s="2">
        <v>0.25019999999999998</v>
      </c>
      <c r="AN26" s="2">
        <v>3.3418299999999999</v>
      </c>
      <c r="AO26" s="2">
        <v>0.31559999999999999</v>
      </c>
      <c r="AP26" s="2">
        <v>4.5561930000000004</v>
      </c>
      <c r="AQ26" s="2">
        <v>8.1799999999999998E-2</v>
      </c>
      <c r="AR26" s="2">
        <v>8.9465109999999992</v>
      </c>
      <c r="AS26" s="2">
        <v>0.25019999999999998</v>
      </c>
      <c r="AT26" s="2">
        <v>7.6737299999999999</v>
      </c>
      <c r="AU26" s="2">
        <v>0.31559999999999999</v>
      </c>
      <c r="AV26" s="2">
        <v>2.3629570000000002</v>
      </c>
    </row>
    <row r="27" spans="1:48">
      <c r="A27" s="2">
        <v>7.22E-2</v>
      </c>
      <c r="B27" s="2">
        <v>7.6668729999999998</v>
      </c>
      <c r="C27" s="2">
        <v>0.2462</v>
      </c>
      <c r="D27" s="2">
        <v>0.44844699999999998</v>
      </c>
      <c r="E27" s="2">
        <v>0.30099999999999999</v>
      </c>
      <c r="F27" s="2">
        <v>15.38325</v>
      </c>
      <c r="G27" s="2">
        <v>7.22E-2</v>
      </c>
      <c r="H27" s="2">
        <v>7.1617040000000003</v>
      </c>
      <c r="I27" s="2">
        <v>0.2462</v>
      </c>
      <c r="J27" s="2">
        <v>8.3693770000000001</v>
      </c>
      <c r="K27" s="2">
        <v>0.30099999999999999</v>
      </c>
      <c r="L27" s="2">
        <v>5.5880770000000002</v>
      </c>
      <c r="M27" s="2">
        <v>7.22E-2</v>
      </c>
      <c r="N27" s="2">
        <v>0.247199</v>
      </c>
      <c r="O27" s="2">
        <v>0.2462</v>
      </c>
      <c r="P27" s="2">
        <v>9.4155719999999992</v>
      </c>
      <c r="Q27" s="2">
        <v>0.30099999999999999</v>
      </c>
      <c r="R27" s="2">
        <v>19.549440000000001</v>
      </c>
      <c r="S27" s="2">
        <v>7.22E-2</v>
      </c>
      <c r="T27" s="2">
        <v>0.117191853</v>
      </c>
      <c r="U27" s="2">
        <v>0.2462</v>
      </c>
      <c r="V27" s="2">
        <v>10.265610000000001</v>
      </c>
      <c r="W27" s="2">
        <v>0.30099999999999999</v>
      </c>
      <c r="X27" s="2">
        <v>35.419960000000003</v>
      </c>
      <c r="Y27" s="2">
        <v>7.22E-2</v>
      </c>
      <c r="Z27" s="2">
        <v>18.87717</v>
      </c>
      <c r="AA27" s="2">
        <v>0.2462</v>
      </c>
      <c r="AB27" s="2">
        <v>8.7144759999999994</v>
      </c>
      <c r="AC27" s="2">
        <v>0.30099999999999999</v>
      </c>
      <c r="AD27" s="2">
        <v>9.0779320000000006</v>
      </c>
      <c r="AE27" s="2">
        <v>7.22E-2</v>
      </c>
      <c r="AF27" s="2">
        <v>0.174766</v>
      </c>
      <c r="AG27" s="2">
        <v>0.2462</v>
      </c>
      <c r="AH27" s="2">
        <v>17.1694</v>
      </c>
      <c r="AI27" s="2">
        <v>0.30099999999999999</v>
      </c>
      <c r="AJ27" s="2">
        <v>21.499189999999999</v>
      </c>
      <c r="AK27" s="2">
        <v>7.22E-2</v>
      </c>
      <c r="AL27" s="2">
        <v>1.3558000000000001E-2</v>
      </c>
      <c r="AM27" s="2">
        <v>0.2462</v>
      </c>
      <c r="AN27" s="2">
        <v>2.9513229999999999</v>
      </c>
      <c r="AO27" s="2">
        <v>0.30099999999999999</v>
      </c>
      <c r="AP27" s="2">
        <v>3.868271</v>
      </c>
      <c r="AQ27" s="2">
        <v>7.22E-2</v>
      </c>
      <c r="AR27" s="2">
        <v>7.8340249999999996</v>
      </c>
      <c r="AS27" s="2">
        <v>0.2462</v>
      </c>
      <c r="AT27" s="2">
        <v>7.6973419999999999</v>
      </c>
      <c r="AU27" s="2">
        <v>0.30099999999999999</v>
      </c>
      <c r="AV27" s="2">
        <v>3.3851789999999999</v>
      </c>
    </row>
    <row r="28" spans="1:48">
      <c r="A28" s="2">
        <v>0.22339999999999999</v>
      </c>
      <c r="B28" s="2">
        <v>3.989538</v>
      </c>
      <c r="C28" s="2">
        <v>0.25940000000000002</v>
      </c>
      <c r="D28" s="2">
        <v>7.4394260000000001</v>
      </c>
      <c r="E28" s="2"/>
      <c r="G28" s="2">
        <v>0.22339999999999999</v>
      </c>
      <c r="H28" s="2">
        <v>5.7464870000000001</v>
      </c>
      <c r="I28" s="2">
        <v>0.25940000000000002</v>
      </c>
      <c r="J28" s="2">
        <v>7.4394260000000001</v>
      </c>
      <c r="K28" s="2"/>
      <c r="M28" s="2">
        <v>0.22339999999999999</v>
      </c>
      <c r="N28" s="2">
        <v>21.14301</v>
      </c>
      <c r="O28" s="2">
        <v>0.25940000000000002</v>
      </c>
      <c r="P28" s="2">
        <v>19.472480000000001</v>
      </c>
      <c r="Q28" s="2"/>
      <c r="S28" s="2">
        <v>0.22339999999999999</v>
      </c>
      <c r="T28" s="2">
        <v>16.69863183</v>
      </c>
      <c r="U28" s="2">
        <v>0.25940000000000002</v>
      </c>
      <c r="V28" s="2">
        <v>10.202030000000001</v>
      </c>
      <c r="W28" s="2"/>
      <c r="Y28" s="2">
        <v>0.22339999999999999</v>
      </c>
      <c r="Z28" s="2">
        <v>8.9465109999999992</v>
      </c>
      <c r="AA28" s="2">
        <v>0.25940000000000002</v>
      </c>
      <c r="AB28" s="2">
        <v>8.4474780000000003</v>
      </c>
      <c r="AE28" s="2">
        <v>0.22339999999999999</v>
      </c>
      <c r="AF28" s="2">
        <v>21.013000000000002</v>
      </c>
      <c r="AG28" s="2">
        <v>0.25940000000000002</v>
      </c>
      <c r="AH28" s="2">
        <v>17.543559999999999</v>
      </c>
      <c r="AK28" s="2">
        <v>0.22339999999999999</v>
      </c>
      <c r="AL28" s="2">
        <v>3.4527950000000001</v>
      </c>
      <c r="AM28" s="2">
        <v>0.25940000000000002</v>
      </c>
      <c r="AN28" s="2">
        <v>3.5507049999999998</v>
      </c>
      <c r="AQ28" s="2">
        <v>0.22339999999999999</v>
      </c>
      <c r="AR28" s="2">
        <v>0.689222</v>
      </c>
      <c r="AS28" s="2">
        <v>0.25940000000000002</v>
      </c>
      <c r="AT28" s="2">
        <v>6.9907969999999997</v>
      </c>
    </row>
    <row r="29" spans="1:48">
      <c r="A29" s="2">
        <v>0.219</v>
      </c>
      <c r="B29" s="2">
        <v>6.6286759999999996</v>
      </c>
      <c r="C29" s="2">
        <v>0.30780000000000002</v>
      </c>
      <c r="D29" s="2">
        <v>0.682751</v>
      </c>
      <c r="E29" s="2"/>
      <c r="G29" s="2">
        <v>0.219</v>
      </c>
      <c r="H29" s="2">
        <v>5.4846159999999999</v>
      </c>
      <c r="I29" s="2">
        <v>0.30780000000000002</v>
      </c>
      <c r="J29" s="2">
        <v>0.99515699999999996</v>
      </c>
      <c r="K29" s="2"/>
      <c r="M29" s="2">
        <v>0.219</v>
      </c>
      <c r="N29" s="2">
        <v>19.705500000000001</v>
      </c>
      <c r="O29" s="2">
        <v>0.30780000000000002</v>
      </c>
      <c r="P29" s="2">
        <v>11.94206</v>
      </c>
      <c r="Q29" s="2"/>
      <c r="S29" s="2">
        <v>0.219</v>
      </c>
      <c r="T29" s="2">
        <v>16.394044449999999</v>
      </c>
      <c r="U29" s="2">
        <v>0.30780000000000002</v>
      </c>
      <c r="V29" s="2">
        <v>11.402620000000001</v>
      </c>
      <c r="W29" s="2"/>
      <c r="Y29" s="2">
        <v>0.219</v>
      </c>
      <c r="Z29" s="2">
        <v>17.755400000000002</v>
      </c>
      <c r="AA29" s="2">
        <v>0.30780000000000002</v>
      </c>
      <c r="AB29" s="2">
        <v>9.5318159999999992</v>
      </c>
      <c r="AE29" s="2">
        <v>0.219</v>
      </c>
      <c r="AF29" s="2">
        <v>0.17105200000000001</v>
      </c>
      <c r="AG29" s="2">
        <v>0.30780000000000002</v>
      </c>
      <c r="AH29" s="2">
        <v>6.8836349999999999</v>
      </c>
      <c r="AK29" s="2">
        <v>0.219</v>
      </c>
      <c r="AL29" s="2">
        <v>2.6486100000000001</v>
      </c>
      <c r="AM29" s="2">
        <v>0.30780000000000002</v>
      </c>
      <c r="AN29" s="2">
        <v>3.5398070000000001</v>
      </c>
      <c r="AQ29" s="2">
        <v>0.219</v>
      </c>
      <c r="AR29" s="2">
        <v>7.5944409999999998</v>
      </c>
      <c r="AS29" s="2">
        <v>0.30780000000000002</v>
      </c>
      <c r="AT29" s="2">
        <v>9.1558390000000003</v>
      </c>
    </row>
    <row r="30" spans="1:48">
      <c r="A30" s="2">
        <v>0.14960000000000001</v>
      </c>
      <c r="B30" s="2">
        <v>1.636414</v>
      </c>
      <c r="C30" s="2">
        <v>0.27760000000000001</v>
      </c>
      <c r="D30" s="2">
        <v>0.66095499999999996</v>
      </c>
      <c r="E30" s="2"/>
      <c r="G30" s="2">
        <v>0.14960000000000001</v>
      </c>
      <c r="H30" s="2">
        <v>5.837491</v>
      </c>
      <c r="I30" s="2">
        <v>0.27760000000000001</v>
      </c>
      <c r="J30" s="2">
        <v>9.0432279999999992</v>
      </c>
      <c r="K30" s="2"/>
      <c r="M30" s="2">
        <v>0.14960000000000001</v>
      </c>
      <c r="N30" s="2">
        <v>18.762029999999999</v>
      </c>
      <c r="O30" s="2">
        <v>0.27760000000000001</v>
      </c>
      <c r="P30" s="2">
        <v>10.81958</v>
      </c>
      <c r="Q30" s="2"/>
      <c r="S30" s="2">
        <v>0.14960000000000001</v>
      </c>
      <c r="T30" s="2">
        <v>16.343898970000001</v>
      </c>
      <c r="U30" s="2">
        <v>0.27760000000000001</v>
      </c>
      <c r="V30" s="2">
        <v>10.234730000000001</v>
      </c>
      <c r="W30" s="2"/>
      <c r="Y30" s="2">
        <v>0.14960000000000001</v>
      </c>
      <c r="Z30" s="2">
        <v>7.7615920000000003</v>
      </c>
      <c r="AA30" s="2">
        <v>0.27760000000000001</v>
      </c>
      <c r="AB30" s="2">
        <v>7.8172189999999997</v>
      </c>
      <c r="AE30" s="2">
        <v>0.14960000000000001</v>
      </c>
      <c r="AF30" s="2">
        <v>28.449390000000001</v>
      </c>
      <c r="AG30" s="2">
        <v>0.27760000000000001</v>
      </c>
      <c r="AH30" s="2">
        <v>16.75347</v>
      </c>
      <c r="AK30" s="2">
        <v>0.14960000000000001</v>
      </c>
      <c r="AL30" s="2">
        <v>1.523123</v>
      </c>
      <c r="AM30" s="2">
        <v>0.27760000000000001</v>
      </c>
      <c r="AN30" s="2">
        <v>3.5961129999999999</v>
      </c>
      <c r="AQ30" s="2">
        <v>0.14960000000000001</v>
      </c>
      <c r="AR30" s="2">
        <v>0.479354</v>
      </c>
      <c r="AS30" s="2">
        <v>0.27760000000000001</v>
      </c>
      <c r="AT30" s="2">
        <v>8.0642370000000003</v>
      </c>
    </row>
    <row r="31" spans="1:48">
      <c r="A31" s="2">
        <v>7.4200000000000002E-2</v>
      </c>
      <c r="B31" s="2">
        <v>5.9842129999999996</v>
      </c>
      <c r="C31" s="2">
        <v>0.18240000000000001</v>
      </c>
      <c r="D31" s="2">
        <v>0.263183</v>
      </c>
      <c r="E31" s="2"/>
      <c r="G31" s="2">
        <v>7.4200000000000002E-2</v>
      </c>
      <c r="H31" s="2">
        <v>11.62279</v>
      </c>
      <c r="I31" s="2">
        <v>0.18240000000000001</v>
      </c>
      <c r="J31" s="2">
        <v>0.92068799999999995</v>
      </c>
      <c r="K31" s="2"/>
      <c r="M31" s="2">
        <v>7.4200000000000002E-2</v>
      </c>
      <c r="N31" s="2">
        <v>16.095030000000001</v>
      </c>
      <c r="O31" s="2">
        <v>0.18240000000000001</v>
      </c>
      <c r="P31" s="2">
        <v>22.56203</v>
      </c>
      <c r="Q31" s="2"/>
      <c r="S31" s="2">
        <v>7.4200000000000002E-2</v>
      </c>
      <c r="T31" s="2">
        <v>0.141335975</v>
      </c>
      <c r="U31" s="2">
        <v>0.18240000000000001</v>
      </c>
      <c r="V31" s="2">
        <v>14.365019999999999</v>
      </c>
      <c r="W31" s="2"/>
      <c r="Y31" s="2">
        <v>7.4200000000000002E-2</v>
      </c>
      <c r="Z31" s="2">
        <v>0.19705300000000001</v>
      </c>
      <c r="AA31" s="2">
        <v>0.18240000000000001</v>
      </c>
      <c r="AB31" s="2">
        <v>11.26276</v>
      </c>
      <c r="AE31" s="2">
        <v>7.4200000000000002E-2</v>
      </c>
      <c r="AF31" s="2">
        <v>18.646879999999999</v>
      </c>
      <c r="AG31" s="2">
        <v>0.18240000000000001</v>
      </c>
      <c r="AH31" s="2">
        <v>21.090820000000001</v>
      </c>
      <c r="AK31" s="2">
        <v>7.4200000000000002E-2</v>
      </c>
      <c r="AL31" s="2">
        <v>4.0656840000000001</v>
      </c>
      <c r="AM31" s="2">
        <v>0.18240000000000001</v>
      </c>
      <c r="AN31" s="2">
        <v>4.7748989999999996</v>
      </c>
      <c r="AQ31" s="2">
        <v>7.4200000000000002E-2</v>
      </c>
      <c r="AR31" s="2">
        <v>8.5156320000000001</v>
      </c>
      <c r="AS31" s="2">
        <v>0.18240000000000001</v>
      </c>
      <c r="AT31" s="2">
        <v>5.534116</v>
      </c>
    </row>
    <row r="32" spans="1:48">
      <c r="A32" s="2">
        <v>0.22339999999999999</v>
      </c>
      <c r="B32" s="2">
        <v>6.2293690000000002</v>
      </c>
      <c r="C32" s="2">
        <v>0.29120000000000001</v>
      </c>
      <c r="D32" s="2">
        <v>7.7209539999999999</v>
      </c>
      <c r="E32" s="2"/>
      <c r="G32" s="2">
        <v>0.22339999999999999</v>
      </c>
      <c r="H32" s="2">
        <v>4.2530999999999999E-2</v>
      </c>
      <c r="I32" s="2">
        <v>0.29120000000000001</v>
      </c>
      <c r="J32" s="2">
        <v>1.323909</v>
      </c>
      <c r="K32" s="2"/>
      <c r="M32" s="2">
        <v>0.22339999999999999</v>
      </c>
      <c r="N32" s="2">
        <v>19.10933</v>
      </c>
      <c r="O32" s="2">
        <v>0.29120000000000001</v>
      </c>
      <c r="P32" s="2">
        <v>11.228249999999999</v>
      </c>
      <c r="Q32" s="2"/>
      <c r="S32" s="2">
        <v>0.22339999999999999</v>
      </c>
      <c r="T32" s="2">
        <v>38.034606570000001</v>
      </c>
      <c r="U32" s="2">
        <v>0.29120000000000001</v>
      </c>
      <c r="V32" s="2">
        <v>10.42544</v>
      </c>
      <c r="W32" s="2"/>
      <c r="Y32" s="2">
        <v>0.22339999999999999</v>
      </c>
      <c r="Z32" s="2">
        <v>21.273009999999999</v>
      </c>
      <c r="AA32" s="2">
        <v>0.29120000000000001</v>
      </c>
      <c r="AB32" s="2">
        <v>8.5528239999999993</v>
      </c>
      <c r="AE32" s="2">
        <v>0.22339999999999999</v>
      </c>
      <c r="AF32" s="2">
        <v>17.918839999999999</v>
      </c>
      <c r="AG32" s="2">
        <v>0.29120000000000001</v>
      </c>
      <c r="AH32" s="2">
        <v>26.298179999999999</v>
      </c>
      <c r="AK32" s="2">
        <v>0.22339999999999999</v>
      </c>
      <c r="AL32" s="2">
        <v>3.4639389999999999</v>
      </c>
      <c r="AM32" s="2">
        <v>0.29120000000000001</v>
      </c>
      <c r="AN32" s="2">
        <v>3.2800750000000001</v>
      </c>
      <c r="AQ32" s="2">
        <v>0.22339999999999999</v>
      </c>
      <c r="AR32" s="2">
        <v>7.5721540000000003</v>
      </c>
      <c r="AS32" s="2">
        <v>0.29120000000000001</v>
      </c>
      <c r="AT32" s="2">
        <v>7.4394260000000001</v>
      </c>
    </row>
    <row r="33" spans="1:46">
      <c r="A33" s="2">
        <v>0.2344</v>
      </c>
      <c r="B33" s="2">
        <v>2.6151800000000001</v>
      </c>
      <c r="C33" s="2">
        <v>0.28999999999999998</v>
      </c>
      <c r="D33" s="2">
        <v>7.4158140000000001</v>
      </c>
      <c r="E33" s="2"/>
      <c r="G33" s="2">
        <v>0.2344</v>
      </c>
      <c r="H33" s="2">
        <v>6.5060979999999997</v>
      </c>
      <c r="I33" s="2">
        <v>0.28999999999999998</v>
      </c>
      <c r="J33" s="2">
        <v>7.1669790000000004</v>
      </c>
      <c r="K33" s="2"/>
      <c r="M33" s="2">
        <v>0.2344</v>
      </c>
      <c r="N33" s="2">
        <v>14.456939999999999</v>
      </c>
      <c r="O33" s="2">
        <v>0.28999999999999998</v>
      </c>
      <c r="P33" s="2">
        <v>10.81958</v>
      </c>
      <c r="Q33" s="2"/>
      <c r="S33" s="2">
        <v>0.2344</v>
      </c>
      <c r="T33" s="2">
        <v>6.4446233000000006E-2</v>
      </c>
      <c r="U33" s="2">
        <v>0.28999999999999998</v>
      </c>
      <c r="V33" s="2">
        <v>4.5696560000000002</v>
      </c>
      <c r="W33" s="2"/>
      <c r="Y33" s="2">
        <v>0.2344</v>
      </c>
      <c r="Z33" s="2">
        <v>9.0003709999999995</v>
      </c>
      <c r="AA33" s="2">
        <v>0.28999999999999998</v>
      </c>
      <c r="AB33" s="2">
        <v>7.370406</v>
      </c>
      <c r="AE33" s="2">
        <v>0.2344</v>
      </c>
      <c r="AF33" s="2">
        <v>28.449390000000001</v>
      </c>
      <c r="AG33" s="2">
        <v>0.28999999999999998</v>
      </c>
      <c r="AH33" s="2">
        <v>17.81419</v>
      </c>
      <c r="AK33" s="2">
        <v>0.2344</v>
      </c>
      <c r="AL33" s="2">
        <v>2.0115769999999999</v>
      </c>
      <c r="AM33" s="2">
        <v>0.28999999999999998</v>
      </c>
      <c r="AN33" s="2">
        <v>3.1166070000000001</v>
      </c>
      <c r="AQ33" s="2">
        <v>0.2344</v>
      </c>
      <c r="AR33" s="2">
        <v>0.505355</v>
      </c>
      <c r="AS33" s="2">
        <v>0.28999999999999998</v>
      </c>
      <c r="AT33" s="2">
        <v>1.207665</v>
      </c>
    </row>
    <row r="34" spans="1:46">
      <c r="A34" s="2">
        <v>0.26619999999999999</v>
      </c>
      <c r="B34" s="2">
        <v>4.3554139999999997</v>
      </c>
      <c r="C34" s="2">
        <v>0.31359999999999999</v>
      </c>
      <c r="D34" s="2">
        <v>7.0373530000000004</v>
      </c>
      <c r="E34" s="2"/>
      <c r="G34" s="2">
        <v>0.26619999999999999</v>
      </c>
      <c r="H34" s="2">
        <v>7.954745</v>
      </c>
      <c r="I34" s="2">
        <v>0.31359999999999999</v>
      </c>
      <c r="J34" s="2">
        <v>1.0238259999999999</v>
      </c>
      <c r="K34" s="2"/>
      <c r="M34" s="2">
        <v>0.26619999999999999</v>
      </c>
      <c r="N34" s="2">
        <v>15.90002</v>
      </c>
      <c r="O34" s="2">
        <v>0.31359999999999999</v>
      </c>
      <c r="P34" s="2">
        <v>18.216100000000001</v>
      </c>
      <c r="Q34" s="2"/>
      <c r="S34" s="2">
        <v>0.26619999999999999</v>
      </c>
      <c r="T34" s="2">
        <v>37.230421589999999</v>
      </c>
      <c r="U34" s="2">
        <v>0.31359999999999999</v>
      </c>
      <c r="V34" s="2">
        <v>13.06827</v>
      </c>
      <c r="W34" s="2"/>
      <c r="Y34" s="2">
        <v>0.26619999999999999</v>
      </c>
      <c r="Z34" s="2">
        <v>11.44636</v>
      </c>
      <c r="AA34" s="2">
        <v>0.31359999999999999</v>
      </c>
      <c r="AB34" s="2">
        <v>7.9938739999999999</v>
      </c>
      <c r="AE34" s="2">
        <v>0.26619999999999999</v>
      </c>
      <c r="AF34" s="2">
        <v>25.405370000000001</v>
      </c>
      <c r="AG34" s="2">
        <v>0.31359999999999999</v>
      </c>
      <c r="AH34" s="2">
        <v>30.48856</v>
      </c>
      <c r="AK34" s="2">
        <v>0.26619999999999999</v>
      </c>
      <c r="AL34" s="2">
        <v>3.3580760000000001</v>
      </c>
      <c r="AM34" s="2">
        <v>0.31359999999999999</v>
      </c>
      <c r="AN34" s="2">
        <v>2.8402509999999999</v>
      </c>
      <c r="AQ34" s="2">
        <v>0.26619999999999999</v>
      </c>
      <c r="AR34" s="2">
        <v>6.0399310000000002</v>
      </c>
      <c r="AS34" s="2">
        <v>0.31359999999999999</v>
      </c>
      <c r="AT34" s="2">
        <v>1.3484640000000001</v>
      </c>
    </row>
    <row r="35" spans="1:46">
      <c r="A35" s="2">
        <v>0.20480000000000001</v>
      </c>
      <c r="B35" s="2">
        <v>7.4551480000000003</v>
      </c>
      <c r="C35" s="2">
        <v>0.2898</v>
      </c>
      <c r="D35" s="2">
        <v>7.7252749999999999</v>
      </c>
      <c r="E35" s="2"/>
      <c r="G35" s="2">
        <v>0.20480000000000001</v>
      </c>
      <c r="H35" s="2">
        <v>3.7887999999999998E-2</v>
      </c>
      <c r="I35" s="2">
        <v>0.2898</v>
      </c>
      <c r="J35" s="2">
        <v>0.29532399999999998</v>
      </c>
      <c r="K35" s="2"/>
      <c r="M35" s="2">
        <v>0.20480000000000001</v>
      </c>
      <c r="N35" s="2">
        <v>0.39577800000000002</v>
      </c>
      <c r="O35" s="2">
        <v>0.2898</v>
      </c>
      <c r="P35" s="2">
        <v>21.304030000000001</v>
      </c>
      <c r="Q35" s="2"/>
      <c r="S35" s="2">
        <v>0.20480000000000001</v>
      </c>
      <c r="T35" s="2">
        <v>17.112796379999999</v>
      </c>
      <c r="U35" s="2">
        <v>0.2898</v>
      </c>
      <c r="V35" s="2">
        <v>0.29725600000000002</v>
      </c>
      <c r="W35" s="2"/>
      <c r="Y35" s="2">
        <v>0.20480000000000001</v>
      </c>
      <c r="Z35" s="2">
        <v>14.54609</v>
      </c>
      <c r="AA35" s="2">
        <v>0.2898</v>
      </c>
      <c r="AB35" s="2">
        <v>11.16682</v>
      </c>
      <c r="AE35" s="2">
        <v>0.20480000000000001</v>
      </c>
      <c r="AF35" s="2">
        <v>16.648489999999999</v>
      </c>
      <c r="AG35" s="2">
        <v>0.2898</v>
      </c>
      <c r="AH35" s="2">
        <v>7.8218940000000003</v>
      </c>
      <c r="AK35" s="2">
        <v>0.20480000000000001</v>
      </c>
      <c r="AL35" s="2">
        <v>2.1657280000000001</v>
      </c>
      <c r="AM35" s="2">
        <v>0.2898</v>
      </c>
      <c r="AN35" s="2">
        <v>4.1465310000000004</v>
      </c>
      <c r="AQ35" s="2">
        <v>0.20480000000000001</v>
      </c>
      <c r="AR35" s="2">
        <v>8.4357699999999998</v>
      </c>
      <c r="AS35" s="2">
        <v>0.2898</v>
      </c>
      <c r="AT35" s="2">
        <v>10.02286</v>
      </c>
    </row>
    <row r="36" spans="1:46">
      <c r="A36" s="2">
        <v>0.16159999999999999</v>
      </c>
      <c r="B36" s="2">
        <v>22.478359999999999</v>
      </c>
      <c r="C36" s="2">
        <v>0.34760000000000002</v>
      </c>
      <c r="D36" s="2">
        <v>0.3417</v>
      </c>
      <c r="E36" s="2"/>
      <c r="G36" s="2">
        <v>0.16159999999999999</v>
      </c>
      <c r="H36" s="2">
        <v>12.90429</v>
      </c>
      <c r="I36" s="2">
        <v>0.34760000000000002</v>
      </c>
      <c r="J36" s="2">
        <v>1.5996710000000001</v>
      </c>
      <c r="K36" s="2"/>
      <c r="M36" s="2">
        <v>0.16159999999999999</v>
      </c>
      <c r="N36" s="2">
        <v>13.511609999999999</v>
      </c>
      <c r="O36" s="2">
        <v>0.34760000000000002</v>
      </c>
      <c r="P36" s="2">
        <v>13.35233</v>
      </c>
      <c r="Q36" s="2"/>
      <c r="S36" s="2">
        <v>0.16159999999999999</v>
      </c>
      <c r="T36" s="2">
        <v>47.972698569999999</v>
      </c>
      <c r="U36" s="2">
        <v>0.34760000000000002</v>
      </c>
      <c r="V36" s="2">
        <v>12.438319999999999</v>
      </c>
      <c r="W36" s="2"/>
      <c r="Y36" s="2">
        <v>0.16159999999999999</v>
      </c>
      <c r="Z36" s="2">
        <v>0.21562600000000001</v>
      </c>
      <c r="AA36" s="2">
        <v>0.34760000000000002</v>
      </c>
      <c r="AB36" s="2">
        <v>11.26924</v>
      </c>
      <c r="AE36" s="2">
        <v>0.16159999999999999</v>
      </c>
      <c r="AF36" s="2">
        <v>31.954000000000001</v>
      </c>
      <c r="AG36" s="2">
        <v>0.34760000000000002</v>
      </c>
      <c r="AH36" s="2">
        <v>6.8653719999999998</v>
      </c>
      <c r="AK36" s="2">
        <v>0.16159999999999999</v>
      </c>
      <c r="AL36" s="2">
        <v>0.98080900000000004</v>
      </c>
      <c r="AM36" s="2">
        <v>0.34760000000000002</v>
      </c>
      <c r="AN36" s="2">
        <v>3.5513620000000001</v>
      </c>
      <c r="AQ36" s="2">
        <v>0.16159999999999999</v>
      </c>
      <c r="AR36" s="2">
        <v>5.0110200000000003</v>
      </c>
      <c r="AS36" s="2">
        <v>0.34760000000000002</v>
      </c>
      <c r="AT36" s="2">
        <v>1.704019</v>
      </c>
    </row>
    <row r="37" spans="1:46">
      <c r="A37" s="2">
        <v>0.18720000000000001</v>
      </c>
      <c r="B37" s="2">
        <v>5.3489000000000002E-2</v>
      </c>
      <c r="C37" s="2">
        <v>0.32740000000000002</v>
      </c>
      <c r="D37" s="2">
        <v>23.84253</v>
      </c>
      <c r="E37" s="2"/>
      <c r="G37" s="2">
        <v>0.18720000000000001</v>
      </c>
      <c r="H37" s="2">
        <v>6.3463750000000001</v>
      </c>
      <c r="I37" s="2">
        <v>0.32740000000000002</v>
      </c>
      <c r="J37" s="2">
        <v>0.61736400000000002</v>
      </c>
      <c r="K37" s="2"/>
      <c r="M37" s="2">
        <v>0.18720000000000001</v>
      </c>
      <c r="N37" s="2">
        <v>19.051760000000002</v>
      </c>
      <c r="O37" s="2">
        <v>0.32740000000000002</v>
      </c>
      <c r="P37" s="2">
        <v>19.654109999999999</v>
      </c>
      <c r="Q37" s="2"/>
      <c r="S37" s="2">
        <v>0.18720000000000001</v>
      </c>
      <c r="T37" s="2">
        <v>0.14505045499999999</v>
      </c>
      <c r="U37" s="2">
        <v>0.32740000000000002</v>
      </c>
      <c r="V37" s="2">
        <v>24.0623</v>
      </c>
      <c r="W37" s="2"/>
      <c r="Y37" s="2">
        <v>0.18720000000000001</v>
      </c>
      <c r="Z37" s="2">
        <v>18.36458</v>
      </c>
      <c r="AA37" s="2">
        <v>0.32740000000000002</v>
      </c>
      <c r="AB37" s="2">
        <v>8.2149909999999995</v>
      </c>
      <c r="AE37" s="2">
        <v>0.18720000000000001</v>
      </c>
      <c r="AF37" s="2">
        <v>0.19519600000000001</v>
      </c>
      <c r="AG37" s="2">
        <v>0.32740000000000002</v>
      </c>
      <c r="AH37" s="2">
        <v>34.851179999999999</v>
      </c>
      <c r="AK37" s="2">
        <v>0.18720000000000001</v>
      </c>
      <c r="AL37" s="2">
        <v>2.1601560000000002</v>
      </c>
      <c r="AM37" s="2">
        <v>0.32740000000000002</v>
      </c>
      <c r="AN37" s="2">
        <v>2.7333660000000002</v>
      </c>
      <c r="AQ37" s="2">
        <v>0.18720000000000001</v>
      </c>
      <c r="AR37" s="2">
        <v>8.9725129999999993</v>
      </c>
      <c r="AS37" s="2">
        <v>0.32740000000000002</v>
      </c>
      <c r="AT37" s="2">
        <v>3.4835020000000001</v>
      </c>
    </row>
    <row r="38" spans="1:46">
      <c r="A38" s="2">
        <v>0.29060000000000002</v>
      </c>
      <c r="B38" s="2">
        <v>28.103940000000001</v>
      </c>
      <c r="C38" s="2">
        <v>0.24299999999999999</v>
      </c>
      <c r="D38" s="2">
        <v>27.78755</v>
      </c>
      <c r="E38" s="2"/>
      <c r="G38" s="2">
        <v>0.29060000000000002</v>
      </c>
      <c r="H38" s="2">
        <v>7.7615920000000003</v>
      </c>
      <c r="I38" s="2">
        <v>0.24299999999999999</v>
      </c>
      <c r="J38" s="2">
        <v>0.13967399999999999</v>
      </c>
      <c r="K38" s="2"/>
      <c r="M38" s="2">
        <v>0.29060000000000002</v>
      </c>
      <c r="N38" s="2">
        <v>0.41992200000000002</v>
      </c>
      <c r="O38" s="2">
        <v>0.24299999999999999</v>
      </c>
      <c r="P38" s="2">
        <v>23.121449999999999</v>
      </c>
      <c r="Q38" s="2"/>
      <c r="S38" s="2">
        <v>0.29060000000000002</v>
      </c>
      <c r="T38" s="2">
        <v>8.2054726680000005</v>
      </c>
      <c r="U38" s="2">
        <v>0.24299999999999999</v>
      </c>
      <c r="V38" s="2">
        <v>12.77938</v>
      </c>
      <c r="W38" s="2"/>
      <c r="Y38" s="2">
        <v>0.29060000000000002</v>
      </c>
      <c r="Z38" s="2">
        <v>23.319690000000001</v>
      </c>
      <c r="AA38" s="2">
        <v>0.24299999999999999</v>
      </c>
      <c r="AB38" s="2">
        <v>10.329179999999999</v>
      </c>
      <c r="AE38" s="2">
        <v>0.29060000000000002</v>
      </c>
      <c r="AF38" s="2">
        <v>26.597719999999999</v>
      </c>
      <c r="AG38" s="2">
        <v>0.24299999999999999</v>
      </c>
      <c r="AH38" s="2">
        <v>35.931890000000003</v>
      </c>
      <c r="AK38" s="2">
        <v>0.29060000000000002</v>
      </c>
      <c r="AL38" s="2">
        <v>2.6226090000000002</v>
      </c>
      <c r="AM38" s="2">
        <v>0.24299999999999999</v>
      </c>
      <c r="AN38" s="2">
        <v>4.2772300000000003</v>
      </c>
      <c r="AQ38" s="2">
        <v>0.29060000000000002</v>
      </c>
      <c r="AR38" s="2">
        <v>6.8366870000000004</v>
      </c>
      <c r="AS38" s="2">
        <v>0.24299999999999999</v>
      </c>
      <c r="AT38" s="2">
        <v>1.9323729999999999</v>
      </c>
    </row>
    <row r="39" spans="1:46">
      <c r="A39" s="2">
        <v>0.1794</v>
      </c>
      <c r="B39" s="2">
        <v>3.4729999999999997E-2</v>
      </c>
      <c r="C39" s="2">
        <v>0.19400000000000001</v>
      </c>
      <c r="D39" s="2">
        <v>31.599989999999998</v>
      </c>
      <c r="E39" s="2"/>
      <c r="G39" s="2">
        <v>0.1794</v>
      </c>
      <c r="H39" s="2">
        <v>5.8913510000000002</v>
      </c>
      <c r="I39" s="2">
        <v>0.19400000000000001</v>
      </c>
      <c r="J39" s="2">
        <v>8.7943940000000005</v>
      </c>
      <c r="K39" s="2"/>
      <c r="M39" s="2">
        <v>0.1794</v>
      </c>
      <c r="N39" s="2">
        <v>19.705500000000001</v>
      </c>
      <c r="O39" s="2">
        <v>0.19400000000000001</v>
      </c>
      <c r="P39" s="2">
        <v>15.80354</v>
      </c>
      <c r="Q39" s="2"/>
      <c r="S39" s="2">
        <v>0.1794</v>
      </c>
      <c r="T39" s="2">
        <v>0.104191172</v>
      </c>
      <c r="U39" s="2">
        <v>0.19400000000000001</v>
      </c>
      <c r="V39" s="2">
        <v>35.931890000000003</v>
      </c>
      <c r="W39" s="2"/>
      <c r="Y39" s="2">
        <v>0.1794</v>
      </c>
      <c r="Z39" s="2">
        <v>17.43224</v>
      </c>
      <c r="AA39" s="2">
        <v>0.19400000000000001</v>
      </c>
      <c r="AB39" s="2">
        <v>10.81958</v>
      </c>
      <c r="AE39" s="2">
        <v>0.1794</v>
      </c>
      <c r="AF39" s="2">
        <v>32.052439999999997</v>
      </c>
      <c r="AG39" s="2">
        <v>0.19400000000000001</v>
      </c>
      <c r="AH39" s="2">
        <v>24.209420000000001</v>
      </c>
      <c r="AK39" s="2">
        <v>0.1794</v>
      </c>
      <c r="AL39" s="2">
        <v>4.0285399999999996</v>
      </c>
      <c r="AM39" s="2">
        <v>0.19400000000000001</v>
      </c>
      <c r="AN39" s="2">
        <v>3.5961129999999999</v>
      </c>
      <c r="AQ39" s="2">
        <v>0.1794</v>
      </c>
      <c r="AR39" s="2">
        <v>8.7013560000000005</v>
      </c>
      <c r="AS39" s="2">
        <v>0.19400000000000001</v>
      </c>
      <c r="AT39" s="2">
        <v>4.745838</v>
      </c>
    </row>
    <row r="40" spans="1:46">
      <c r="A40" s="2">
        <v>0.1</v>
      </c>
      <c r="B40" s="2">
        <v>1.0029E-2</v>
      </c>
      <c r="C40" s="2">
        <v>0.1734</v>
      </c>
      <c r="D40" s="2">
        <v>29.453109999999999</v>
      </c>
      <c r="E40" s="2"/>
      <c r="G40" s="2">
        <v>0.1</v>
      </c>
      <c r="H40" s="2">
        <v>11.912520000000001</v>
      </c>
      <c r="I40" s="2">
        <v>0.1734</v>
      </c>
      <c r="J40" s="2">
        <v>8.8779439999999994</v>
      </c>
      <c r="K40" s="2"/>
      <c r="M40" s="2">
        <v>0.1</v>
      </c>
      <c r="N40" s="2">
        <v>13.42989</v>
      </c>
      <c r="O40" s="2">
        <v>0.1734</v>
      </c>
      <c r="P40" s="2">
        <v>14.813650000000001</v>
      </c>
      <c r="Q40" s="2"/>
      <c r="S40" s="2">
        <v>0.1</v>
      </c>
      <c r="T40" s="2">
        <v>13.3054541</v>
      </c>
      <c r="U40" s="2">
        <v>0.1734</v>
      </c>
      <c r="V40" s="2">
        <v>15.37125</v>
      </c>
      <c r="W40" s="2"/>
      <c r="Y40" s="2">
        <v>0.1</v>
      </c>
      <c r="Z40" s="2">
        <v>0.16733700000000001</v>
      </c>
      <c r="AA40" s="2">
        <v>0.1734</v>
      </c>
      <c r="AB40" s="2">
        <v>10.298299999999999</v>
      </c>
      <c r="AE40" s="2">
        <v>0.1</v>
      </c>
      <c r="AF40" s="2">
        <v>28.103940000000001</v>
      </c>
      <c r="AG40" s="2">
        <v>0.1734</v>
      </c>
      <c r="AH40" s="2">
        <v>22.493010000000002</v>
      </c>
      <c r="AK40" s="2">
        <v>0.1</v>
      </c>
      <c r="AL40" s="2">
        <v>0.70036500000000002</v>
      </c>
      <c r="AM40" s="2">
        <v>0.1734</v>
      </c>
      <c r="AN40" s="2">
        <v>3.8068050000000002</v>
      </c>
      <c r="AQ40" s="2">
        <v>0.1</v>
      </c>
      <c r="AR40" s="2">
        <v>8.2816200000000002</v>
      </c>
      <c r="AS40" s="2">
        <v>0.1734</v>
      </c>
      <c r="AT40" s="2">
        <v>1.7053339999999999</v>
      </c>
    </row>
    <row r="41" spans="1:46">
      <c r="A41" s="2">
        <v>0.18559999999999999</v>
      </c>
      <c r="B41" s="2">
        <v>2.563E-2</v>
      </c>
      <c r="C41" s="2">
        <v>0.20519999999999999</v>
      </c>
      <c r="D41" s="2">
        <v>22.981590000000001</v>
      </c>
      <c r="E41" s="2"/>
      <c r="G41" s="2">
        <v>0.18559999999999999</v>
      </c>
      <c r="H41" s="2">
        <v>8.0048910000000006</v>
      </c>
      <c r="I41" s="2">
        <v>0.20519999999999999</v>
      </c>
      <c r="J41" s="2">
        <v>6.1716410000000002</v>
      </c>
      <c r="K41" s="2"/>
      <c r="M41" s="2">
        <v>0.18559999999999999</v>
      </c>
      <c r="N41" s="2">
        <v>17.16666</v>
      </c>
      <c r="O41" s="2">
        <v>0.20519999999999999</v>
      </c>
      <c r="P41" s="2">
        <v>18.825880000000002</v>
      </c>
      <c r="Q41" s="2"/>
      <c r="S41" s="2">
        <v>0.18559999999999999</v>
      </c>
      <c r="T41" s="2">
        <v>13.02315359</v>
      </c>
      <c r="U41" s="2">
        <v>0.20519999999999999</v>
      </c>
      <c r="V41" s="2">
        <v>28.7393</v>
      </c>
      <c r="W41" s="2"/>
      <c r="Y41" s="2">
        <v>0.18559999999999999</v>
      </c>
      <c r="Z41" s="2">
        <v>8.9186530000000008</v>
      </c>
      <c r="AA41" s="2">
        <v>0.20519999999999999</v>
      </c>
      <c r="AB41" s="2">
        <v>6.4277410000000001</v>
      </c>
      <c r="AE41" s="2">
        <v>0.18559999999999999</v>
      </c>
      <c r="AF41" s="2">
        <v>29.42258</v>
      </c>
      <c r="AG41" s="2">
        <v>0.20519999999999999</v>
      </c>
      <c r="AH41" s="2">
        <v>34.11195</v>
      </c>
      <c r="AK41" s="2">
        <v>0.18559999999999999</v>
      </c>
      <c r="AL41" s="2">
        <v>2.6393239999999998</v>
      </c>
      <c r="AM41" s="2">
        <v>0.20519999999999999</v>
      </c>
      <c r="AN41" s="2">
        <v>2.513592</v>
      </c>
      <c r="AQ41" s="2">
        <v>0.18559999999999999</v>
      </c>
      <c r="AR41" s="2">
        <v>8.7013560000000005</v>
      </c>
      <c r="AS41" s="2">
        <v>0.20519999999999999</v>
      </c>
      <c r="AT41" s="2">
        <v>1.202216</v>
      </c>
    </row>
    <row r="42" spans="1:46">
      <c r="A42" s="2">
        <v>0.23580000000000001</v>
      </c>
      <c r="B42" s="2">
        <v>19.051760000000002</v>
      </c>
      <c r="C42" s="2">
        <v>0.18060000000000001</v>
      </c>
      <c r="D42" s="2">
        <v>27.031970000000001</v>
      </c>
      <c r="E42" s="2"/>
      <c r="G42" s="2">
        <v>0.23580000000000001</v>
      </c>
      <c r="H42" s="2">
        <v>7.0521269999999996</v>
      </c>
      <c r="I42" s="2">
        <v>0.18060000000000001</v>
      </c>
      <c r="J42" s="2">
        <v>6.9036140000000001</v>
      </c>
      <c r="K42" s="2"/>
      <c r="M42" s="2">
        <v>0.23580000000000001</v>
      </c>
      <c r="N42" s="2">
        <v>19.285769999999999</v>
      </c>
      <c r="O42" s="2">
        <v>0.18060000000000001</v>
      </c>
      <c r="P42" s="2">
        <v>23.121449999999999</v>
      </c>
      <c r="Q42" s="2"/>
      <c r="S42" s="2">
        <v>0.23580000000000001</v>
      </c>
      <c r="T42" s="2">
        <v>0.104191172</v>
      </c>
      <c r="U42" s="2">
        <v>0.18060000000000001</v>
      </c>
      <c r="V42" s="2">
        <v>5.2471389999999998</v>
      </c>
      <c r="W42" s="2"/>
      <c r="Y42" s="2">
        <v>0.23580000000000001</v>
      </c>
      <c r="Z42" s="2">
        <v>7.7133039999999999</v>
      </c>
      <c r="AA42" s="2">
        <v>0.18060000000000001</v>
      </c>
      <c r="AB42" s="2">
        <v>9.6498760000000008</v>
      </c>
      <c r="AE42" s="2">
        <v>0.23580000000000001</v>
      </c>
      <c r="AF42" s="2">
        <v>23.247260000000001</v>
      </c>
      <c r="AG42" s="2">
        <v>0.18060000000000001</v>
      </c>
      <c r="AH42" s="2">
        <v>8.6327420000000004</v>
      </c>
      <c r="AK42" s="2">
        <v>0.23580000000000001</v>
      </c>
      <c r="AL42" s="2">
        <v>0.503498</v>
      </c>
      <c r="AM42" s="2">
        <v>0.18060000000000001</v>
      </c>
      <c r="AN42" s="2">
        <v>4.6713690000000003</v>
      </c>
      <c r="AQ42" s="2">
        <v>0.23580000000000001</v>
      </c>
      <c r="AR42" s="2">
        <v>4.996162</v>
      </c>
      <c r="AS42" s="2">
        <v>0.18060000000000001</v>
      </c>
      <c r="AT42" s="2">
        <v>4.6568379999999996</v>
      </c>
    </row>
    <row r="43" spans="1:46">
      <c r="A43" s="2">
        <v>8.6999999999999994E-2</v>
      </c>
      <c r="B43" s="2">
        <v>1.6528999999999999E-2</v>
      </c>
      <c r="C43" s="2">
        <v>0.2114</v>
      </c>
      <c r="D43" s="2">
        <v>34.11195</v>
      </c>
      <c r="E43" s="2"/>
      <c r="G43" s="2">
        <v>8.6999999999999994E-2</v>
      </c>
      <c r="H43" s="2">
        <v>10.631030000000001</v>
      </c>
      <c r="I43" s="2">
        <v>0.2114</v>
      </c>
      <c r="J43" s="2">
        <v>0.78083199999999997</v>
      </c>
      <c r="K43" s="2"/>
      <c r="M43" s="2">
        <v>8.6999999999999994E-2</v>
      </c>
      <c r="N43" s="2">
        <v>0.44406600000000002</v>
      </c>
      <c r="O43" s="2">
        <v>0.2114</v>
      </c>
      <c r="P43" s="2">
        <v>18.54072</v>
      </c>
      <c r="Q43" s="2"/>
      <c r="S43" s="2">
        <v>8.6999999999999994E-2</v>
      </c>
      <c r="T43" s="2">
        <v>35.23760292</v>
      </c>
      <c r="U43" s="2">
        <v>0.2114</v>
      </c>
      <c r="V43" s="2">
        <v>12.58503</v>
      </c>
      <c r="W43" s="2"/>
      <c r="Y43" s="2">
        <v>8.6999999999999994E-2</v>
      </c>
      <c r="Z43" s="2">
        <v>0.19333900000000001</v>
      </c>
      <c r="AA43" s="2">
        <v>0.2114</v>
      </c>
      <c r="AB43" s="2">
        <v>13.057270000000001</v>
      </c>
      <c r="AE43" s="2">
        <v>8.6999999999999994E-2</v>
      </c>
      <c r="AF43" s="2">
        <v>9.6762000000000001E-2</v>
      </c>
      <c r="AG43" s="2">
        <v>0.2114</v>
      </c>
      <c r="AH43" s="2">
        <v>23.19229</v>
      </c>
      <c r="AK43" s="2">
        <v>8.6999999999999994E-2</v>
      </c>
      <c r="AL43" s="2">
        <v>3.530799</v>
      </c>
      <c r="AM43" s="2">
        <v>0.2114</v>
      </c>
      <c r="AN43" s="2">
        <v>4.9438149999999998</v>
      </c>
      <c r="AQ43" s="2">
        <v>8.6999999999999994E-2</v>
      </c>
      <c r="AR43" s="2">
        <v>0.29363</v>
      </c>
      <c r="AS43" s="2">
        <v>0.2114</v>
      </c>
      <c r="AT43" s="2">
        <v>6.3877819999999996</v>
      </c>
    </row>
    <row r="44" spans="1:46">
      <c r="A44" s="2">
        <v>2.2599999999999999E-2</v>
      </c>
      <c r="B44" s="2">
        <v>3.6588000000000002E-2</v>
      </c>
      <c r="C44" s="2">
        <v>0.23219999999999999</v>
      </c>
      <c r="D44" s="2">
        <v>27.11552</v>
      </c>
      <c r="E44" s="2"/>
      <c r="G44" s="2">
        <v>2.2599999999999999E-2</v>
      </c>
      <c r="H44" s="2">
        <v>5.2930999999999999E-2</v>
      </c>
      <c r="I44" s="2">
        <v>0.23219999999999999</v>
      </c>
      <c r="J44" s="2">
        <v>0.55924200000000002</v>
      </c>
      <c r="K44" s="2"/>
      <c r="M44" s="2">
        <v>2.2599999999999999E-2</v>
      </c>
      <c r="N44" s="2">
        <v>14.770820000000001</v>
      </c>
      <c r="O44" s="2">
        <v>0.23219999999999999</v>
      </c>
      <c r="P44" s="2">
        <v>20.896470000000001</v>
      </c>
      <c r="Q44" s="2"/>
      <c r="S44" s="2">
        <v>2.2599999999999999E-2</v>
      </c>
      <c r="T44" s="2">
        <v>35.999071379999997</v>
      </c>
      <c r="U44" s="2">
        <v>0.23219999999999999</v>
      </c>
      <c r="V44" s="2">
        <v>29.542110000000001</v>
      </c>
      <c r="W44" s="2"/>
      <c r="Y44" s="2">
        <v>2.2599999999999999E-2</v>
      </c>
      <c r="Z44" s="2">
        <v>0.25834200000000002</v>
      </c>
      <c r="AA44" s="2">
        <v>0.23219999999999999</v>
      </c>
      <c r="AB44" s="2">
        <v>8.8216380000000001</v>
      </c>
      <c r="AE44" s="2">
        <v>2.2599999999999999E-2</v>
      </c>
      <c r="AF44" s="2">
        <v>0.15062200000000001</v>
      </c>
      <c r="AG44" s="2">
        <v>0.23219999999999999</v>
      </c>
      <c r="AH44" s="2">
        <v>35.713929999999998</v>
      </c>
      <c r="AK44" s="2">
        <v>2.2599999999999999E-2</v>
      </c>
      <c r="AL44" s="2">
        <v>2.2010149999999999</v>
      </c>
      <c r="AM44" s="2">
        <v>0.23219999999999999</v>
      </c>
      <c r="AN44" s="2">
        <v>3.9284979999999998</v>
      </c>
      <c r="AQ44" s="2">
        <v>2.2599999999999999E-2</v>
      </c>
      <c r="AR44" s="2">
        <v>9.9345630000000007</v>
      </c>
      <c r="AS44" s="2">
        <v>0.23219999999999999</v>
      </c>
      <c r="AT44" s="2">
        <v>1.5291520000000001</v>
      </c>
    </row>
    <row r="45" spans="1:46">
      <c r="A45" s="2">
        <v>0.2616</v>
      </c>
      <c r="B45" s="2">
        <v>24.714479999999998</v>
      </c>
      <c r="C45" s="2">
        <v>0.19239999999999999</v>
      </c>
      <c r="D45" s="2">
        <v>25.898589999999999</v>
      </c>
      <c r="E45" s="2"/>
      <c r="G45" s="2">
        <v>0.2616</v>
      </c>
      <c r="H45" s="2">
        <v>8.9725129999999993</v>
      </c>
      <c r="I45" s="2">
        <v>0.19239999999999999</v>
      </c>
      <c r="J45" s="2">
        <v>6.1334989999999996</v>
      </c>
      <c r="K45" s="2"/>
      <c r="M45" s="2">
        <v>0.2616</v>
      </c>
      <c r="N45" s="2">
        <v>0.460781</v>
      </c>
      <c r="O45" s="2">
        <v>0.19239999999999999</v>
      </c>
      <c r="P45" s="2">
        <v>18.942119999999999</v>
      </c>
      <c r="Q45" s="2"/>
      <c r="S45" s="2">
        <v>0.2616</v>
      </c>
      <c r="T45" s="2">
        <v>19.40463072</v>
      </c>
      <c r="U45" s="2">
        <v>0.19239999999999999</v>
      </c>
      <c r="V45" s="2">
        <v>13.507720000000001</v>
      </c>
      <c r="W45" s="2"/>
      <c r="Y45" s="2">
        <v>0.2616</v>
      </c>
      <c r="Z45" s="2">
        <v>12.397259999999999</v>
      </c>
      <c r="AA45" s="2">
        <v>0.19239999999999999</v>
      </c>
      <c r="AB45" s="2">
        <v>6.6929220000000003</v>
      </c>
      <c r="AE45" s="2">
        <v>0.2616</v>
      </c>
      <c r="AF45" s="2">
        <v>29.513590000000001</v>
      </c>
      <c r="AG45" s="2">
        <v>0.19239999999999999</v>
      </c>
      <c r="AH45" s="2">
        <v>36.153480000000002</v>
      </c>
      <c r="AK45" s="2">
        <v>0.2616</v>
      </c>
      <c r="AL45" s="2">
        <v>1.153532</v>
      </c>
      <c r="AM45" s="2">
        <v>0.19239999999999999</v>
      </c>
      <c r="AN45" s="2">
        <v>2.7152029999999998</v>
      </c>
      <c r="AQ45" s="2">
        <v>0.2616</v>
      </c>
      <c r="AR45" s="2">
        <v>1.582554</v>
      </c>
      <c r="AS45" s="2">
        <v>0.19239999999999999</v>
      </c>
      <c r="AT45" s="2">
        <v>1.0896049999999999</v>
      </c>
    </row>
    <row r="46" spans="1:46">
      <c r="A46" s="2">
        <v>0.1414</v>
      </c>
      <c r="B46" s="2">
        <v>22.205349999999999</v>
      </c>
      <c r="C46" s="2">
        <v>0.1958</v>
      </c>
      <c r="D46" s="2">
        <v>34.426169999999999</v>
      </c>
      <c r="E46" s="2"/>
      <c r="G46" s="2">
        <v>0.1414</v>
      </c>
      <c r="H46" s="2">
        <v>11.269920000000001</v>
      </c>
      <c r="I46" s="2">
        <v>0.1958</v>
      </c>
      <c r="J46" s="2">
        <v>9.4446329999999996</v>
      </c>
      <c r="K46" s="2"/>
      <c r="M46" s="2">
        <v>0.1414</v>
      </c>
      <c r="N46" s="2">
        <v>22.205349999999999</v>
      </c>
      <c r="O46" s="2">
        <v>0.1958</v>
      </c>
      <c r="P46" s="2">
        <v>4.9274690000000003</v>
      </c>
      <c r="Q46" s="2"/>
      <c r="S46" s="2">
        <v>0.1414</v>
      </c>
      <c r="T46" s="2">
        <v>10.89475639</v>
      </c>
      <c r="U46" s="2">
        <v>0.1958</v>
      </c>
      <c r="V46" s="2">
        <v>5.3633829999999998</v>
      </c>
      <c r="W46" s="2"/>
      <c r="Y46" s="2">
        <v>0.1414</v>
      </c>
      <c r="Z46" s="2">
        <v>0.245341</v>
      </c>
      <c r="AA46" s="2">
        <v>0.1958</v>
      </c>
      <c r="AB46" s="2">
        <v>10.785069999999999</v>
      </c>
      <c r="AE46" s="2">
        <v>0.1414</v>
      </c>
      <c r="AF46" s="2">
        <v>0.16176599999999999</v>
      </c>
      <c r="AG46" s="2">
        <v>0.1958</v>
      </c>
      <c r="AH46" s="2">
        <v>23.050609999999999</v>
      </c>
      <c r="AK46" s="2">
        <v>0.1414</v>
      </c>
      <c r="AL46" s="2">
        <v>2.4777439999999999</v>
      </c>
      <c r="AM46" s="2">
        <v>0.1958</v>
      </c>
      <c r="AN46" s="2">
        <v>4.8820610000000002</v>
      </c>
      <c r="AQ46" s="2">
        <v>0.1414</v>
      </c>
      <c r="AR46" s="2">
        <v>6.4058070000000003</v>
      </c>
      <c r="AS46" s="2">
        <v>0.1958</v>
      </c>
      <c r="AT46" s="2">
        <v>6.0390509999999997</v>
      </c>
    </row>
    <row r="47" spans="1:46">
      <c r="A47" s="2">
        <v>8.3599999999999994E-2</v>
      </c>
      <c r="B47" s="2">
        <v>19.10933</v>
      </c>
      <c r="C47" s="2">
        <v>0.20399999999999999</v>
      </c>
      <c r="D47" s="2">
        <v>24.81062</v>
      </c>
      <c r="E47" s="2"/>
      <c r="G47" s="2">
        <v>8.3599999999999994E-2</v>
      </c>
      <c r="H47" s="2">
        <v>6.5878170000000003</v>
      </c>
      <c r="I47" s="2">
        <v>0.20399999999999999</v>
      </c>
      <c r="J47" s="2">
        <v>8.3439490000000003</v>
      </c>
      <c r="K47" s="2"/>
      <c r="M47" s="2">
        <v>8.3599999999999994E-2</v>
      </c>
      <c r="N47" s="2">
        <v>19.764939999999999</v>
      </c>
      <c r="O47" s="2">
        <v>0.20399999999999999</v>
      </c>
      <c r="P47" s="2">
        <v>10.91948</v>
      </c>
      <c r="Q47" s="2"/>
      <c r="S47" s="2">
        <v>8.3599999999999994E-2</v>
      </c>
      <c r="T47" s="2">
        <v>18.59115954</v>
      </c>
      <c r="U47" s="2">
        <v>0.20399999999999999</v>
      </c>
      <c r="V47" s="2">
        <v>34.638680000000001</v>
      </c>
      <c r="W47" s="2"/>
      <c r="Y47" s="2">
        <v>8.3599999999999994E-2</v>
      </c>
      <c r="Z47" s="2">
        <v>7.8098809999999999</v>
      </c>
      <c r="AA47" s="2">
        <v>0.20399999999999999</v>
      </c>
      <c r="AB47" s="2">
        <v>5.6031360000000001</v>
      </c>
      <c r="AE47" s="2">
        <v>8.3599999999999994E-2</v>
      </c>
      <c r="AF47" s="2">
        <v>23.75057</v>
      </c>
      <c r="AG47" s="2">
        <v>0.20399999999999999</v>
      </c>
      <c r="AH47" s="2">
        <v>33.801360000000003</v>
      </c>
      <c r="AK47" s="2">
        <v>8.3599999999999994E-2</v>
      </c>
      <c r="AL47" s="2">
        <v>1.6720000000000001E-3</v>
      </c>
      <c r="AM47" s="2">
        <v>0.20399999999999999</v>
      </c>
      <c r="AN47" s="2">
        <v>2.473633</v>
      </c>
      <c r="AQ47" s="2">
        <v>8.3599999999999994E-2</v>
      </c>
      <c r="AR47" s="2">
        <v>4.996162</v>
      </c>
      <c r="AS47" s="2">
        <v>0.20399999999999999</v>
      </c>
      <c r="AT47" s="2">
        <v>3.5289100000000002</v>
      </c>
    </row>
    <row r="48" spans="1:46">
      <c r="A48" s="2">
        <v>9.0999999999999998E-2</v>
      </c>
      <c r="B48" s="2">
        <v>24.04402</v>
      </c>
      <c r="C48" s="2">
        <v>0.22819999999999999</v>
      </c>
      <c r="D48" s="2">
        <v>34.11195</v>
      </c>
      <c r="E48" s="2"/>
      <c r="G48" s="2">
        <v>9.0999999999999998E-2</v>
      </c>
      <c r="H48" s="2">
        <v>7.0521269999999996</v>
      </c>
      <c r="I48" s="2">
        <v>0.22819999999999999</v>
      </c>
      <c r="J48" s="2">
        <v>0.217776</v>
      </c>
      <c r="K48" s="2"/>
      <c r="M48" s="2">
        <v>9.0999999999999998E-2</v>
      </c>
      <c r="N48" s="2">
        <v>17.97456</v>
      </c>
      <c r="O48" s="2">
        <v>0.22819999999999999</v>
      </c>
      <c r="P48" s="2">
        <v>18.313680000000002</v>
      </c>
      <c r="Q48" s="2"/>
      <c r="S48" s="2">
        <v>9.0999999999999998E-2</v>
      </c>
      <c r="T48" s="2">
        <v>0.14319321500000001</v>
      </c>
      <c r="U48" s="2">
        <v>0.22819999999999999</v>
      </c>
      <c r="V48" s="2">
        <v>36.485860000000002</v>
      </c>
      <c r="W48" s="2"/>
      <c r="Y48" s="2">
        <v>9.0999999999999998E-2</v>
      </c>
      <c r="Z48" s="2">
        <v>10.79632</v>
      </c>
      <c r="AA48" s="2">
        <v>0.22819999999999999</v>
      </c>
      <c r="AB48" s="2">
        <v>15.136950000000001</v>
      </c>
      <c r="AE48" s="2">
        <v>9.0999999999999998E-2</v>
      </c>
      <c r="AF48" s="2">
        <v>28.18938</v>
      </c>
      <c r="AG48" s="2">
        <v>0.22819999999999999</v>
      </c>
      <c r="AH48" s="2">
        <v>23.62275</v>
      </c>
      <c r="AK48" s="2">
        <v>9.0999999999999998E-2</v>
      </c>
      <c r="AL48" s="2">
        <v>2.6001E-2</v>
      </c>
      <c r="AM48" s="2">
        <v>0.22819999999999999</v>
      </c>
      <c r="AN48" s="2">
        <v>4.9274690000000003</v>
      </c>
      <c r="AQ48" s="2">
        <v>9.0999999999999998E-2</v>
      </c>
      <c r="AR48" s="2">
        <v>1.4061170000000001</v>
      </c>
      <c r="AS48" s="2">
        <v>0.22819999999999999</v>
      </c>
      <c r="AT48" s="2">
        <v>2.0304530000000001</v>
      </c>
    </row>
    <row r="49" spans="1:46">
      <c r="A49" s="2">
        <v>0.1938</v>
      </c>
      <c r="B49" s="2">
        <v>3.6588000000000002E-2</v>
      </c>
      <c r="C49" s="2">
        <v>0.1946</v>
      </c>
      <c r="D49" s="2">
        <v>29.998000000000001</v>
      </c>
      <c r="E49" s="2"/>
      <c r="G49" s="2">
        <v>0.1938</v>
      </c>
      <c r="H49" s="2">
        <v>6.3463750000000001</v>
      </c>
      <c r="I49" s="2">
        <v>0.1946</v>
      </c>
      <c r="J49" s="2">
        <v>9.6498760000000008</v>
      </c>
      <c r="K49" s="2"/>
      <c r="M49" s="2">
        <v>0.1938</v>
      </c>
      <c r="N49" s="2">
        <v>18.306999999999999</v>
      </c>
      <c r="O49" s="2">
        <v>0.1946</v>
      </c>
      <c r="P49" s="2">
        <v>20.453289999999999</v>
      </c>
      <c r="Q49" s="2"/>
      <c r="S49" s="2">
        <v>0.1938</v>
      </c>
      <c r="T49" s="2">
        <v>7.7133040299999998</v>
      </c>
      <c r="U49" s="2">
        <v>0.1946</v>
      </c>
      <c r="V49" s="2">
        <v>5.2144459999999997</v>
      </c>
      <c r="W49" s="2"/>
      <c r="Y49" s="2">
        <v>0.1938</v>
      </c>
      <c r="Z49" s="2">
        <v>10.15</v>
      </c>
      <c r="AA49" s="2">
        <v>0.1946</v>
      </c>
      <c r="AB49" s="2">
        <v>9.5027550000000005</v>
      </c>
      <c r="AE49" s="2">
        <v>0.1938</v>
      </c>
      <c r="AF49" s="2">
        <v>0.17290900000000001</v>
      </c>
      <c r="AG49" s="2">
        <v>0.1946</v>
      </c>
      <c r="AH49" s="2">
        <v>21.350549999999998</v>
      </c>
      <c r="AK49" s="2">
        <v>0.1938</v>
      </c>
      <c r="AL49" s="2">
        <v>2.4145979999999998</v>
      </c>
      <c r="AM49" s="2">
        <v>0.1946</v>
      </c>
      <c r="AN49" s="2">
        <v>4.7022459999999997</v>
      </c>
      <c r="AQ49" s="2">
        <v>0.1938</v>
      </c>
      <c r="AR49" s="2">
        <v>0.28991499999999998</v>
      </c>
      <c r="AS49" s="2">
        <v>0.1946</v>
      </c>
      <c r="AT49" s="2">
        <v>5.6558089999999996</v>
      </c>
    </row>
    <row r="50" spans="1:46">
      <c r="A50" s="2">
        <v>0.19520000000000001</v>
      </c>
      <c r="B50" s="2">
        <v>4.4944999999999999E-2</v>
      </c>
      <c r="C50" s="2">
        <v>0.21279999999999999</v>
      </c>
      <c r="D50" s="2">
        <v>26.3781</v>
      </c>
      <c r="E50" s="2"/>
      <c r="G50" s="2">
        <v>0.19520000000000001</v>
      </c>
      <c r="H50" s="2">
        <v>4.9032999999999998</v>
      </c>
      <c r="I50" s="2">
        <v>0.21279999999999999</v>
      </c>
      <c r="J50" s="2">
        <v>10.785069999999999</v>
      </c>
      <c r="K50" s="2"/>
      <c r="M50" s="2">
        <v>0.19520000000000001</v>
      </c>
      <c r="N50" s="2">
        <v>19.705500000000001</v>
      </c>
      <c r="O50" s="2">
        <v>0.21279999999999999</v>
      </c>
      <c r="P50" s="2">
        <v>14.72283</v>
      </c>
      <c r="Q50" s="2"/>
      <c r="S50" s="2">
        <v>0.19520000000000001</v>
      </c>
      <c r="T50" s="2">
        <v>42.326688539999999</v>
      </c>
      <c r="U50" s="2">
        <v>0.21279999999999999</v>
      </c>
      <c r="V50" s="2">
        <v>4.685899</v>
      </c>
      <c r="W50" s="2"/>
      <c r="Y50" s="2">
        <v>0.19520000000000001</v>
      </c>
      <c r="Z50" s="2">
        <v>18.476009999999999</v>
      </c>
      <c r="AA50" s="2">
        <v>0.21279999999999999</v>
      </c>
      <c r="AB50" s="2">
        <v>7.2341829999999998</v>
      </c>
      <c r="AE50" s="2">
        <v>0.19520000000000001</v>
      </c>
      <c r="AF50" s="2">
        <v>21.273009999999999</v>
      </c>
      <c r="AG50" s="2">
        <v>0.21279999999999999</v>
      </c>
      <c r="AH50" s="2">
        <v>34.956530000000001</v>
      </c>
      <c r="AK50" s="2">
        <v>0.19520000000000001</v>
      </c>
      <c r="AL50" s="2">
        <v>3.0442019999999999</v>
      </c>
      <c r="AM50" s="2">
        <v>0.21279999999999999</v>
      </c>
      <c r="AN50" s="2">
        <v>4.1446389999999997</v>
      </c>
      <c r="AQ50" s="2">
        <v>0.19520000000000001</v>
      </c>
      <c r="AR50" s="2">
        <v>0.23419799999999999</v>
      </c>
      <c r="AS50" s="2">
        <v>0.21279999999999999</v>
      </c>
      <c r="AT50" s="2">
        <v>4.4842890000000004</v>
      </c>
    </row>
    <row r="51" spans="1:46">
      <c r="A51" s="2">
        <v>0.22</v>
      </c>
      <c r="B51" s="2">
        <v>2.6929999999999999E-2</v>
      </c>
      <c r="C51" s="2">
        <v>0.18240000000000001</v>
      </c>
      <c r="D51" s="2">
        <v>34.008420000000001</v>
      </c>
      <c r="E51" s="2"/>
      <c r="G51" s="2">
        <v>0.22</v>
      </c>
      <c r="H51" s="2">
        <v>7.2285640000000004</v>
      </c>
      <c r="I51" s="2">
        <v>0.18240000000000001</v>
      </c>
      <c r="J51" s="2">
        <v>0.92795300000000003</v>
      </c>
      <c r="K51" s="2"/>
      <c r="M51" s="2">
        <v>0.22</v>
      </c>
      <c r="N51" s="2">
        <v>15.277839999999999</v>
      </c>
      <c r="O51" s="2">
        <v>0.18240000000000001</v>
      </c>
      <c r="P51" s="2">
        <v>20.832899999999999</v>
      </c>
      <c r="Q51" s="2"/>
      <c r="S51" s="2">
        <v>0.22</v>
      </c>
      <c r="T51" s="2">
        <v>38.151612700000001</v>
      </c>
      <c r="U51" s="2">
        <v>0.18240000000000001</v>
      </c>
      <c r="V51" s="2">
        <v>13.139010000000001</v>
      </c>
      <c r="W51" s="2"/>
      <c r="Y51" s="2">
        <v>0.22</v>
      </c>
      <c r="Z51" s="2">
        <v>10.762890000000001</v>
      </c>
      <c r="AA51" s="2">
        <v>0.18240000000000001</v>
      </c>
      <c r="AB51" s="2">
        <v>12.739420000000001</v>
      </c>
      <c r="AE51" s="2">
        <v>0.22</v>
      </c>
      <c r="AF51" s="2">
        <v>25.48338</v>
      </c>
      <c r="AG51" s="2">
        <v>0.18240000000000001</v>
      </c>
      <c r="AH51" s="2">
        <v>22.631049999999998</v>
      </c>
      <c r="AK51" s="2">
        <v>0.22</v>
      </c>
      <c r="AL51" s="2">
        <v>1.6401289999999999</v>
      </c>
      <c r="AM51" s="2">
        <v>0.18240000000000001</v>
      </c>
      <c r="AN51" s="2">
        <v>4.8511839999999999</v>
      </c>
      <c r="AQ51" s="2">
        <v>0.22</v>
      </c>
      <c r="AR51" s="2">
        <v>0.23605499999999999</v>
      </c>
      <c r="AS51" s="2">
        <v>0.18240000000000001</v>
      </c>
      <c r="AT51" s="2">
        <v>6.2497429999999996</v>
      </c>
    </row>
    <row r="52" spans="1:46">
      <c r="A52" s="2">
        <v>0.25619999999999998</v>
      </c>
      <c r="B52" s="2">
        <v>16.698630000000001</v>
      </c>
      <c r="C52" s="2">
        <v>0.13719999999999999</v>
      </c>
      <c r="D52" s="2">
        <v>33.594299999999997</v>
      </c>
      <c r="E52" s="2"/>
      <c r="G52" s="2">
        <v>0.25619999999999998</v>
      </c>
      <c r="H52" s="2">
        <v>6.2683710000000001</v>
      </c>
      <c r="I52" s="2">
        <v>0.13719999999999999</v>
      </c>
      <c r="J52" s="2">
        <v>9.8623840000000005</v>
      </c>
      <c r="K52" s="2"/>
      <c r="M52" s="2">
        <v>0.25619999999999998</v>
      </c>
      <c r="N52" s="2">
        <v>15.70501</v>
      </c>
      <c r="O52" s="2">
        <v>0.13719999999999999</v>
      </c>
      <c r="P52" s="2">
        <v>0.433917</v>
      </c>
      <c r="Q52" s="2"/>
      <c r="S52" s="2">
        <v>0.25619999999999998</v>
      </c>
      <c r="T52" s="2">
        <v>18.028415769999999</v>
      </c>
      <c r="U52" s="2">
        <v>0.13719999999999999</v>
      </c>
      <c r="V52" s="2">
        <v>12.701280000000001</v>
      </c>
      <c r="W52" s="2"/>
      <c r="Y52" s="2">
        <v>0.25619999999999998</v>
      </c>
      <c r="Z52" s="2">
        <v>4.9348729999999996</v>
      </c>
      <c r="AA52" s="2">
        <v>0.13719999999999999</v>
      </c>
      <c r="AB52" s="2">
        <v>11.43713</v>
      </c>
      <c r="AE52" s="2">
        <v>0.25619999999999998</v>
      </c>
      <c r="AF52" s="2">
        <v>27.76221</v>
      </c>
      <c r="AG52" s="2">
        <v>0.13719999999999999</v>
      </c>
      <c r="AH52" s="2">
        <v>23.406610000000001</v>
      </c>
      <c r="AK52" s="2">
        <v>0.25619999999999998</v>
      </c>
      <c r="AL52" s="2">
        <v>0.81551399999999996</v>
      </c>
      <c r="AM52" s="2">
        <v>0.13719999999999999</v>
      </c>
      <c r="AN52" s="2">
        <v>4.0302110000000004</v>
      </c>
      <c r="AQ52" s="2">
        <v>0.25619999999999998</v>
      </c>
      <c r="AR52" s="2">
        <v>3.553086</v>
      </c>
      <c r="AS52" s="2">
        <v>0.13719999999999999</v>
      </c>
      <c r="AT52" s="2">
        <v>5.9082759999999999</v>
      </c>
    </row>
    <row r="53" spans="1:46">
      <c r="A53" s="2">
        <v>0.11020000000000001</v>
      </c>
      <c r="B53" s="2">
        <v>2.0986999999999999E-2</v>
      </c>
      <c r="C53" s="2">
        <v>0.155</v>
      </c>
      <c r="D53" s="2">
        <v>34.851179999999999</v>
      </c>
      <c r="E53" s="2"/>
      <c r="G53" s="2">
        <v>0.11020000000000001</v>
      </c>
      <c r="H53" s="2">
        <v>11.65808</v>
      </c>
      <c r="I53" s="2">
        <v>0.155</v>
      </c>
      <c r="J53" s="2">
        <v>9.3865110000000005</v>
      </c>
      <c r="K53" s="2"/>
      <c r="M53" s="2">
        <v>0.11020000000000001</v>
      </c>
      <c r="N53" s="2">
        <v>17.21866</v>
      </c>
      <c r="O53" s="2">
        <v>0.155</v>
      </c>
      <c r="P53" s="2">
        <v>18.597020000000001</v>
      </c>
      <c r="Q53" s="2"/>
      <c r="S53" s="2">
        <v>0.11020000000000001</v>
      </c>
      <c r="T53" s="2">
        <v>35.889494210000002</v>
      </c>
      <c r="U53" s="2">
        <v>0.155</v>
      </c>
      <c r="V53" s="2">
        <v>41.233699999999999</v>
      </c>
      <c r="W53" s="2"/>
      <c r="Y53" s="2">
        <v>0.11020000000000001</v>
      </c>
      <c r="Z53" s="2">
        <v>0.19333900000000001</v>
      </c>
      <c r="AA53" s="2">
        <v>0.155</v>
      </c>
      <c r="AB53" s="2">
        <v>11.79494</v>
      </c>
      <c r="AE53" s="2">
        <v>0.11020000000000001</v>
      </c>
      <c r="AF53" s="2">
        <v>0.120906</v>
      </c>
      <c r="AG53" s="2">
        <v>0.155</v>
      </c>
      <c r="AH53" s="2">
        <v>10.58709</v>
      </c>
      <c r="AK53" s="2">
        <v>0.11020000000000001</v>
      </c>
      <c r="AL53" s="2">
        <v>0.95480699999999996</v>
      </c>
      <c r="AM53" s="2">
        <v>0.155</v>
      </c>
      <c r="AN53" s="2">
        <v>5.0364469999999999</v>
      </c>
      <c r="AQ53" s="2">
        <v>0.11020000000000001</v>
      </c>
      <c r="AR53" s="2">
        <v>7.954745</v>
      </c>
      <c r="AS53" s="2">
        <v>0.155</v>
      </c>
      <c r="AT53" s="2">
        <v>1.779803</v>
      </c>
    </row>
    <row r="54" spans="1:46">
      <c r="A54" s="2">
        <v>0.18240000000000001</v>
      </c>
      <c r="B54" s="2">
        <v>30.70965</v>
      </c>
      <c r="C54" s="2">
        <v>0.23580000000000001</v>
      </c>
      <c r="D54" s="2">
        <v>29.09348</v>
      </c>
      <c r="E54" s="2"/>
      <c r="G54" s="2">
        <v>0.18240000000000001</v>
      </c>
      <c r="H54" s="2">
        <v>0.14133599999999999</v>
      </c>
      <c r="I54" s="2">
        <v>0.23580000000000001</v>
      </c>
      <c r="J54" s="2">
        <v>0.773567</v>
      </c>
      <c r="K54" s="2"/>
      <c r="M54" s="2">
        <v>0.18240000000000001</v>
      </c>
      <c r="N54" s="2">
        <v>28.362100000000002</v>
      </c>
      <c r="O54" s="2">
        <v>0.23580000000000001</v>
      </c>
      <c r="P54" s="2">
        <v>14.951689999999999</v>
      </c>
      <c r="Q54" s="2"/>
      <c r="S54" s="2">
        <v>0.18240000000000001</v>
      </c>
      <c r="T54" s="2">
        <v>10.27629542</v>
      </c>
      <c r="U54" s="2">
        <v>0.23580000000000001</v>
      </c>
      <c r="V54" s="2">
        <v>30.46116</v>
      </c>
      <c r="W54" s="2"/>
      <c r="Y54" s="2">
        <v>0.18240000000000001</v>
      </c>
      <c r="Z54" s="2">
        <v>15.996600000000001</v>
      </c>
      <c r="AA54" s="2">
        <v>0.23580000000000001</v>
      </c>
      <c r="AB54" s="2">
        <v>9.6498760000000008</v>
      </c>
      <c r="AE54" s="2">
        <v>0.18240000000000001</v>
      </c>
      <c r="AF54" s="2">
        <v>22.6158</v>
      </c>
      <c r="AG54" s="2">
        <v>0.23580000000000001</v>
      </c>
      <c r="AH54" s="2">
        <v>35.387</v>
      </c>
      <c r="AK54" s="2">
        <v>0.18240000000000001</v>
      </c>
      <c r="AL54" s="2">
        <v>5.6944840000000001</v>
      </c>
      <c r="AM54" s="2">
        <v>0.23580000000000001</v>
      </c>
      <c r="AN54" s="2">
        <v>4.4279830000000002</v>
      </c>
      <c r="AQ54" s="2">
        <v>0.18240000000000001</v>
      </c>
      <c r="AR54" s="2">
        <v>7.6427290000000001</v>
      </c>
      <c r="AS54" s="2">
        <v>0.23580000000000001</v>
      </c>
      <c r="AT54" s="2">
        <v>4.8057759999999998</v>
      </c>
    </row>
    <row r="55" spans="1:46">
      <c r="A55" s="2">
        <v>0.28660000000000002</v>
      </c>
      <c r="B55" s="2">
        <v>31.183250000000001</v>
      </c>
      <c r="C55" s="2">
        <v>0.27279999999999999</v>
      </c>
      <c r="D55" s="2">
        <v>26.3781</v>
      </c>
      <c r="E55" s="2"/>
      <c r="G55" s="2">
        <v>0.28660000000000002</v>
      </c>
      <c r="H55" s="2">
        <v>5.4846159999999999</v>
      </c>
      <c r="I55" s="2">
        <v>0.27279999999999999</v>
      </c>
      <c r="J55" s="2">
        <v>10.140280000000001</v>
      </c>
      <c r="K55" s="2"/>
      <c r="M55" s="2">
        <v>0.28660000000000002</v>
      </c>
      <c r="N55" s="2">
        <v>29.42258</v>
      </c>
      <c r="O55" s="2">
        <v>0.27279999999999999</v>
      </c>
      <c r="P55" s="2">
        <v>12.859299999999999</v>
      </c>
      <c r="Q55" s="2"/>
      <c r="S55" s="2">
        <v>0.28660000000000002</v>
      </c>
      <c r="T55" s="2">
        <v>16.046740539999998</v>
      </c>
      <c r="U55" s="2">
        <v>0.27279999999999999</v>
      </c>
      <c r="V55" s="2">
        <v>4.6713690000000003</v>
      </c>
      <c r="W55" s="2"/>
      <c r="Y55" s="2">
        <v>0.28660000000000002</v>
      </c>
      <c r="Z55" s="2">
        <v>23.462700000000002</v>
      </c>
      <c r="AA55" s="2">
        <v>0.27279999999999999</v>
      </c>
      <c r="AB55" s="2">
        <v>5.2307930000000002</v>
      </c>
      <c r="AE55" s="2">
        <v>0.28660000000000002</v>
      </c>
      <c r="AF55" s="2">
        <v>26.436140000000002</v>
      </c>
      <c r="AG55" s="2">
        <v>0.27279999999999999</v>
      </c>
      <c r="AH55" s="2">
        <v>34.638680000000001</v>
      </c>
      <c r="AK55" s="2">
        <v>0.28660000000000002</v>
      </c>
      <c r="AL55" s="2">
        <v>2.286448</v>
      </c>
      <c r="AM55" s="2">
        <v>0.27279999999999999</v>
      </c>
      <c r="AN55" s="2">
        <v>4.1446389999999997</v>
      </c>
      <c r="AQ55" s="2">
        <v>0.28660000000000002</v>
      </c>
      <c r="AR55" s="2">
        <v>6.2293690000000002</v>
      </c>
      <c r="AS55" s="2">
        <v>0.27279999999999999</v>
      </c>
      <c r="AT55" s="2">
        <v>4.7022459999999997</v>
      </c>
    </row>
    <row r="56" spans="1:46">
      <c r="A56" s="2">
        <v>8.3000000000000004E-2</v>
      </c>
      <c r="B56" s="2">
        <v>29.693739999999998</v>
      </c>
      <c r="C56" s="2">
        <v>0.20580000000000001</v>
      </c>
      <c r="D56" s="2">
        <v>26.3781</v>
      </c>
      <c r="E56" s="2"/>
      <c r="G56" s="2">
        <v>8.3000000000000004E-2</v>
      </c>
      <c r="H56" s="2">
        <v>0.130193</v>
      </c>
      <c r="I56" s="2">
        <v>0.20580000000000001</v>
      </c>
      <c r="J56" s="2">
        <v>9.7098139999999997</v>
      </c>
      <c r="K56" s="2"/>
      <c r="M56" s="2">
        <v>8.3000000000000004E-2</v>
      </c>
      <c r="N56" s="2">
        <v>25.639389999999999</v>
      </c>
      <c r="O56" s="2">
        <v>0.20580000000000001</v>
      </c>
      <c r="P56" s="2">
        <v>13.01732</v>
      </c>
      <c r="Q56" s="2"/>
      <c r="S56" s="2">
        <v>8.3000000000000004E-2</v>
      </c>
      <c r="T56" s="2">
        <v>0.30663034700000003</v>
      </c>
      <c r="U56" s="2">
        <v>0.20580000000000001</v>
      </c>
      <c r="V56" s="2">
        <v>12.66132</v>
      </c>
      <c r="W56" s="2"/>
      <c r="Y56" s="2">
        <v>8.3000000000000004E-2</v>
      </c>
      <c r="Z56" s="2">
        <v>14.23593</v>
      </c>
      <c r="AA56" s="2">
        <v>0.20580000000000001</v>
      </c>
      <c r="AB56" s="2">
        <v>5.5159529999999997</v>
      </c>
      <c r="AE56" s="2">
        <v>8.3000000000000004E-2</v>
      </c>
      <c r="AF56" s="2">
        <v>21.800470000000001</v>
      </c>
      <c r="AG56" s="2">
        <v>0.20580000000000001</v>
      </c>
      <c r="AH56" s="2">
        <v>34.744019999999999</v>
      </c>
      <c r="AK56" s="2">
        <v>8.3000000000000004E-2</v>
      </c>
      <c r="AL56" s="2">
        <v>7.2061E-2</v>
      </c>
      <c r="AM56" s="2">
        <v>0.20580000000000001</v>
      </c>
      <c r="AN56" s="2">
        <v>4.0556400000000004</v>
      </c>
      <c r="AQ56" s="2">
        <v>8.3000000000000004E-2</v>
      </c>
      <c r="AR56" s="2">
        <v>15.561999999999999</v>
      </c>
      <c r="AS56" s="2">
        <v>0.20580000000000001</v>
      </c>
      <c r="AT56" s="2">
        <v>4.4007389999999997</v>
      </c>
    </row>
    <row r="57" spans="1:46">
      <c r="A57" s="2">
        <v>0.1978</v>
      </c>
      <c r="B57" s="2">
        <v>4.1602E-2</v>
      </c>
      <c r="C57" s="2">
        <v>0.16320000000000001</v>
      </c>
      <c r="D57" s="2">
        <v>23.915179999999999</v>
      </c>
      <c r="E57" s="2"/>
      <c r="G57" s="2">
        <v>0.1978</v>
      </c>
      <c r="H57" s="2">
        <v>7.5721540000000003</v>
      </c>
      <c r="I57" s="2">
        <v>0.16320000000000001</v>
      </c>
      <c r="J57" s="2">
        <v>6.487679</v>
      </c>
      <c r="K57" s="2"/>
      <c r="M57" s="2">
        <v>0.1978</v>
      </c>
      <c r="N57" s="2">
        <v>0.26762799999999998</v>
      </c>
      <c r="O57" s="2">
        <v>0.16320000000000001</v>
      </c>
      <c r="P57" s="2">
        <v>17.013200000000001</v>
      </c>
      <c r="Q57" s="2"/>
      <c r="S57" s="2">
        <v>0.1978</v>
      </c>
      <c r="T57" s="2">
        <v>6.9221197300000004</v>
      </c>
      <c r="U57" s="2">
        <v>0.16320000000000001</v>
      </c>
      <c r="V57" s="2">
        <v>29.273289999999999</v>
      </c>
      <c r="W57" s="2"/>
      <c r="Y57" s="2">
        <v>0.1978</v>
      </c>
      <c r="Z57" s="2">
        <v>19.228190000000001</v>
      </c>
      <c r="AA57" s="2">
        <v>0.16320000000000001</v>
      </c>
      <c r="AB57" s="2">
        <v>6.6729430000000001</v>
      </c>
      <c r="AE57" s="2">
        <v>0.1978</v>
      </c>
      <c r="AF57" s="2">
        <v>18.87717</v>
      </c>
      <c r="AG57" s="2">
        <v>0.16320000000000001</v>
      </c>
      <c r="AH57" s="2">
        <v>33.904890000000002</v>
      </c>
      <c r="AK57" s="2">
        <v>0.1978</v>
      </c>
      <c r="AL57" s="2">
        <v>3.3153589999999999</v>
      </c>
      <c r="AM57" s="2">
        <v>0.16320000000000001</v>
      </c>
      <c r="AN57" s="2">
        <v>2.2974510000000001</v>
      </c>
      <c r="AQ57" s="2">
        <v>0.1978</v>
      </c>
      <c r="AR57" s="2">
        <v>8.7812169999999998</v>
      </c>
      <c r="AS57" s="2">
        <v>0.16320000000000001</v>
      </c>
      <c r="AT57" s="2">
        <v>3.4290129999999999</v>
      </c>
    </row>
    <row r="58" spans="1:46">
      <c r="A58" s="2">
        <v>0.25659999999999999</v>
      </c>
      <c r="B58" s="2">
        <v>26.842880000000001</v>
      </c>
      <c r="C58" s="2">
        <v>0.25800000000000001</v>
      </c>
      <c r="D58" s="2">
        <v>29.453109999999999</v>
      </c>
      <c r="E58" s="2"/>
      <c r="G58" s="2">
        <v>0.25659999999999999</v>
      </c>
      <c r="H58" s="2">
        <v>0.11347699999999999</v>
      </c>
      <c r="I58" s="2">
        <v>0.25800000000000001</v>
      </c>
      <c r="J58" s="2">
        <v>0.23957100000000001</v>
      </c>
      <c r="K58" s="2"/>
      <c r="M58" s="2">
        <v>0.25659999999999999</v>
      </c>
      <c r="N58" s="2">
        <v>34.177120000000002</v>
      </c>
      <c r="O58" s="2">
        <v>0.25800000000000001</v>
      </c>
      <c r="P58" s="2">
        <v>28.56493</v>
      </c>
      <c r="Q58" s="2"/>
      <c r="S58" s="2">
        <v>0.25659999999999999</v>
      </c>
      <c r="T58" s="2">
        <v>60.130192530000002</v>
      </c>
      <c r="U58" s="2">
        <v>0.25800000000000001</v>
      </c>
      <c r="V58" s="2">
        <v>14.14706</v>
      </c>
      <c r="W58" s="2"/>
      <c r="Y58" s="2">
        <v>0.25659999999999999</v>
      </c>
      <c r="Z58" s="2">
        <v>24.866769999999999</v>
      </c>
      <c r="AA58" s="2">
        <v>0.25800000000000001</v>
      </c>
      <c r="AB58" s="2">
        <v>13.057270000000001</v>
      </c>
      <c r="AE58" s="2">
        <v>0.25659999999999999</v>
      </c>
      <c r="AF58" s="2">
        <v>23.75057</v>
      </c>
      <c r="AG58" s="2">
        <v>0.25800000000000001</v>
      </c>
      <c r="AH58" s="2">
        <v>22.839919999999999</v>
      </c>
      <c r="AK58" s="2">
        <v>0.25659999999999999</v>
      </c>
      <c r="AL58" s="2">
        <v>1.1108150000000001</v>
      </c>
      <c r="AM58" s="2">
        <v>0.25800000000000001</v>
      </c>
      <c r="AN58" s="2">
        <v>5.1327119999999997</v>
      </c>
      <c r="AQ58" s="2">
        <v>0.25659999999999999</v>
      </c>
      <c r="AR58" s="2">
        <v>13.470750000000001</v>
      </c>
      <c r="AS58" s="2">
        <v>0.25800000000000001</v>
      </c>
      <c r="AT58" s="2">
        <v>5.9082759999999999</v>
      </c>
    </row>
    <row r="59" spans="1:46">
      <c r="A59" s="2">
        <v>0.23799999999999999</v>
      </c>
      <c r="B59" s="2">
        <v>31.27797</v>
      </c>
      <c r="C59" s="2">
        <v>0.21920000000000001</v>
      </c>
      <c r="D59" s="2">
        <v>31.503720000000001</v>
      </c>
      <c r="E59" s="2"/>
      <c r="G59" s="2">
        <v>0.23799999999999999</v>
      </c>
      <c r="H59" s="2">
        <v>5.7297719999999996</v>
      </c>
      <c r="I59" s="2">
        <v>0.21920000000000001</v>
      </c>
      <c r="J59" s="2">
        <v>0.67003699999999999</v>
      </c>
      <c r="K59" s="2"/>
      <c r="M59" s="2">
        <v>0.23799999999999999</v>
      </c>
      <c r="N59" s="2">
        <v>27.76221</v>
      </c>
      <c r="O59" s="2">
        <v>0.21920000000000001</v>
      </c>
      <c r="P59" s="2">
        <v>26.784949999999998</v>
      </c>
      <c r="Q59" s="2"/>
      <c r="S59" s="2">
        <v>0.23799999999999999</v>
      </c>
      <c r="T59" s="2">
        <v>62.94576859</v>
      </c>
      <c r="U59" s="2">
        <v>0.21920000000000001</v>
      </c>
      <c r="V59" s="2">
        <v>15.18417</v>
      </c>
      <c r="W59" s="2"/>
      <c r="Y59" s="2">
        <v>0.23799999999999999</v>
      </c>
      <c r="Z59" s="2">
        <v>21.66675</v>
      </c>
      <c r="AA59" s="2">
        <v>0.21920000000000001</v>
      </c>
      <c r="AB59" s="2">
        <v>12.859299999999999</v>
      </c>
      <c r="AE59" s="2">
        <v>0.23799999999999999</v>
      </c>
      <c r="AF59" s="2">
        <v>25.875260000000001</v>
      </c>
      <c r="AG59" s="2">
        <v>0.21920000000000001</v>
      </c>
      <c r="AH59" s="2">
        <v>9.3283889999999996</v>
      </c>
      <c r="AK59" s="2">
        <v>0.23799999999999999</v>
      </c>
      <c r="AL59" s="2">
        <v>4.9813039999999997</v>
      </c>
      <c r="AM59" s="2">
        <v>0.21920000000000001</v>
      </c>
      <c r="AN59" s="2">
        <v>4.0429250000000003</v>
      </c>
      <c r="AQ59" s="2">
        <v>0.23799999999999999</v>
      </c>
      <c r="AR59" s="2">
        <v>12.90429</v>
      </c>
      <c r="AS59" s="2">
        <v>0.21920000000000001</v>
      </c>
      <c r="AT59" s="2">
        <v>5.6376460000000002</v>
      </c>
    </row>
    <row r="60" spans="1:46">
      <c r="A60" s="2">
        <v>0.18840000000000001</v>
      </c>
      <c r="B60" s="2">
        <v>4.6431E-2</v>
      </c>
      <c r="C60" s="2">
        <v>0.1986</v>
      </c>
      <c r="D60" s="2">
        <v>31.503720000000001</v>
      </c>
      <c r="E60" s="2"/>
      <c r="G60" s="2">
        <v>0.18840000000000001</v>
      </c>
      <c r="H60" s="2">
        <v>7.5721540000000003</v>
      </c>
      <c r="I60" s="2">
        <v>0.1986</v>
      </c>
      <c r="J60" s="2">
        <v>0.19961300000000001</v>
      </c>
      <c r="K60" s="2"/>
      <c r="M60" s="2">
        <v>0.18840000000000001</v>
      </c>
      <c r="N60" s="2">
        <v>0.25462800000000002</v>
      </c>
      <c r="O60" s="2">
        <v>0.1986</v>
      </c>
      <c r="P60" s="2">
        <v>30.090630000000001</v>
      </c>
      <c r="Q60" s="2"/>
      <c r="S60" s="2">
        <v>0.18840000000000001</v>
      </c>
      <c r="T60" s="2">
        <v>41.305206460000001</v>
      </c>
      <c r="U60" s="2">
        <v>0.1986</v>
      </c>
      <c r="V60" s="2">
        <v>14.45402</v>
      </c>
      <c r="W60" s="2"/>
      <c r="Y60" s="2">
        <v>0.18840000000000001</v>
      </c>
      <c r="Z60" s="2">
        <v>19.404630000000001</v>
      </c>
      <c r="AA60" s="2">
        <v>0.1986</v>
      </c>
      <c r="AB60" s="2">
        <v>13.76019</v>
      </c>
      <c r="AE60" s="2">
        <v>0.18840000000000001</v>
      </c>
      <c r="AF60" s="2">
        <v>20.008230000000001</v>
      </c>
      <c r="AG60" s="2">
        <v>0.1986</v>
      </c>
      <c r="AH60" s="2">
        <v>22.91076</v>
      </c>
      <c r="AK60" s="2">
        <v>0.18840000000000001</v>
      </c>
      <c r="AL60" s="2">
        <v>2.3235929999999998</v>
      </c>
      <c r="AM60" s="2">
        <v>0.1986</v>
      </c>
      <c r="AN60" s="2">
        <v>3.7595809999999998</v>
      </c>
      <c r="AQ60" s="2">
        <v>0.18840000000000001</v>
      </c>
      <c r="AR60" s="2">
        <v>8.1553269999999998</v>
      </c>
      <c r="AS60" s="2">
        <v>0.1986</v>
      </c>
      <c r="AT60" s="2">
        <v>5.87195</v>
      </c>
    </row>
    <row r="61" spans="1:46">
      <c r="A61" s="2">
        <v>0.22140000000000001</v>
      </c>
      <c r="B61" s="2">
        <v>3.8445E-2</v>
      </c>
      <c r="C61" s="2">
        <v>0.36180000000000001</v>
      </c>
      <c r="D61" s="2">
        <v>30.929770000000001</v>
      </c>
      <c r="E61" s="2"/>
      <c r="G61" s="2">
        <v>0.22140000000000001</v>
      </c>
      <c r="H61" s="2">
        <v>2.3958E-2</v>
      </c>
      <c r="I61" s="2">
        <v>0.36180000000000001</v>
      </c>
      <c r="J61" s="2">
        <v>0.201429</v>
      </c>
      <c r="K61" s="2"/>
      <c r="M61" s="2">
        <v>0.22140000000000001</v>
      </c>
      <c r="N61" s="2">
        <v>17.699680000000001</v>
      </c>
      <c r="O61" s="2">
        <v>0.36180000000000001</v>
      </c>
      <c r="P61" s="2">
        <v>27.199069999999999</v>
      </c>
      <c r="Q61" s="2"/>
      <c r="S61" s="2">
        <v>0.22140000000000001</v>
      </c>
      <c r="T61" s="2">
        <v>25.173218599999998</v>
      </c>
      <c r="U61" s="2">
        <v>0.36180000000000001</v>
      </c>
      <c r="V61" s="2">
        <v>13.01732</v>
      </c>
      <c r="W61" s="2"/>
      <c r="Y61" s="2">
        <v>0.22140000000000001</v>
      </c>
      <c r="Z61" s="2">
        <v>12.05925</v>
      </c>
      <c r="AA61" s="2">
        <v>0.36180000000000001</v>
      </c>
      <c r="AB61" s="2">
        <v>14.05988</v>
      </c>
      <c r="AE61" s="2">
        <v>0.22140000000000001</v>
      </c>
      <c r="AF61" s="2">
        <v>16.80078</v>
      </c>
      <c r="AG61" s="2">
        <v>0.36180000000000001</v>
      </c>
      <c r="AH61" s="2">
        <v>22.287759999999999</v>
      </c>
      <c r="AK61" s="2">
        <v>0.22140000000000001</v>
      </c>
      <c r="AL61" s="2">
        <v>0.88237500000000002</v>
      </c>
      <c r="AM61" s="2">
        <v>0.36180000000000001</v>
      </c>
      <c r="AN61" s="2">
        <v>4.9910399999999999</v>
      </c>
      <c r="AQ61" s="2">
        <v>0.22140000000000001</v>
      </c>
      <c r="AR61" s="2">
        <v>0.35491899999999998</v>
      </c>
      <c r="AS61" s="2">
        <v>0.36180000000000001</v>
      </c>
      <c r="AT61" s="2">
        <v>6.347823</v>
      </c>
    </row>
    <row r="62" spans="1:46">
      <c r="A62" s="2">
        <v>0.20519999999999999</v>
      </c>
      <c r="B62" s="2">
        <v>2.8601000000000001E-2</v>
      </c>
      <c r="C62" s="2">
        <v>0.18940000000000001</v>
      </c>
      <c r="D62" s="2">
        <v>39.626260000000002</v>
      </c>
      <c r="E62" s="2"/>
      <c r="G62" s="2">
        <v>0.20519999999999999</v>
      </c>
      <c r="H62" s="2">
        <v>3.2502000000000003E-2</v>
      </c>
      <c r="I62" s="2">
        <v>0.18940000000000001</v>
      </c>
      <c r="J62" s="2">
        <v>7.7445659999999998</v>
      </c>
      <c r="K62" s="2"/>
      <c r="M62" s="2">
        <v>0.20519999999999999</v>
      </c>
      <c r="N62" s="2">
        <v>21.273009999999999</v>
      </c>
      <c r="O62" s="2">
        <v>0.18940000000000001</v>
      </c>
      <c r="P62" s="2">
        <v>32.682510000000001</v>
      </c>
      <c r="Q62" s="2"/>
      <c r="S62" s="2">
        <v>0.20519999999999999</v>
      </c>
      <c r="T62" s="2">
        <v>36.665820590000003</v>
      </c>
      <c r="U62" s="2">
        <v>0.18940000000000001</v>
      </c>
      <c r="V62" s="2">
        <v>5.5849729999999997</v>
      </c>
      <c r="W62" s="2"/>
      <c r="Y62" s="2">
        <v>0.20519999999999999</v>
      </c>
      <c r="Z62" s="2">
        <v>12.170680000000001</v>
      </c>
      <c r="AA62" s="2">
        <v>0.18940000000000001</v>
      </c>
      <c r="AB62" s="2">
        <v>10.42544</v>
      </c>
      <c r="AE62" s="2">
        <v>0.20519999999999999</v>
      </c>
      <c r="AF62" s="2">
        <v>19.228190000000001</v>
      </c>
      <c r="AG62" s="2">
        <v>0.18940000000000001</v>
      </c>
      <c r="AH62" s="2">
        <v>10.329179999999999</v>
      </c>
      <c r="AK62" s="2">
        <v>0.20519999999999999</v>
      </c>
      <c r="AL62" s="2">
        <v>3.497369</v>
      </c>
      <c r="AM62" s="2">
        <v>0.18940000000000001</v>
      </c>
      <c r="AN62" s="2">
        <v>3.979355</v>
      </c>
      <c r="AQ62" s="2">
        <v>0.20519999999999999</v>
      </c>
      <c r="AR62" s="2">
        <v>8.8629359999999995</v>
      </c>
      <c r="AS62" s="2">
        <v>0.18940000000000001</v>
      </c>
      <c r="AT62" s="2">
        <v>4.2245569999999999</v>
      </c>
    </row>
    <row r="63" spans="1:46">
      <c r="A63" s="2">
        <v>0.22600000000000001</v>
      </c>
      <c r="B63" s="2">
        <v>3.6588000000000002E-2</v>
      </c>
      <c r="C63" s="2">
        <v>0.28079999999999999</v>
      </c>
      <c r="D63" s="2">
        <v>32.184840000000001</v>
      </c>
      <c r="E63" s="2"/>
      <c r="G63" s="2">
        <v>0.22600000000000001</v>
      </c>
      <c r="H63" s="2">
        <v>1.7458000000000001E-2</v>
      </c>
      <c r="I63" s="2">
        <v>0.28079999999999999</v>
      </c>
      <c r="J63" s="2">
        <v>0.75358700000000001</v>
      </c>
      <c r="K63" s="2"/>
      <c r="M63" s="2">
        <v>0.22600000000000001</v>
      </c>
      <c r="N63" s="2">
        <v>21.934190000000001</v>
      </c>
      <c r="O63" s="2">
        <v>0.28079999999999999</v>
      </c>
      <c r="P63" s="2">
        <v>29.362290000000002</v>
      </c>
      <c r="Q63" s="2"/>
      <c r="S63" s="2">
        <v>0.22600000000000001</v>
      </c>
      <c r="T63" s="2">
        <v>0.21191109999999999</v>
      </c>
      <c r="U63" s="2">
        <v>0.28079999999999999</v>
      </c>
      <c r="V63" s="2">
        <v>34.851179999999999</v>
      </c>
      <c r="W63" s="2"/>
      <c r="Y63" s="2">
        <v>0.22600000000000001</v>
      </c>
      <c r="Z63" s="2">
        <v>12.78543</v>
      </c>
      <c r="AA63" s="2">
        <v>0.28079999999999999</v>
      </c>
      <c r="AB63" s="2">
        <v>13.384209999999999</v>
      </c>
      <c r="AE63" s="2">
        <v>0.22600000000000001</v>
      </c>
      <c r="AF63" s="2">
        <v>0.19519600000000001</v>
      </c>
      <c r="AG63" s="2">
        <v>0.28079999999999999</v>
      </c>
      <c r="AH63" s="2">
        <v>9.1849000000000007</v>
      </c>
      <c r="AK63" s="2">
        <v>0.22600000000000001</v>
      </c>
      <c r="AL63" s="2">
        <v>1.3838299999999999</v>
      </c>
      <c r="AM63" s="2">
        <v>0.28079999999999999</v>
      </c>
      <c r="AN63" s="2">
        <v>4.8057759999999998</v>
      </c>
      <c r="AQ63" s="2">
        <v>0.22600000000000001</v>
      </c>
      <c r="AR63" s="2">
        <v>0.37349100000000002</v>
      </c>
      <c r="AS63" s="2">
        <v>0.28079999999999999</v>
      </c>
      <c r="AT63" s="2">
        <v>2.1594120000000001</v>
      </c>
    </row>
    <row r="64" spans="1:46">
      <c r="A64" s="2">
        <v>0.1052</v>
      </c>
      <c r="B64" s="2">
        <v>4.5502000000000001E-2</v>
      </c>
      <c r="C64" s="2">
        <v>0.19220000000000001</v>
      </c>
      <c r="D64" s="2">
        <v>29.273289999999999</v>
      </c>
      <c r="E64" s="2"/>
      <c r="G64" s="2">
        <v>0.1052</v>
      </c>
      <c r="H64" s="2">
        <v>2.4330000000000001E-2</v>
      </c>
      <c r="I64" s="2">
        <v>0.19220000000000001</v>
      </c>
      <c r="J64" s="2">
        <v>6.407762</v>
      </c>
      <c r="K64" s="2"/>
      <c r="M64" s="2">
        <v>0.1052</v>
      </c>
      <c r="N64" s="2">
        <v>17.809259999999998</v>
      </c>
      <c r="O64" s="2">
        <v>0.19220000000000001</v>
      </c>
      <c r="P64" s="2">
        <v>24.886900000000001</v>
      </c>
      <c r="Q64" s="2"/>
      <c r="S64" s="2">
        <v>0.1052</v>
      </c>
      <c r="T64" s="2">
        <v>0.21748282099999999</v>
      </c>
      <c r="U64" s="2">
        <v>0.19220000000000001</v>
      </c>
      <c r="V64" s="2">
        <v>33.492579999999997</v>
      </c>
      <c r="W64" s="2"/>
      <c r="Y64" s="2">
        <v>0.1052</v>
      </c>
      <c r="Z64" s="2">
        <v>12.47527</v>
      </c>
      <c r="AA64" s="2">
        <v>0.19220000000000001</v>
      </c>
      <c r="AB64" s="2">
        <v>10.392749999999999</v>
      </c>
      <c r="AE64" s="2">
        <v>0.1052</v>
      </c>
      <c r="AF64" s="2">
        <v>17.008790000000001</v>
      </c>
      <c r="AG64" s="2">
        <v>0.19220000000000001</v>
      </c>
      <c r="AH64" s="2">
        <v>23.33578</v>
      </c>
      <c r="AK64" s="2">
        <v>0.1052</v>
      </c>
      <c r="AL64" s="2">
        <v>1.196248</v>
      </c>
      <c r="AM64" s="2">
        <v>0.19220000000000001</v>
      </c>
      <c r="AN64" s="2">
        <v>3.4944000000000002</v>
      </c>
      <c r="AQ64" s="2">
        <v>0.1052</v>
      </c>
      <c r="AR64" s="2">
        <v>0.37906299999999998</v>
      </c>
      <c r="AS64" s="2">
        <v>0.19220000000000001</v>
      </c>
      <c r="AT64" s="2">
        <v>5.9264390000000002</v>
      </c>
    </row>
    <row r="65" spans="1:46">
      <c r="A65" s="2">
        <v>6.8199999999999997E-2</v>
      </c>
      <c r="B65" s="2">
        <v>4.4944999999999999E-2</v>
      </c>
      <c r="C65" s="2">
        <v>0.22459999999999999</v>
      </c>
      <c r="D65" s="2">
        <v>32.882300000000001</v>
      </c>
      <c r="E65" s="2"/>
      <c r="G65" s="2">
        <v>6.8199999999999997E-2</v>
      </c>
      <c r="H65" s="2">
        <v>3.2502000000000003E-2</v>
      </c>
      <c r="I65" s="2">
        <v>0.22459999999999999</v>
      </c>
      <c r="J65" s="2">
        <v>8.2658470000000008</v>
      </c>
      <c r="K65" s="2"/>
      <c r="M65" s="2">
        <v>6.8199999999999997E-2</v>
      </c>
      <c r="N65" s="2">
        <v>0.77651199999999998</v>
      </c>
      <c r="O65" s="2">
        <v>0.22459999999999999</v>
      </c>
      <c r="P65" s="2">
        <v>30.929770000000001</v>
      </c>
      <c r="Q65" s="2"/>
      <c r="S65" s="2">
        <v>6.8199999999999997E-2</v>
      </c>
      <c r="T65" s="2">
        <v>21.733609860000001</v>
      </c>
      <c r="U65" s="2">
        <v>0.22459999999999999</v>
      </c>
      <c r="V65" s="2">
        <v>5.1000180000000004</v>
      </c>
      <c r="W65" s="2"/>
      <c r="Y65" s="2">
        <v>6.8199999999999997E-2</v>
      </c>
      <c r="Z65" s="2">
        <v>0.29920099999999999</v>
      </c>
      <c r="AA65" s="2">
        <v>0.22459999999999999</v>
      </c>
      <c r="AB65" s="2">
        <v>14.05988</v>
      </c>
      <c r="AE65" s="2">
        <v>6.8199999999999997E-2</v>
      </c>
      <c r="AF65" s="2">
        <v>16.39404</v>
      </c>
      <c r="AG65" s="2">
        <v>0.22459999999999999</v>
      </c>
      <c r="AH65" s="2">
        <v>10.98668</v>
      </c>
      <c r="AK65" s="2">
        <v>6.8199999999999997E-2</v>
      </c>
      <c r="AL65" s="2">
        <v>1.7087000000000001E-2</v>
      </c>
      <c r="AM65" s="2">
        <v>0.22459999999999999</v>
      </c>
      <c r="AN65" s="2">
        <v>5.1327119999999997</v>
      </c>
      <c r="AQ65" s="2">
        <v>6.8199999999999997E-2</v>
      </c>
      <c r="AR65" s="2">
        <v>10.72946</v>
      </c>
      <c r="AS65" s="2">
        <v>0.22459999999999999</v>
      </c>
      <c r="AT65" s="2">
        <v>5.87195</v>
      </c>
    </row>
    <row r="66" spans="1:46">
      <c r="A66" s="2">
        <v>8.5000000000000006E-2</v>
      </c>
      <c r="B66" s="2">
        <v>25.25122</v>
      </c>
      <c r="C66" s="2">
        <v>0.16239999999999999</v>
      </c>
      <c r="D66" s="2">
        <v>29.09348</v>
      </c>
      <c r="E66" s="2"/>
      <c r="G66" s="2">
        <v>8.5000000000000006E-2</v>
      </c>
      <c r="H66" s="2">
        <v>14.67981</v>
      </c>
      <c r="I66" s="2">
        <v>0.16239999999999999</v>
      </c>
      <c r="J66" s="2">
        <v>7.5320580000000001</v>
      </c>
      <c r="K66" s="2"/>
      <c r="M66" s="2">
        <v>8.5000000000000006E-2</v>
      </c>
      <c r="N66" s="2">
        <v>18.476009999999999</v>
      </c>
      <c r="O66" s="2">
        <v>0.16239999999999999</v>
      </c>
      <c r="P66" s="2">
        <v>27.872920000000001</v>
      </c>
      <c r="Q66" s="2"/>
      <c r="S66" s="2">
        <v>8.5000000000000006E-2</v>
      </c>
      <c r="T66" s="2">
        <v>24.71448028</v>
      </c>
      <c r="U66" s="2">
        <v>0.16239999999999999</v>
      </c>
      <c r="V66" s="2">
        <v>34.320819999999998</v>
      </c>
      <c r="W66" s="2"/>
      <c r="Y66" s="2">
        <v>8.5000000000000006E-2</v>
      </c>
      <c r="Z66" s="2">
        <v>0.271343</v>
      </c>
      <c r="AA66" s="2">
        <v>0.16239999999999999</v>
      </c>
      <c r="AB66" s="2">
        <v>11.26276</v>
      </c>
      <c r="AE66" s="2">
        <v>8.5000000000000006E-2</v>
      </c>
      <c r="AF66" s="2">
        <v>0.174766</v>
      </c>
      <c r="AG66" s="2">
        <v>0.16239999999999999</v>
      </c>
      <c r="AH66" s="2">
        <v>23.987829999999999</v>
      </c>
      <c r="AK66" s="2">
        <v>8.5000000000000006E-2</v>
      </c>
      <c r="AL66" s="2">
        <v>4.9497309999999999</v>
      </c>
      <c r="AM66" s="2">
        <v>0.16239999999999999</v>
      </c>
      <c r="AN66" s="2">
        <v>3.7123569999999999</v>
      </c>
      <c r="AQ66" s="2">
        <v>8.5000000000000006E-2</v>
      </c>
      <c r="AR66" s="2">
        <v>13.511609999999999</v>
      </c>
      <c r="AS66" s="2">
        <v>0.16239999999999999</v>
      </c>
      <c r="AT66" s="2">
        <v>1.745293</v>
      </c>
    </row>
    <row r="67" spans="1:46">
      <c r="A67" s="2"/>
      <c r="B67" s="2"/>
      <c r="C67" s="2">
        <v>0.21360000000000001</v>
      </c>
      <c r="D67" s="2">
        <v>33.185630000000003</v>
      </c>
      <c r="E67" s="2"/>
      <c r="G67" s="2"/>
      <c r="H67" s="2"/>
      <c r="I67" s="2">
        <v>0.21360000000000001</v>
      </c>
      <c r="J67" s="2">
        <v>0.55379299999999998</v>
      </c>
      <c r="K67" s="2"/>
      <c r="M67" s="2"/>
      <c r="N67" s="2"/>
      <c r="O67" s="2">
        <v>0.21360000000000001</v>
      </c>
      <c r="P67" s="2">
        <v>30.553789999999999</v>
      </c>
      <c r="Q67" s="2"/>
      <c r="S67" s="2"/>
      <c r="T67" s="2"/>
      <c r="U67" s="2">
        <v>0.21360000000000001</v>
      </c>
      <c r="V67" s="2">
        <v>15.60919</v>
      </c>
      <c r="W67" s="2"/>
      <c r="Y67" s="2"/>
      <c r="Z67" s="2"/>
      <c r="AA67" s="2">
        <v>0.21360000000000001</v>
      </c>
      <c r="AB67" s="2">
        <v>16.599080000000001</v>
      </c>
      <c r="AE67" s="2"/>
      <c r="AF67" s="2"/>
      <c r="AG67" s="2">
        <v>0.21360000000000001</v>
      </c>
      <c r="AH67" s="2">
        <v>23.551919999999999</v>
      </c>
      <c r="AK67" s="2"/>
      <c r="AL67" s="2"/>
      <c r="AM67" s="2">
        <v>0.21360000000000001</v>
      </c>
      <c r="AN67" s="2">
        <v>5.0364469999999999</v>
      </c>
      <c r="AQ67" s="2"/>
      <c r="AR67" s="2"/>
      <c r="AS67" s="2">
        <v>0.21360000000000001</v>
      </c>
      <c r="AT67" s="2">
        <v>2.0776780000000001</v>
      </c>
    </row>
    <row r="68" spans="1:46">
      <c r="A68" s="2"/>
      <c r="B68" s="2"/>
      <c r="C68" s="2">
        <v>0.14280000000000001</v>
      </c>
      <c r="D68" s="2">
        <v>30.46116</v>
      </c>
      <c r="E68" s="2"/>
      <c r="G68" s="2"/>
      <c r="H68" s="2"/>
      <c r="I68" s="2">
        <v>0.14280000000000001</v>
      </c>
      <c r="J68" s="2">
        <v>0.68820000000000003</v>
      </c>
      <c r="K68" s="2"/>
      <c r="M68" s="2"/>
      <c r="N68" s="2"/>
      <c r="O68" s="2">
        <v>0.14280000000000001</v>
      </c>
      <c r="P68" s="2">
        <v>29.814550000000001</v>
      </c>
      <c r="Q68" s="2"/>
      <c r="S68" s="2"/>
      <c r="T68" s="2"/>
      <c r="U68" s="2">
        <v>0.14280000000000001</v>
      </c>
      <c r="V68" s="2">
        <v>28.7393</v>
      </c>
      <c r="W68" s="2"/>
      <c r="Y68" s="2"/>
      <c r="Z68" s="2"/>
      <c r="AA68" s="2">
        <v>0.14280000000000001</v>
      </c>
      <c r="AB68" s="2">
        <v>11.90573</v>
      </c>
      <c r="AE68" s="2"/>
      <c r="AF68" s="2"/>
      <c r="AG68" s="2">
        <v>0.14280000000000001</v>
      </c>
      <c r="AH68" s="2">
        <v>23.050609999999999</v>
      </c>
      <c r="AK68" s="2"/>
      <c r="AL68" s="2"/>
      <c r="AM68" s="2">
        <v>0.14280000000000001</v>
      </c>
      <c r="AN68" s="2">
        <v>3.641521</v>
      </c>
      <c r="AQ68" s="2"/>
      <c r="AR68" s="2"/>
      <c r="AS68" s="2">
        <v>0.14280000000000001</v>
      </c>
      <c r="AT68" s="2">
        <v>4.9746930000000003</v>
      </c>
    </row>
    <row r="69" spans="1:46">
      <c r="A69" s="2"/>
      <c r="B69" s="2"/>
      <c r="C69" s="2">
        <v>0.2324</v>
      </c>
      <c r="D69" s="2">
        <v>27.618639999999999</v>
      </c>
      <c r="E69" s="2"/>
      <c r="G69" s="2"/>
      <c r="H69" s="2"/>
      <c r="I69" s="2">
        <v>0.2324</v>
      </c>
      <c r="J69" s="2">
        <v>0.53563000000000005</v>
      </c>
      <c r="K69" s="2"/>
      <c r="M69" s="2"/>
      <c r="N69" s="2"/>
      <c r="O69" s="2">
        <v>0.2324</v>
      </c>
      <c r="P69" s="2">
        <v>26.45983</v>
      </c>
      <c r="Q69" s="2"/>
      <c r="S69" s="2"/>
      <c r="T69" s="2"/>
      <c r="U69" s="2">
        <v>0.2324</v>
      </c>
      <c r="V69" s="2">
        <v>31.988679999999999</v>
      </c>
      <c r="W69" s="2"/>
      <c r="Y69" s="2"/>
      <c r="Z69" s="2"/>
      <c r="AA69" s="2">
        <v>0.2324</v>
      </c>
      <c r="AB69" s="2">
        <v>9.2993279999999992</v>
      </c>
      <c r="AE69" s="2"/>
      <c r="AF69" s="2"/>
      <c r="AG69" s="2">
        <v>0.2324</v>
      </c>
      <c r="AH69" s="2">
        <v>37.048920000000003</v>
      </c>
      <c r="AK69" s="2"/>
      <c r="AL69" s="2"/>
      <c r="AM69" s="2">
        <v>0.2324</v>
      </c>
      <c r="AN69" s="2">
        <v>4.0810680000000001</v>
      </c>
      <c r="AQ69" s="2"/>
      <c r="AR69" s="2"/>
      <c r="AS69" s="2">
        <v>0.2324</v>
      </c>
      <c r="AT69" s="2">
        <v>1.463765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030C-1040-4483-B2FE-DF713CA6E700}">
  <dimension ref="A1:BW296"/>
  <sheetViews>
    <sheetView zoomScaleNormal="100" workbookViewId="0">
      <selection activeCell="Q10" sqref="Q10"/>
    </sheetView>
  </sheetViews>
  <sheetFormatPr defaultRowHeight="14.25"/>
  <cols>
    <col min="1" max="1" width="13.125" style="4" customWidth="1"/>
    <col min="2" max="13" width="9" style="4"/>
    <col min="14" max="14" width="15" style="4" customWidth="1"/>
    <col min="15" max="15" width="9" style="4"/>
    <col min="16" max="16" width="11.625" style="4" customWidth="1"/>
    <col min="17" max="19" width="9" style="4"/>
    <col min="20" max="20" width="18.375" style="4" customWidth="1"/>
    <col min="21" max="26" width="9" style="4"/>
    <col min="27" max="27" width="11.75" style="4" customWidth="1"/>
    <col min="28" max="16384" width="9" style="4"/>
  </cols>
  <sheetData>
    <row r="1" spans="1:68" ht="16.5">
      <c r="A1" s="112" t="s">
        <v>1697</v>
      </c>
      <c r="B1" s="244" t="s">
        <v>2111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63" t="s">
        <v>1892</v>
      </c>
      <c r="U1" s="263" t="s">
        <v>1892</v>
      </c>
      <c r="V1" s="263" t="s">
        <v>1892</v>
      </c>
      <c r="W1" s="263" t="s">
        <v>1892</v>
      </c>
      <c r="X1" s="263" t="s">
        <v>1892</v>
      </c>
      <c r="Y1" s="263" t="s">
        <v>1892</v>
      </c>
      <c r="Z1" s="263" t="s">
        <v>1892</v>
      </c>
      <c r="AA1" s="263" t="s">
        <v>1892</v>
      </c>
      <c r="AB1" s="263" t="s">
        <v>1892</v>
      </c>
      <c r="AC1" s="263" t="s">
        <v>1892</v>
      </c>
      <c r="AD1" s="263" t="s">
        <v>1892</v>
      </c>
      <c r="AE1" s="263" t="s">
        <v>1892</v>
      </c>
      <c r="AF1" s="263" t="s">
        <v>1892</v>
      </c>
      <c r="AG1" s="263" t="s">
        <v>1892</v>
      </c>
      <c r="AH1" s="263" t="s">
        <v>1892</v>
      </c>
      <c r="AI1" s="263" t="s">
        <v>1892</v>
      </c>
      <c r="AJ1" s="263" t="s">
        <v>1892</v>
      </c>
      <c r="AK1" s="263" t="s">
        <v>1892</v>
      </c>
      <c r="AL1" s="263" t="s">
        <v>1892</v>
      </c>
      <c r="AM1" s="263" t="s">
        <v>1892</v>
      </c>
      <c r="AN1" s="263" t="s">
        <v>1892</v>
      </c>
      <c r="AO1" s="263" t="s">
        <v>1892</v>
      </c>
      <c r="AP1" s="263" t="s">
        <v>1892</v>
      </c>
      <c r="AQ1" s="263" t="s">
        <v>1892</v>
      </c>
      <c r="AR1" s="263" t="s">
        <v>1892</v>
      </c>
      <c r="AS1" s="263" t="s">
        <v>1892</v>
      </c>
      <c r="AT1" s="263" t="s">
        <v>1892</v>
      </c>
      <c r="AU1" s="263" t="s">
        <v>1892</v>
      </c>
      <c r="AV1" s="263" t="s">
        <v>1892</v>
      </c>
      <c r="AW1" s="263" t="s">
        <v>1892</v>
      </c>
      <c r="AX1" s="263" t="s">
        <v>1892</v>
      </c>
      <c r="AY1" s="263" t="s">
        <v>1892</v>
      </c>
      <c r="AZ1" s="263" t="s">
        <v>1892</v>
      </c>
      <c r="BA1" s="263" t="s">
        <v>1892</v>
      </c>
      <c r="BB1" s="263" t="s">
        <v>1892</v>
      </c>
      <c r="BC1" s="263" t="s">
        <v>1892</v>
      </c>
      <c r="BD1" s="263" t="s">
        <v>1892</v>
      </c>
      <c r="BE1" s="263" t="s">
        <v>1892</v>
      </c>
      <c r="BF1" s="263" t="s">
        <v>1892</v>
      </c>
      <c r="BG1" s="263" t="s">
        <v>1892</v>
      </c>
      <c r="BH1" s="263" t="s">
        <v>1892</v>
      </c>
      <c r="BI1" s="263" t="s">
        <v>1892</v>
      </c>
      <c r="BJ1" s="263" t="s">
        <v>1892</v>
      </c>
      <c r="BK1" s="263" t="s">
        <v>1892</v>
      </c>
      <c r="BL1" s="263" t="s">
        <v>1892</v>
      </c>
      <c r="BM1" s="263" t="s">
        <v>1892</v>
      </c>
      <c r="BN1" s="263" t="s">
        <v>1892</v>
      </c>
      <c r="BO1" s="263" t="s">
        <v>1892</v>
      </c>
      <c r="BP1" s="263" t="s">
        <v>1892</v>
      </c>
    </row>
    <row r="2" spans="1:68" ht="15">
      <c r="A2" s="6" t="s">
        <v>1698</v>
      </c>
      <c r="B2" s="258">
        <v>0</v>
      </c>
      <c r="C2" s="258"/>
      <c r="D2" s="258"/>
      <c r="E2" s="258"/>
      <c r="F2" s="258"/>
      <c r="G2" s="258"/>
      <c r="H2" s="259">
        <v>100</v>
      </c>
      <c r="I2" s="259"/>
      <c r="J2" s="259"/>
      <c r="K2" s="259"/>
      <c r="L2" s="259"/>
      <c r="M2" s="259"/>
      <c r="N2" s="260">
        <v>1000</v>
      </c>
      <c r="O2" s="260"/>
      <c r="P2" s="260"/>
      <c r="Q2" s="260"/>
      <c r="R2" s="260"/>
      <c r="S2" s="260"/>
      <c r="T2" s="138" t="s">
        <v>2088</v>
      </c>
      <c r="U2" s="266">
        <v>7.1199999999999996E-4</v>
      </c>
      <c r="V2" s="265"/>
      <c r="W2" s="265"/>
      <c r="X2" s="265"/>
      <c r="Y2" s="265"/>
      <c r="Z2" s="265"/>
      <c r="AA2" s="265"/>
      <c r="AB2" s="265"/>
      <c r="AC2" s="266">
        <v>0.15089174999999999</v>
      </c>
      <c r="AD2" s="265"/>
      <c r="AE2" s="265"/>
      <c r="AF2" s="265"/>
      <c r="AG2" s="265"/>
      <c r="AH2" s="265"/>
      <c r="AI2" s="265"/>
      <c r="AJ2" s="265"/>
      <c r="AK2" s="266">
        <v>0.48899999999999999</v>
      </c>
      <c r="AL2" s="265"/>
      <c r="AM2" s="265"/>
      <c r="AN2" s="265"/>
      <c r="AO2" s="265"/>
      <c r="AP2" s="265"/>
      <c r="AQ2" s="265"/>
      <c r="AR2" s="265"/>
      <c r="AS2" s="266">
        <v>1.78</v>
      </c>
      <c r="AT2" s="265"/>
      <c r="AU2" s="265"/>
      <c r="AV2" s="265"/>
      <c r="AW2" s="265"/>
      <c r="AX2" s="265"/>
      <c r="AY2" s="265"/>
      <c r="AZ2" s="265"/>
      <c r="BA2" s="266">
        <v>4.67</v>
      </c>
      <c r="BB2" s="265"/>
      <c r="BC2" s="265"/>
      <c r="BD2" s="265"/>
      <c r="BE2" s="265"/>
      <c r="BF2" s="265"/>
      <c r="BG2" s="265"/>
      <c r="BH2" s="265"/>
      <c r="BI2" s="266">
        <v>8.15</v>
      </c>
      <c r="BJ2" s="265"/>
      <c r="BK2" s="265"/>
      <c r="BL2" s="265"/>
      <c r="BM2" s="265"/>
      <c r="BN2" s="265"/>
      <c r="BO2" s="265"/>
      <c r="BP2" s="265"/>
    </row>
    <row r="3" spans="1:68" ht="17.25">
      <c r="A3" s="6">
        <v>0</v>
      </c>
      <c r="B3" s="120" t="s">
        <v>842</v>
      </c>
      <c r="C3" s="120" t="s">
        <v>843</v>
      </c>
      <c r="D3" s="120" t="s">
        <v>844</v>
      </c>
      <c r="E3" s="120" t="s">
        <v>845</v>
      </c>
      <c r="F3" s="120" t="s">
        <v>846</v>
      </c>
      <c r="G3" s="120" t="s">
        <v>847</v>
      </c>
      <c r="H3" s="120" t="s">
        <v>876</v>
      </c>
      <c r="I3" s="120" t="s">
        <v>877</v>
      </c>
      <c r="J3" s="120" t="s">
        <v>878</v>
      </c>
      <c r="K3" s="120" t="s">
        <v>879</v>
      </c>
      <c r="L3" s="120" t="s">
        <v>880</v>
      </c>
      <c r="M3" s="120" t="s">
        <v>853</v>
      </c>
      <c r="N3" s="120" t="s">
        <v>889</v>
      </c>
      <c r="O3" s="120" t="s">
        <v>890</v>
      </c>
      <c r="P3" s="120" t="s">
        <v>891</v>
      </c>
      <c r="Q3" s="120" t="s">
        <v>892</v>
      </c>
      <c r="R3" s="120" t="s">
        <v>893</v>
      </c>
      <c r="S3" s="120" t="s">
        <v>894</v>
      </c>
      <c r="T3" s="139" t="s">
        <v>1915</v>
      </c>
      <c r="U3" s="262"/>
      <c r="V3" s="262"/>
      <c r="W3" s="262" t="s">
        <v>1917</v>
      </c>
      <c r="X3" s="262" t="s">
        <v>1893</v>
      </c>
      <c r="Y3" s="262" t="s">
        <v>1919</v>
      </c>
      <c r="Z3" s="262" t="s">
        <v>1894</v>
      </c>
      <c r="AA3" s="262" t="s">
        <v>1921</v>
      </c>
      <c r="AB3" s="262" t="s">
        <v>1895</v>
      </c>
      <c r="AC3" s="262"/>
      <c r="AD3" s="262"/>
      <c r="AE3" s="262" t="s">
        <v>1922</v>
      </c>
      <c r="AF3" s="262" t="s">
        <v>1896</v>
      </c>
      <c r="AG3" s="262" t="s">
        <v>1924</v>
      </c>
      <c r="AH3" s="262" t="s">
        <v>1897</v>
      </c>
      <c r="AI3" s="262" t="s">
        <v>1926</v>
      </c>
      <c r="AJ3" s="262" t="s">
        <v>1898</v>
      </c>
      <c r="AK3" s="262"/>
      <c r="AL3" s="262"/>
      <c r="AM3" s="262" t="s">
        <v>1927</v>
      </c>
      <c r="AN3" s="262" t="s">
        <v>1899</v>
      </c>
      <c r="AO3" s="262" t="s">
        <v>1929</v>
      </c>
      <c r="AP3" s="262" t="s">
        <v>1900</v>
      </c>
      <c r="AQ3" s="262" t="s">
        <v>1931</v>
      </c>
      <c r="AR3" s="262" t="s">
        <v>1901</v>
      </c>
      <c r="AS3" s="262"/>
      <c r="AT3" s="262"/>
      <c r="AU3" s="262" t="s">
        <v>1932</v>
      </c>
      <c r="AV3" s="262" t="s">
        <v>1902</v>
      </c>
      <c r="AW3" s="262" t="s">
        <v>1934</v>
      </c>
      <c r="AX3" s="262" t="s">
        <v>1903</v>
      </c>
      <c r="AY3" s="262" t="s">
        <v>1936</v>
      </c>
      <c r="AZ3" s="262" t="s">
        <v>1904</v>
      </c>
      <c r="BA3" s="262"/>
      <c r="BB3" s="262"/>
      <c r="BC3" s="262" t="s">
        <v>1937</v>
      </c>
      <c r="BD3" s="262" t="s">
        <v>1905</v>
      </c>
      <c r="BE3" s="262" t="s">
        <v>1939</v>
      </c>
      <c r="BF3" s="262" t="s">
        <v>1906</v>
      </c>
      <c r="BG3" s="262" t="s">
        <v>1941</v>
      </c>
      <c r="BH3" s="262" t="s">
        <v>1907</v>
      </c>
      <c r="BI3" s="262"/>
      <c r="BJ3" s="262"/>
      <c r="BK3" s="262" t="s">
        <v>1942</v>
      </c>
      <c r="BL3" s="262" t="s">
        <v>1908</v>
      </c>
      <c r="BM3" s="262" t="s">
        <v>1944</v>
      </c>
      <c r="BN3" s="262" t="s">
        <v>1909</v>
      </c>
      <c r="BO3" s="262" t="s">
        <v>1946</v>
      </c>
      <c r="BP3" s="262" t="s">
        <v>1910</v>
      </c>
    </row>
    <row r="4" spans="1:68">
      <c r="A4" s="6">
        <v>0.15</v>
      </c>
      <c r="B4" s="120" t="s">
        <v>848</v>
      </c>
      <c r="C4" s="120" t="s">
        <v>849</v>
      </c>
      <c r="D4" s="120" t="s">
        <v>850</v>
      </c>
      <c r="E4" s="120" t="s">
        <v>851</v>
      </c>
      <c r="F4" s="120" t="s">
        <v>852</v>
      </c>
      <c r="G4" s="120" t="s">
        <v>853</v>
      </c>
      <c r="H4" s="7">
        <v>1.0520830000000001</v>
      </c>
      <c r="I4" s="7">
        <v>1.138889</v>
      </c>
      <c r="J4" s="7">
        <v>1.5022759999999999</v>
      </c>
      <c r="K4" s="7">
        <v>1.6285799999999999</v>
      </c>
      <c r="L4" s="7">
        <v>0.79024899999999998</v>
      </c>
      <c r="M4" s="7">
        <v>1.521542</v>
      </c>
      <c r="N4" s="7">
        <v>3.6822919999999999</v>
      </c>
      <c r="O4" s="7">
        <v>3.8125</v>
      </c>
      <c r="P4" s="7">
        <v>5.9845790000000001</v>
      </c>
      <c r="Q4" s="7">
        <v>5.5351739999999996</v>
      </c>
      <c r="R4" s="7">
        <v>3.590703</v>
      </c>
      <c r="S4" s="7">
        <v>3.6729020000000001</v>
      </c>
      <c r="T4" s="4">
        <v>0</v>
      </c>
      <c r="W4" s="137" t="s">
        <v>842</v>
      </c>
      <c r="X4" s="137" t="s">
        <v>843</v>
      </c>
      <c r="Y4" s="211" t="s">
        <v>3415</v>
      </c>
      <c r="Z4" s="211" t="s">
        <v>3419</v>
      </c>
      <c r="AA4" s="211" t="s">
        <v>3424</v>
      </c>
      <c r="AB4" s="211" t="s">
        <v>3432</v>
      </c>
      <c r="AE4" s="137" t="s">
        <v>848</v>
      </c>
      <c r="AF4" s="137" t="s">
        <v>849</v>
      </c>
      <c r="AG4" s="211" t="s">
        <v>3439</v>
      </c>
      <c r="AH4" s="211" t="s">
        <v>3440</v>
      </c>
      <c r="AI4" s="211" t="s">
        <v>3442</v>
      </c>
      <c r="AJ4" s="211" t="s">
        <v>3428</v>
      </c>
      <c r="AM4" s="4">
        <v>4.0509999999999999E-3</v>
      </c>
      <c r="AN4" s="4">
        <v>3.4719999999999998E-3</v>
      </c>
      <c r="AO4" s="4">
        <v>7.1960000000000001E-3</v>
      </c>
      <c r="AP4" s="211" t="s">
        <v>3422</v>
      </c>
      <c r="AQ4" s="4">
        <v>5.1019999999999998E-3</v>
      </c>
      <c r="AR4" s="4">
        <v>2.8340000000000001E-3</v>
      </c>
      <c r="AU4" s="137" t="s">
        <v>849</v>
      </c>
      <c r="AV4" s="4">
        <v>0.13628499999999999</v>
      </c>
      <c r="AW4" s="4">
        <v>0.13966799999999999</v>
      </c>
      <c r="AX4" s="4">
        <v>0.18637100000000001</v>
      </c>
      <c r="AY4" s="4">
        <v>0.139739</v>
      </c>
      <c r="AZ4" s="4">
        <v>0.16326499999999999</v>
      </c>
      <c r="BA4" s="137"/>
      <c r="BC4" s="4">
        <v>3.106481</v>
      </c>
      <c r="BD4" s="137" t="s">
        <v>854</v>
      </c>
      <c r="BE4" s="4">
        <v>3.2382140000000001</v>
      </c>
      <c r="BF4" s="4">
        <v>3.2499630000000002</v>
      </c>
      <c r="BG4" s="4">
        <v>3.0975060000000001</v>
      </c>
      <c r="BH4" s="4">
        <v>3.352608</v>
      </c>
      <c r="BK4" s="137" t="s">
        <v>855</v>
      </c>
      <c r="BL4" s="4">
        <v>11.45139</v>
      </c>
      <c r="BM4" s="4">
        <v>10.37876</v>
      </c>
      <c r="BN4" s="4">
        <v>10.18784</v>
      </c>
      <c r="BO4" s="4">
        <v>8.1712019999999992</v>
      </c>
      <c r="BP4" s="4">
        <v>10.078799999999999</v>
      </c>
    </row>
    <row r="5" spans="1:68">
      <c r="A5" s="6">
        <v>0.49</v>
      </c>
      <c r="B5" s="7">
        <v>4.0509999999999999E-3</v>
      </c>
      <c r="C5" s="7">
        <v>3.4719999999999998E-3</v>
      </c>
      <c r="D5" s="7">
        <v>7.1960000000000001E-3</v>
      </c>
      <c r="E5" s="7">
        <v>-4.4000000000000002E-4</v>
      </c>
      <c r="F5" s="7">
        <v>5.1019999999999998E-3</v>
      </c>
      <c r="G5" s="7">
        <v>2.8340000000000001E-3</v>
      </c>
      <c r="H5" s="7">
        <v>5.3981479999999999</v>
      </c>
      <c r="I5" s="7">
        <v>5.6035880000000002</v>
      </c>
      <c r="J5" s="7">
        <v>6.4075490000000004</v>
      </c>
      <c r="K5" s="7">
        <v>6.3488030000000002</v>
      </c>
      <c r="L5" s="7">
        <v>6.2806119999999996</v>
      </c>
      <c r="M5" s="7">
        <v>5.2602039999999999</v>
      </c>
      <c r="N5" s="7">
        <v>11.03762</v>
      </c>
      <c r="O5" s="7">
        <v>11.88252</v>
      </c>
      <c r="P5" s="7">
        <v>12.10589</v>
      </c>
      <c r="Q5" s="7">
        <v>12.834339999999999</v>
      </c>
      <c r="R5" s="7">
        <v>10.523809999999999</v>
      </c>
      <c r="S5" s="7">
        <v>11.22392</v>
      </c>
      <c r="T5" s="4">
        <v>0.1</v>
      </c>
      <c r="W5" s="137" t="s">
        <v>856</v>
      </c>
      <c r="X5" s="137" t="s">
        <v>857</v>
      </c>
      <c r="Y5" s="211" t="s">
        <v>3416</v>
      </c>
      <c r="Z5" s="211" t="s">
        <v>3420</v>
      </c>
      <c r="AA5" s="211" t="s">
        <v>3425</v>
      </c>
      <c r="AB5" s="211" t="s">
        <v>3433</v>
      </c>
      <c r="AE5" s="137" t="s">
        <v>859</v>
      </c>
      <c r="AF5" s="137" t="s">
        <v>858</v>
      </c>
      <c r="AG5" s="4">
        <v>4.4099999999999999E-4</v>
      </c>
      <c r="AH5" s="211" t="s">
        <v>3441</v>
      </c>
      <c r="AI5" s="211" t="s">
        <v>3435</v>
      </c>
      <c r="AJ5" s="211" t="s">
        <v>3437</v>
      </c>
      <c r="AM5" s="4">
        <v>1.0706E-2</v>
      </c>
      <c r="AN5" s="4">
        <v>6.0759999999999998E-3</v>
      </c>
      <c r="AO5" s="4">
        <v>9.8399999999999998E-3</v>
      </c>
      <c r="AP5" s="4">
        <v>1.5127E-2</v>
      </c>
      <c r="AQ5" s="4">
        <v>8.5030000000000001E-3</v>
      </c>
      <c r="AR5" s="4">
        <v>7.3699999999999998E-3</v>
      </c>
      <c r="AU5" s="137" t="s">
        <v>861</v>
      </c>
      <c r="AV5" s="4">
        <v>0.172454</v>
      </c>
      <c r="AW5" s="4">
        <v>0.14201800000000001</v>
      </c>
      <c r="AX5" s="4">
        <v>0.174622</v>
      </c>
      <c r="AY5" s="4">
        <v>0.109694</v>
      </c>
      <c r="AZ5" s="4">
        <v>0.151644</v>
      </c>
      <c r="BA5" s="137"/>
      <c r="BC5" s="4">
        <v>3.4160879999999998</v>
      </c>
      <c r="BD5" s="137" t="s">
        <v>862</v>
      </c>
      <c r="BE5" s="4">
        <v>3.179468</v>
      </c>
      <c r="BF5" s="4">
        <v>3.1882799999999998</v>
      </c>
      <c r="BG5" s="4">
        <v>2.4569160000000001</v>
      </c>
      <c r="BH5" s="4">
        <v>2.9161000000000001</v>
      </c>
      <c r="BK5" s="137" t="s">
        <v>863</v>
      </c>
      <c r="BL5" s="4">
        <v>11.27778</v>
      </c>
      <c r="BM5" s="4">
        <v>10.869289999999999</v>
      </c>
      <c r="BN5" s="4">
        <v>10.507999999999999</v>
      </c>
      <c r="BO5" s="4">
        <v>11.155900000000001</v>
      </c>
      <c r="BP5" s="4">
        <v>10.489800000000001</v>
      </c>
    </row>
    <row r="6" spans="1:68">
      <c r="A6" s="6">
        <v>1.78</v>
      </c>
      <c r="B6" s="120" t="s">
        <v>849</v>
      </c>
      <c r="C6" s="7">
        <v>0.13628499999999999</v>
      </c>
      <c r="D6" s="7">
        <v>0.13966799999999999</v>
      </c>
      <c r="E6" s="7">
        <v>0.18637100000000001</v>
      </c>
      <c r="F6" s="7">
        <v>0.139739</v>
      </c>
      <c r="G6" s="7">
        <v>0.16326499999999999</v>
      </c>
      <c r="H6" s="120" t="s">
        <v>843</v>
      </c>
      <c r="I6" s="7">
        <v>14.96701</v>
      </c>
      <c r="J6" s="7">
        <v>16.664560000000002</v>
      </c>
      <c r="K6" s="7">
        <v>15.671760000000001</v>
      </c>
      <c r="L6" s="7">
        <v>15.642860000000001</v>
      </c>
      <c r="M6" s="7">
        <v>14.0924</v>
      </c>
      <c r="N6" s="120" t="s">
        <v>873</v>
      </c>
      <c r="O6" s="7">
        <v>22.435189999999999</v>
      </c>
      <c r="P6" s="7">
        <v>24.366129999999998</v>
      </c>
      <c r="Q6" s="7">
        <v>24.74211</v>
      </c>
      <c r="R6" s="7">
        <v>22.391719999999999</v>
      </c>
      <c r="S6" s="7">
        <v>21.450679999999998</v>
      </c>
      <c r="T6" s="4">
        <v>1</v>
      </c>
      <c r="W6" s="137" t="s">
        <v>864</v>
      </c>
      <c r="X6" s="137" t="s">
        <v>865</v>
      </c>
      <c r="Y6" s="211" t="s">
        <v>3417</v>
      </c>
      <c r="Z6" s="211" t="s">
        <v>3421</v>
      </c>
      <c r="AA6" s="211" t="s">
        <v>3426</v>
      </c>
      <c r="AB6" s="211" t="s">
        <v>3434</v>
      </c>
      <c r="AE6" s="137" t="s">
        <v>866</v>
      </c>
      <c r="AF6" s="137" t="s">
        <v>842</v>
      </c>
      <c r="AG6" s="4">
        <v>9.8399999999999998E-3</v>
      </c>
      <c r="AH6" s="211" t="s">
        <v>3417</v>
      </c>
      <c r="AI6" s="211" t="s">
        <v>3443</v>
      </c>
      <c r="AJ6" s="4">
        <v>2.2680000000000001E-3</v>
      </c>
      <c r="AM6" s="4">
        <v>1.3021E-2</v>
      </c>
      <c r="AN6" s="4">
        <v>1.6781999999999998E-2</v>
      </c>
      <c r="AO6" s="4">
        <v>1.1896E-2</v>
      </c>
      <c r="AP6" s="4">
        <v>9.8399999999999998E-3</v>
      </c>
      <c r="AQ6" s="4">
        <v>2.3525999999999998E-2</v>
      </c>
      <c r="AR6" s="4">
        <v>2.4093E-2</v>
      </c>
      <c r="AU6" s="137" t="s">
        <v>867</v>
      </c>
      <c r="AV6" s="4">
        <v>0.30555599999999999</v>
      </c>
      <c r="AW6" s="4">
        <v>0.24217900000000001</v>
      </c>
      <c r="AX6" s="4">
        <v>0.25392900000000002</v>
      </c>
      <c r="AY6" s="4">
        <v>0.22619</v>
      </c>
      <c r="AZ6" s="4">
        <v>0.17516999999999999</v>
      </c>
      <c r="BA6" s="137"/>
      <c r="BC6" s="4">
        <v>3.9976850000000002</v>
      </c>
      <c r="BD6" s="137" t="s">
        <v>868</v>
      </c>
      <c r="BE6" s="4">
        <v>3.9020410000000001</v>
      </c>
      <c r="BF6" s="4">
        <v>3.7434280000000002</v>
      </c>
      <c r="BG6" s="4">
        <v>3.3412700000000002</v>
      </c>
      <c r="BH6" s="4">
        <v>3.480159</v>
      </c>
      <c r="BK6" s="137" t="s">
        <v>856</v>
      </c>
      <c r="BL6" s="4">
        <v>12.218170000000001</v>
      </c>
      <c r="BM6" s="4">
        <v>12.63754</v>
      </c>
      <c r="BN6" s="4">
        <v>12.52298</v>
      </c>
      <c r="BO6" s="4">
        <v>13.45748</v>
      </c>
      <c r="BP6" s="4">
        <v>12.850910000000001</v>
      </c>
    </row>
    <row r="7" spans="1:68">
      <c r="A7" s="6">
        <v>4.67</v>
      </c>
      <c r="B7" s="7">
        <v>3.106481</v>
      </c>
      <c r="C7" s="120" t="s">
        <v>854</v>
      </c>
      <c r="D7" s="7">
        <v>3.2382140000000001</v>
      </c>
      <c r="E7" s="7">
        <v>3.2499630000000002</v>
      </c>
      <c r="F7" s="7">
        <v>3.0975060000000001</v>
      </c>
      <c r="G7" s="7">
        <v>3.352608</v>
      </c>
      <c r="H7" s="7">
        <v>25.988430000000001</v>
      </c>
      <c r="I7" s="120" t="s">
        <v>858</v>
      </c>
      <c r="J7" s="7">
        <v>25.825970000000002</v>
      </c>
      <c r="K7" s="7">
        <v>25.984580000000001</v>
      </c>
      <c r="L7" s="7">
        <v>26.33447</v>
      </c>
      <c r="M7" s="7">
        <v>25.934809999999999</v>
      </c>
      <c r="N7" s="120" t="s">
        <v>895</v>
      </c>
      <c r="O7" s="120" t="s">
        <v>896</v>
      </c>
      <c r="P7" s="120" t="s">
        <v>897</v>
      </c>
      <c r="Q7" s="120" t="s">
        <v>898</v>
      </c>
      <c r="R7" s="120" t="s">
        <v>899</v>
      </c>
      <c r="S7" s="120" t="s">
        <v>900</v>
      </c>
      <c r="T7" s="4">
        <v>10</v>
      </c>
      <c r="W7" s="137" t="s">
        <v>842</v>
      </c>
      <c r="X7" s="137" t="s">
        <v>869</v>
      </c>
      <c r="Y7" s="211" t="s">
        <v>3418</v>
      </c>
      <c r="Z7" s="211" t="s">
        <v>3422</v>
      </c>
      <c r="AA7" s="211" t="s">
        <v>3427</v>
      </c>
      <c r="AB7" s="211" t="s">
        <v>3435</v>
      </c>
      <c r="AE7" s="4">
        <v>2.4884E-2</v>
      </c>
      <c r="AF7" s="4">
        <v>2.1122999999999999E-2</v>
      </c>
      <c r="AG7" s="4">
        <v>6.4180000000000001E-2</v>
      </c>
      <c r="AH7" s="4">
        <v>6.5647999999999998E-2</v>
      </c>
      <c r="AI7" s="4">
        <v>2.6076999999999999E-2</v>
      </c>
      <c r="AJ7" s="4">
        <v>5.0736999999999997E-2</v>
      </c>
      <c r="AM7" s="4">
        <v>0.25347199999999998</v>
      </c>
      <c r="AN7" s="4">
        <v>0.241898</v>
      </c>
      <c r="AO7" s="4">
        <v>0.26861499999999999</v>
      </c>
      <c r="AP7" s="4">
        <v>0.32442399999999999</v>
      </c>
      <c r="AQ7" s="4">
        <v>0.31689299999999998</v>
      </c>
      <c r="AR7" s="4">
        <v>0.36507899999999999</v>
      </c>
      <c r="AU7" s="137" t="s">
        <v>871</v>
      </c>
      <c r="AV7" s="4">
        <v>3.0572919999999999</v>
      </c>
      <c r="AW7" s="4">
        <v>3.9137909999999998</v>
      </c>
      <c r="AX7" s="4">
        <v>4.0136580000000004</v>
      </c>
      <c r="AY7" s="4">
        <v>3.7891159999999999</v>
      </c>
      <c r="AZ7" s="4">
        <v>3.077664</v>
      </c>
      <c r="BA7" s="137"/>
      <c r="BC7" s="4">
        <v>10.030670000000001</v>
      </c>
      <c r="BD7" s="137" t="s">
        <v>872</v>
      </c>
      <c r="BE7" s="4">
        <v>12.75503</v>
      </c>
      <c r="BF7" s="4">
        <v>11.55955</v>
      </c>
      <c r="BG7" s="4">
        <v>10.4246</v>
      </c>
      <c r="BH7" s="4">
        <v>10.393420000000001</v>
      </c>
      <c r="BK7" s="137" t="s">
        <v>873</v>
      </c>
      <c r="BL7" s="4">
        <v>17.556709999999999</v>
      </c>
      <c r="BM7" s="4">
        <v>22.503889999999998</v>
      </c>
      <c r="BN7" s="4">
        <v>23.202970000000001</v>
      </c>
      <c r="BO7" s="4">
        <v>21.518709999999999</v>
      </c>
      <c r="BP7" s="4">
        <v>22.051590000000001</v>
      </c>
    </row>
    <row r="8" spans="1:68">
      <c r="A8" s="6">
        <v>8.15</v>
      </c>
      <c r="B8" s="120" t="s">
        <v>855</v>
      </c>
      <c r="C8" s="7">
        <v>11.45139</v>
      </c>
      <c r="D8" s="7">
        <v>10.37876</v>
      </c>
      <c r="E8" s="7">
        <v>10.18784</v>
      </c>
      <c r="F8" s="7">
        <v>8.1712019999999992</v>
      </c>
      <c r="G8" s="7">
        <v>10.078799999999999</v>
      </c>
      <c r="H8" s="120" t="s">
        <v>842</v>
      </c>
      <c r="I8" s="120" t="s">
        <v>881</v>
      </c>
      <c r="J8" s="120" t="s">
        <v>882</v>
      </c>
      <c r="K8" s="120" t="s">
        <v>883</v>
      </c>
      <c r="L8" s="120" t="s">
        <v>884</v>
      </c>
      <c r="M8" s="120" t="s">
        <v>885</v>
      </c>
      <c r="N8" s="120" t="s">
        <v>861</v>
      </c>
      <c r="O8" s="120" t="s">
        <v>901</v>
      </c>
      <c r="P8" s="120" t="s">
        <v>902</v>
      </c>
      <c r="Q8" s="120" t="s">
        <v>903</v>
      </c>
      <c r="R8" s="120" t="s">
        <v>904</v>
      </c>
      <c r="S8" s="120" t="s">
        <v>905</v>
      </c>
      <c r="T8" s="4">
        <v>50</v>
      </c>
      <c r="W8" s="137" t="s">
        <v>874</v>
      </c>
      <c r="X8" s="137" t="s">
        <v>875</v>
      </c>
      <c r="Y8" s="4">
        <v>2.4970000000000001E-3</v>
      </c>
      <c r="Z8" s="211" t="s">
        <v>3423</v>
      </c>
      <c r="AA8" s="211" t="s">
        <v>3428</v>
      </c>
      <c r="AB8" s="211" t="s">
        <v>3436</v>
      </c>
      <c r="AE8" s="4">
        <v>0.35763899999999998</v>
      </c>
      <c r="AF8" s="4">
        <v>0.38946799999999998</v>
      </c>
      <c r="AG8" s="4">
        <v>0.70333400000000001</v>
      </c>
      <c r="AH8" s="4">
        <v>0.66808599999999996</v>
      </c>
      <c r="AI8" s="4">
        <v>0.27437600000000001</v>
      </c>
      <c r="AJ8" s="4">
        <v>0.52381</v>
      </c>
      <c r="AM8" s="4">
        <v>2.8518520000000001</v>
      </c>
      <c r="AN8" s="4">
        <v>2.9907409999999999</v>
      </c>
      <c r="AO8" s="4">
        <v>3.6641210000000002</v>
      </c>
      <c r="AP8" s="4">
        <v>3.4496989999999998</v>
      </c>
      <c r="AQ8" s="4">
        <v>3.7409300000000001</v>
      </c>
      <c r="AR8" s="4">
        <v>3.6729020000000001</v>
      </c>
      <c r="AU8" s="137" t="s">
        <v>871</v>
      </c>
      <c r="AV8" s="4">
        <v>8.1296300000000006</v>
      </c>
      <c r="AW8" s="4">
        <v>12.716850000000001</v>
      </c>
      <c r="AX8" s="4">
        <v>12.03246</v>
      </c>
      <c r="AY8" s="4">
        <v>12.23583</v>
      </c>
      <c r="AZ8" s="4">
        <v>12.272679999999999</v>
      </c>
      <c r="BA8" s="137"/>
      <c r="BC8" s="4">
        <v>19.486689999999999</v>
      </c>
      <c r="BD8" s="137" t="s">
        <v>861</v>
      </c>
      <c r="BE8" s="4">
        <v>21.757819999999999</v>
      </c>
      <c r="BF8" s="4">
        <v>21.36129</v>
      </c>
      <c r="BG8" s="4">
        <v>20.48696</v>
      </c>
      <c r="BH8" s="4">
        <v>20.997170000000001</v>
      </c>
      <c r="BK8" s="137" t="s">
        <v>869</v>
      </c>
      <c r="BL8" s="4">
        <v>28.925350000000002</v>
      </c>
      <c r="BM8" s="4">
        <v>31.70054</v>
      </c>
      <c r="BN8" s="4">
        <v>31.124829999999999</v>
      </c>
      <c r="BO8" s="4">
        <v>31.73696</v>
      </c>
      <c r="BP8" s="4">
        <v>32.422899999999998</v>
      </c>
    </row>
    <row r="9" spans="1:68">
      <c r="A9" s="6"/>
      <c r="B9" s="120"/>
      <c r="C9" s="7"/>
      <c r="D9" s="7"/>
      <c r="E9" s="7"/>
      <c r="F9" s="7"/>
      <c r="G9" s="7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4">
        <v>100</v>
      </c>
      <c r="W9" s="4">
        <v>1.157E-3</v>
      </c>
      <c r="X9" s="137" t="s">
        <v>877</v>
      </c>
      <c r="Y9" s="4">
        <v>4.2589999999999998E-3</v>
      </c>
      <c r="Z9" s="4">
        <v>3.9649999999999998E-3</v>
      </c>
      <c r="AA9" s="211" t="s">
        <v>3429</v>
      </c>
      <c r="AB9" s="211" t="s">
        <v>3428</v>
      </c>
      <c r="AE9" s="4">
        <v>1.0520830000000001</v>
      </c>
      <c r="AF9" s="4">
        <v>1.138889</v>
      </c>
      <c r="AG9" s="4">
        <v>1.5022759999999999</v>
      </c>
      <c r="AH9" s="4">
        <v>1.6285799999999999</v>
      </c>
      <c r="AI9" s="4">
        <v>0.79024899999999998</v>
      </c>
      <c r="AJ9" s="4">
        <v>1.521542</v>
      </c>
      <c r="AM9" s="4">
        <v>5.3981479999999999</v>
      </c>
      <c r="AN9" s="4">
        <v>5.6035880000000002</v>
      </c>
      <c r="AO9" s="4">
        <v>6.4075490000000004</v>
      </c>
      <c r="AP9" s="4">
        <v>6.3488030000000002</v>
      </c>
      <c r="AQ9" s="4">
        <v>6.2806119999999996</v>
      </c>
      <c r="AR9" s="4">
        <v>5.2602039999999999</v>
      </c>
      <c r="AU9" s="137" t="s">
        <v>843</v>
      </c>
      <c r="AV9" s="4">
        <v>14.96701</v>
      </c>
      <c r="AW9" s="4">
        <v>16.664560000000002</v>
      </c>
      <c r="AX9" s="4">
        <v>15.671760000000001</v>
      </c>
      <c r="AY9" s="4">
        <v>15.642860000000001</v>
      </c>
      <c r="AZ9" s="4">
        <v>14.0924</v>
      </c>
      <c r="BA9" s="137"/>
      <c r="BC9" s="4">
        <v>25.988430000000001</v>
      </c>
      <c r="BD9" s="137" t="s">
        <v>858</v>
      </c>
      <c r="BE9" s="4">
        <v>25.825970000000002</v>
      </c>
      <c r="BF9" s="4">
        <v>25.984580000000001</v>
      </c>
      <c r="BG9" s="4">
        <v>26.33447</v>
      </c>
      <c r="BH9" s="4">
        <v>25.934809999999999</v>
      </c>
      <c r="BK9" s="137" t="s">
        <v>842</v>
      </c>
      <c r="BL9" s="137" t="s">
        <v>3449</v>
      </c>
      <c r="BM9" s="137" t="s">
        <v>3450</v>
      </c>
      <c r="BN9" s="137" t="s">
        <v>3451</v>
      </c>
      <c r="BO9" s="137" t="s">
        <v>3452</v>
      </c>
      <c r="BP9" s="137" t="s">
        <v>3453</v>
      </c>
    </row>
    <row r="10" spans="1:68">
      <c r="A10" s="6"/>
      <c r="B10" s="120"/>
      <c r="C10" s="7"/>
      <c r="D10" s="7"/>
      <c r="E10" s="7"/>
      <c r="F10" s="7"/>
      <c r="G10" s="7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4">
        <v>500</v>
      </c>
      <c r="W10" s="137" t="s">
        <v>886</v>
      </c>
      <c r="X10" s="137" t="s">
        <v>854</v>
      </c>
      <c r="Y10" s="4">
        <v>3.6719999999999999E-3</v>
      </c>
      <c r="Z10" s="4">
        <v>1.0134000000000001E-2</v>
      </c>
      <c r="AA10" s="211" t="s">
        <v>3430</v>
      </c>
      <c r="AB10" s="211" t="s">
        <v>3437</v>
      </c>
      <c r="AE10" s="4">
        <v>3.1267360000000002</v>
      </c>
      <c r="AF10" s="4">
        <v>3.340856</v>
      </c>
      <c r="AG10" s="4">
        <v>4.8419740000000004</v>
      </c>
      <c r="AH10" s="4">
        <v>4.7362310000000001</v>
      </c>
      <c r="AI10" s="4">
        <v>2.7715420000000002</v>
      </c>
      <c r="AJ10" s="4">
        <v>3.057823</v>
      </c>
      <c r="AM10" s="4">
        <v>10.15509</v>
      </c>
      <c r="AN10" s="4">
        <v>10.40972</v>
      </c>
      <c r="AO10" s="4">
        <v>11.139519999999999</v>
      </c>
      <c r="AP10" s="4">
        <v>11.383319999999999</v>
      </c>
      <c r="AQ10" s="4">
        <v>9.9540819999999997</v>
      </c>
      <c r="AR10" s="4">
        <v>10.04762</v>
      </c>
      <c r="AU10" s="137" t="s">
        <v>887</v>
      </c>
      <c r="AV10" s="4">
        <v>20.716439999999999</v>
      </c>
      <c r="AW10" s="4">
        <v>23.343959999999999</v>
      </c>
      <c r="AX10" s="4">
        <v>22.092669999999998</v>
      </c>
      <c r="AY10" s="4">
        <v>21.717120000000001</v>
      </c>
      <c r="AZ10" s="4">
        <v>20.552150000000001</v>
      </c>
      <c r="BA10" s="137"/>
      <c r="BC10" s="4">
        <v>31.998259999999998</v>
      </c>
      <c r="BD10" s="137" t="s">
        <v>888</v>
      </c>
      <c r="BE10" s="4">
        <v>33.189749999999997</v>
      </c>
      <c r="BF10" s="4">
        <v>32.684539999999998</v>
      </c>
      <c r="BG10" s="4">
        <v>32.72052</v>
      </c>
      <c r="BH10" s="4">
        <v>33.123019999999997</v>
      </c>
      <c r="BK10" s="137" t="s">
        <v>871</v>
      </c>
      <c r="BL10" s="137" t="s">
        <v>3454</v>
      </c>
      <c r="BM10" s="137" t="s">
        <v>3455</v>
      </c>
      <c r="BN10" s="137" t="s">
        <v>3456</v>
      </c>
      <c r="BO10" s="137" t="s">
        <v>3457</v>
      </c>
      <c r="BP10" s="137" t="s">
        <v>3458</v>
      </c>
    </row>
    <row r="11" spans="1:68">
      <c r="A11" s="6"/>
      <c r="B11" s="120"/>
      <c r="C11" s="7"/>
      <c r="D11" s="7"/>
      <c r="E11" s="7"/>
      <c r="F11" s="7"/>
      <c r="G11" s="7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4">
        <v>1000</v>
      </c>
      <c r="W11" s="4">
        <v>1.7359999999999999E-3</v>
      </c>
      <c r="X11" s="137" t="s">
        <v>890</v>
      </c>
      <c r="Y11" s="211" t="s">
        <v>3414</v>
      </c>
      <c r="Z11" s="4">
        <v>1.2777E-2</v>
      </c>
      <c r="AA11" s="211" t="s">
        <v>3431</v>
      </c>
      <c r="AB11" s="211" t="s">
        <v>3438</v>
      </c>
      <c r="AE11" s="4">
        <v>3.6822919999999999</v>
      </c>
      <c r="AF11" s="4">
        <v>3.8125</v>
      </c>
      <c r="AG11" s="4">
        <v>5.9845790000000001</v>
      </c>
      <c r="AH11" s="4">
        <v>5.5351739999999996</v>
      </c>
      <c r="AI11" s="4">
        <v>3.590703</v>
      </c>
      <c r="AJ11" s="4">
        <v>3.6729020000000001</v>
      </c>
      <c r="AM11" s="4">
        <v>11.03762</v>
      </c>
      <c r="AN11" s="4">
        <v>11.88252</v>
      </c>
      <c r="AO11" s="4">
        <v>12.10589</v>
      </c>
      <c r="AP11" s="4">
        <v>12.834339999999999</v>
      </c>
      <c r="AQ11" s="4">
        <v>10.523809999999999</v>
      </c>
      <c r="AR11" s="4">
        <v>11.22392</v>
      </c>
      <c r="AU11" s="137" t="s">
        <v>873</v>
      </c>
      <c r="AV11" s="4">
        <v>22.435189999999999</v>
      </c>
      <c r="AW11" s="4">
        <v>24.366129999999998</v>
      </c>
      <c r="AX11" s="4">
        <v>24.74211</v>
      </c>
      <c r="AY11" s="4">
        <v>22.391719999999999</v>
      </c>
      <c r="AZ11" s="4">
        <v>21.450679999999998</v>
      </c>
      <c r="BA11" s="137"/>
      <c r="BC11" s="137" t="s">
        <v>3444</v>
      </c>
      <c r="BD11" s="137" t="s">
        <v>896</v>
      </c>
      <c r="BE11" s="137" t="s">
        <v>3445</v>
      </c>
      <c r="BF11" s="137" t="s">
        <v>3446</v>
      </c>
      <c r="BG11" s="137" t="s">
        <v>3447</v>
      </c>
      <c r="BH11" s="137" t="s">
        <v>3448</v>
      </c>
      <c r="BK11" s="137" t="s">
        <v>861</v>
      </c>
      <c r="BL11" s="137" t="s">
        <v>3459</v>
      </c>
      <c r="BM11" s="137" t="s">
        <v>3460</v>
      </c>
      <c r="BN11" s="137" t="s">
        <v>3461</v>
      </c>
      <c r="BO11" s="137" t="s">
        <v>3462</v>
      </c>
      <c r="BP11" s="137" t="s">
        <v>3463</v>
      </c>
    </row>
    <row r="12" spans="1:68" ht="16.5">
      <c r="A12" s="136" t="s">
        <v>1699</v>
      </c>
      <c r="B12" s="244" t="s">
        <v>2110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63" t="s">
        <v>1911</v>
      </c>
      <c r="U12" s="263" t="s">
        <v>1911</v>
      </c>
      <c r="V12" s="263" t="s">
        <v>1911</v>
      </c>
      <c r="W12" s="263" t="s">
        <v>1911</v>
      </c>
      <c r="X12" s="263" t="s">
        <v>1911</v>
      </c>
      <c r="Y12" s="263" t="s">
        <v>1911</v>
      </c>
      <c r="Z12" s="263" t="s">
        <v>1911</v>
      </c>
      <c r="AA12" s="263" t="s">
        <v>1911</v>
      </c>
      <c r="AB12" s="263" t="s">
        <v>1911</v>
      </c>
      <c r="AC12" s="263" t="s">
        <v>1911</v>
      </c>
      <c r="AD12" s="263" t="s">
        <v>1911</v>
      </c>
      <c r="AE12" s="263" t="s">
        <v>1911</v>
      </c>
      <c r="AF12" s="263" t="s">
        <v>1911</v>
      </c>
      <c r="AG12" s="263" t="s">
        <v>1911</v>
      </c>
      <c r="AH12" s="263" t="s">
        <v>1911</v>
      </c>
      <c r="AI12" s="263" t="s">
        <v>1911</v>
      </c>
      <c r="AJ12" s="263" t="s">
        <v>1911</v>
      </c>
      <c r="AK12" s="263" t="s">
        <v>1911</v>
      </c>
      <c r="AL12" s="263" t="s">
        <v>1911</v>
      </c>
      <c r="AM12" s="263" t="s">
        <v>1911</v>
      </c>
      <c r="AN12" s="263" t="s">
        <v>1911</v>
      </c>
      <c r="AO12" s="263" t="s">
        <v>1911</v>
      </c>
      <c r="AP12" s="263" t="s">
        <v>1911</v>
      </c>
      <c r="AQ12" s="263" t="s">
        <v>1911</v>
      </c>
      <c r="AR12" s="263" t="s">
        <v>1911</v>
      </c>
      <c r="AS12" s="263" t="s">
        <v>1911</v>
      </c>
      <c r="AT12" s="263" t="s">
        <v>1911</v>
      </c>
      <c r="AU12" s="263" t="s">
        <v>1911</v>
      </c>
      <c r="AV12" s="263" t="s">
        <v>1911</v>
      </c>
      <c r="AW12" s="263" t="s">
        <v>1911</v>
      </c>
      <c r="AX12" s="263" t="s">
        <v>1911</v>
      </c>
      <c r="AY12" s="263" t="s">
        <v>1911</v>
      </c>
      <c r="AZ12" s="263" t="s">
        <v>1911</v>
      </c>
      <c r="BA12" s="263" t="s">
        <v>1911</v>
      </c>
      <c r="BB12" s="263" t="s">
        <v>1911</v>
      </c>
      <c r="BC12" s="263" t="s">
        <v>1911</v>
      </c>
      <c r="BD12" s="263" t="s">
        <v>1911</v>
      </c>
      <c r="BE12" s="263" t="s">
        <v>1911</v>
      </c>
      <c r="BF12" s="263" t="s">
        <v>1911</v>
      </c>
      <c r="BG12" s="263" t="s">
        <v>1911</v>
      </c>
      <c r="BH12" s="263" t="s">
        <v>1911</v>
      </c>
      <c r="BI12" s="263" t="s">
        <v>1911</v>
      </c>
      <c r="BJ12" s="263" t="s">
        <v>1911</v>
      </c>
      <c r="BK12" s="263" t="s">
        <v>1911</v>
      </c>
      <c r="BL12" s="263" t="s">
        <v>1911</v>
      </c>
      <c r="BM12" s="263" t="s">
        <v>1911</v>
      </c>
      <c r="BN12" s="263" t="s">
        <v>1911</v>
      </c>
      <c r="BO12" s="263" t="s">
        <v>1911</v>
      </c>
      <c r="BP12" s="263" t="s">
        <v>1911</v>
      </c>
    </row>
    <row r="13" spans="1:68" ht="15">
      <c r="A13" s="6" t="s">
        <v>1698</v>
      </c>
      <c r="B13" s="258">
        <v>0</v>
      </c>
      <c r="C13" s="258"/>
      <c r="D13" s="258"/>
      <c r="E13" s="258"/>
      <c r="F13" s="258"/>
      <c r="G13" s="258"/>
      <c r="H13" s="259">
        <v>100</v>
      </c>
      <c r="I13" s="259"/>
      <c r="J13" s="259"/>
      <c r="K13" s="259"/>
      <c r="L13" s="259"/>
      <c r="M13" s="259"/>
      <c r="N13" s="260">
        <v>1000</v>
      </c>
      <c r="O13" s="260"/>
      <c r="P13" s="260"/>
      <c r="Q13" s="260"/>
      <c r="R13" s="260"/>
      <c r="S13" s="260"/>
      <c r="T13" s="138" t="s">
        <v>2088</v>
      </c>
      <c r="U13" s="266">
        <v>7.1199999999999996E-4</v>
      </c>
      <c r="V13" s="265"/>
      <c r="W13" s="265"/>
      <c r="X13" s="265"/>
      <c r="Y13" s="265"/>
      <c r="Z13" s="265"/>
      <c r="AA13" s="265"/>
      <c r="AB13" s="265"/>
      <c r="AC13" s="266">
        <v>0.15089174999999999</v>
      </c>
      <c r="AD13" s="265"/>
      <c r="AE13" s="265"/>
      <c r="AF13" s="265"/>
      <c r="AG13" s="265"/>
      <c r="AH13" s="265"/>
      <c r="AI13" s="265"/>
      <c r="AJ13" s="265"/>
      <c r="AK13" s="266">
        <v>0.48899999999999999</v>
      </c>
      <c r="AL13" s="265"/>
      <c r="AM13" s="265"/>
      <c r="AN13" s="265"/>
      <c r="AO13" s="265"/>
      <c r="AP13" s="265"/>
      <c r="AQ13" s="265"/>
      <c r="AR13" s="265"/>
      <c r="AS13" s="266">
        <v>1.78</v>
      </c>
      <c r="AT13" s="265"/>
      <c r="AU13" s="265"/>
      <c r="AV13" s="265"/>
      <c r="AW13" s="265"/>
      <c r="AX13" s="265"/>
      <c r="AY13" s="265"/>
      <c r="AZ13" s="265"/>
      <c r="BA13" s="266">
        <v>4.67</v>
      </c>
      <c r="BB13" s="265"/>
      <c r="BC13" s="265"/>
      <c r="BD13" s="265"/>
      <c r="BE13" s="265"/>
      <c r="BF13" s="265"/>
      <c r="BG13" s="265"/>
      <c r="BH13" s="265"/>
      <c r="BI13" s="266">
        <v>8.15</v>
      </c>
      <c r="BJ13" s="265"/>
      <c r="BK13" s="265"/>
      <c r="BL13" s="265"/>
      <c r="BM13" s="265"/>
      <c r="BN13" s="265"/>
      <c r="BO13" s="265"/>
      <c r="BP13" s="265"/>
    </row>
    <row r="14" spans="1:68" ht="16.5" customHeight="1">
      <c r="A14" s="6">
        <v>0</v>
      </c>
      <c r="B14" s="120" t="s">
        <v>906</v>
      </c>
      <c r="C14" s="120" t="s">
        <v>875</v>
      </c>
      <c r="D14" s="120" t="s">
        <v>907</v>
      </c>
      <c r="E14" s="120" t="s">
        <v>908</v>
      </c>
      <c r="F14" s="120" t="s">
        <v>909</v>
      </c>
      <c r="G14" s="120" t="s">
        <v>910</v>
      </c>
      <c r="H14" s="120" t="s">
        <v>922</v>
      </c>
      <c r="I14" s="120" t="s">
        <v>923</v>
      </c>
      <c r="J14" s="120" t="s">
        <v>917</v>
      </c>
      <c r="K14" s="120" t="s">
        <v>924</v>
      </c>
      <c r="L14" s="120" t="s">
        <v>925</v>
      </c>
      <c r="M14" s="120" t="s">
        <v>913</v>
      </c>
      <c r="N14" s="120" t="s">
        <v>874</v>
      </c>
      <c r="O14" s="120" t="s">
        <v>877</v>
      </c>
      <c r="P14" s="120" t="s">
        <v>850</v>
      </c>
      <c r="Q14" s="120" t="s">
        <v>912</v>
      </c>
      <c r="R14" s="120" t="s">
        <v>860</v>
      </c>
      <c r="S14" s="120" t="s">
        <v>927</v>
      </c>
      <c r="T14" s="139" t="s">
        <v>1915</v>
      </c>
      <c r="U14" s="262"/>
      <c r="V14" s="262"/>
      <c r="W14" s="262" t="s">
        <v>1917</v>
      </c>
      <c r="X14" s="262" t="s">
        <v>1893</v>
      </c>
      <c r="Y14" s="262" t="s">
        <v>1919</v>
      </c>
      <c r="Z14" s="262" t="s">
        <v>1894</v>
      </c>
      <c r="AA14" s="262" t="s">
        <v>1921</v>
      </c>
      <c r="AB14" s="262" t="s">
        <v>1895</v>
      </c>
      <c r="AC14" s="262"/>
      <c r="AD14" s="262"/>
      <c r="AE14" s="262" t="s">
        <v>1922</v>
      </c>
      <c r="AF14" s="262" t="s">
        <v>1896</v>
      </c>
      <c r="AG14" s="262" t="s">
        <v>1924</v>
      </c>
      <c r="AH14" s="262" t="s">
        <v>1897</v>
      </c>
      <c r="AI14" s="262" t="s">
        <v>1926</v>
      </c>
      <c r="AJ14" s="262" t="s">
        <v>1898</v>
      </c>
      <c r="AK14" s="262"/>
      <c r="AL14" s="262"/>
      <c r="AM14" s="262" t="s">
        <v>1927</v>
      </c>
      <c r="AN14" s="262" t="s">
        <v>1899</v>
      </c>
      <c r="AO14" s="262" t="s">
        <v>1929</v>
      </c>
      <c r="AP14" s="262" t="s">
        <v>1900</v>
      </c>
      <c r="AQ14" s="262" t="s">
        <v>1931</v>
      </c>
      <c r="AR14" s="262" t="s">
        <v>1901</v>
      </c>
      <c r="AS14" s="262"/>
      <c r="AT14" s="262"/>
      <c r="AU14" s="262" t="s">
        <v>1932</v>
      </c>
      <c r="AV14" s="262" t="s">
        <v>1902</v>
      </c>
      <c r="AW14" s="262" t="s">
        <v>1934</v>
      </c>
      <c r="AX14" s="262" t="s">
        <v>1903</v>
      </c>
      <c r="AY14" s="262" t="s">
        <v>1936</v>
      </c>
      <c r="AZ14" s="262" t="s">
        <v>1904</v>
      </c>
      <c r="BA14" s="262"/>
      <c r="BB14" s="262"/>
      <c r="BC14" s="262" t="s">
        <v>1937</v>
      </c>
      <c r="BD14" s="262" t="s">
        <v>1905</v>
      </c>
      <c r="BE14" s="262" t="s">
        <v>1939</v>
      </c>
      <c r="BF14" s="262" t="s">
        <v>1906</v>
      </c>
      <c r="BG14" s="262" t="s">
        <v>1941</v>
      </c>
      <c r="BH14" s="262" t="s">
        <v>1907</v>
      </c>
      <c r="BI14" s="262"/>
      <c r="BJ14" s="262"/>
      <c r="BK14" s="262" t="s">
        <v>1942</v>
      </c>
      <c r="BL14" s="262" t="s">
        <v>1908</v>
      </c>
      <c r="BM14" s="262" t="s">
        <v>1944</v>
      </c>
      <c r="BN14" s="262" t="s">
        <v>1909</v>
      </c>
      <c r="BO14" s="262" t="s">
        <v>1946</v>
      </c>
      <c r="BP14" s="262" t="s">
        <v>1910</v>
      </c>
    </row>
    <row r="15" spans="1:68">
      <c r="A15" s="6">
        <v>0.15</v>
      </c>
      <c r="B15" s="120" t="s">
        <v>864</v>
      </c>
      <c r="C15" s="120" t="s">
        <v>911</v>
      </c>
      <c r="D15" s="120" t="s">
        <v>912</v>
      </c>
      <c r="E15" s="120" t="s">
        <v>870</v>
      </c>
      <c r="F15" s="120" t="s">
        <v>913</v>
      </c>
      <c r="G15" s="120" t="s">
        <v>914</v>
      </c>
      <c r="H15" s="7">
        <v>2.1776620000000002</v>
      </c>
      <c r="I15" s="7">
        <v>2.3773149999999998</v>
      </c>
      <c r="J15" s="7">
        <v>2.7388750000000002</v>
      </c>
      <c r="K15" s="7">
        <v>2.8358059999999998</v>
      </c>
      <c r="L15" s="7">
        <v>1.5470520000000001</v>
      </c>
      <c r="M15" s="7">
        <v>1.589569</v>
      </c>
      <c r="N15" s="7">
        <v>4.6747690000000004</v>
      </c>
      <c r="O15" s="7">
        <v>5.0248840000000001</v>
      </c>
      <c r="P15" s="7">
        <v>5.9845790000000001</v>
      </c>
      <c r="Q15" s="7">
        <v>6.1167569999999998</v>
      </c>
      <c r="R15" s="7">
        <v>3.9846940000000002</v>
      </c>
      <c r="S15" s="7">
        <v>4.2029480000000001</v>
      </c>
      <c r="T15" s="4">
        <v>0</v>
      </c>
      <c r="W15" s="137" t="s">
        <v>906</v>
      </c>
      <c r="X15" s="137" t="s">
        <v>875</v>
      </c>
      <c r="Y15" s="137">
        <v>-6.0200000000000002E-3</v>
      </c>
      <c r="Z15" s="137">
        <v>-1.072E-2</v>
      </c>
      <c r="AA15" s="137">
        <v>-6.2399999999999999E-3</v>
      </c>
      <c r="AB15" s="137">
        <v>-1.644E-2</v>
      </c>
      <c r="AE15" s="137" t="s">
        <v>864</v>
      </c>
      <c r="AF15" s="137" t="s">
        <v>911</v>
      </c>
      <c r="AG15" s="137">
        <v>-6.8999999999999999E-3</v>
      </c>
      <c r="AH15" s="137">
        <v>-4.4000000000000002E-4</v>
      </c>
      <c r="AI15" s="137">
        <v>-1.077E-2</v>
      </c>
      <c r="AJ15" s="137">
        <v>-8.2199999999999999E-3</v>
      </c>
      <c r="AM15" s="4">
        <v>1.0416999999999999E-2</v>
      </c>
      <c r="AN15" s="4">
        <v>8.3909999999999992E-3</v>
      </c>
      <c r="AO15" s="4">
        <v>6.6090000000000003E-3</v>
      </c>
      <c r="AP15" s="4">
        <v>9.8399999999999998E-3</v>
      </c>
      <c r="AQ15" s="137">
        <v>-9.3500000000000007E-3</v>
      </c>
      <c r="AR15" s="4">
        <v>5.6690000000000004E-3</v>
      </c>
      <c r="AU15" s="4">
        <v>7.9572000000000004E-2</v>
      </c>
      <c r="AV15" s="4">
        <v>7.5810000000000002E-2</v>
      </c>
      <c r="AW15" s="4">
        <v>9.5314999999999997E-2</v>
      </c>
      <c r="AX15" s="4">
        <v>9.4140000000000001E-2</v>
      </c>
      <c r="AY15" s="4">
        <v>6.6610000000000003E-2</v>
      </c>
      <c r="AZ15" s="4">
        <v>7.5964000000000004E-2</v>
      </c>
      <c r="BC15" s="4">
        <v>0.91898100000000005</v>
      </c>
      <c r="BD15" s="4">
        <v>0.93344899999999997</v>
      </c>
      <c r="BE15" s="4">
        <v>0.79145200000000004</v>
      </c>
      <c r="BF15" s="4">
        <v>0.94125400000000004</v>
      </c>
      <c r="BG15" s="4">
        <v>0.75907000000000002</v>
      </c>
      <c r="BH15" s="4">
        <v>0.79591800000000001</v>
      </c>
      <c r="BK15" s="4">
        <v>3.659144</v>
      </c>
      <c r="BL15" s="4">
        <v>3.3813659999999999</v>
      </c>
      <c r="BM15" s="4">
        <v>3.0796009999999998</v>
      </c>
      <c r="BN15" s="4">
        <v>3.4379499999999998</v>
      </c>
      <c r="BO15" s="4">
        <v>3.037982</v>
      </c>
      <c r="BP15" s="4">
        <v>3.1371880000000001</v>
      </c>
    </row>
    <row r="16" spans="1:68">
      <c r="A16" s="6">
        <v>0.49</v>
      </c>
      <c r="B16" s="7">
        <v>1.0416999999999999E-2</v>
      </c>
      <c r="C16" s="7">
        <v>8.3909999999999992E-3</v>
      </c>
      <c r="D16" s="7">
        <v>6.6090000000000003E-3</v>
      </c>
      <c r="E16" s="7">
        <v>9.8399999999999998E-3</v>
      </c>
      <c r="F16" s="120" t="s">
        <v>915</v>
      </c>
      <c r="G16" s="7">
        <v>5.6690000000000004E-3</v>
      </c>
      <c r="H16" s="7">
        <v>7.0300929999999999</v>
      </c>
      <c r="I16" s="7">
        <v>7.2065970000000004</v>
      </c>
      <c r="J16" s="7">
        <v>6.880452</v>
      </c>
      <c r="K16" s="7">
        <v>7.2975469999999998</v>
      </c>
      <c r="L16" s="7">
        <v>6.479025</v>
      </c>
      <c r="M16" s="7">
        <v>6.9580500000000001</v>
      </c>
      <c r="N16" s="7">
        <v>10.50521</v>
      </c>
      <c r="O16" s="7">
        <v>11.10417</v>
      </c>
      <c r="P16" s="7">
        <v>11.00441</v>
      </c>
      <c r="Q16" s="7">
        <v>11.48906</v>
      </c>
      <c r="R16" s="7">
        <v>10.17234</v>
      </c>
      <c r="S16" s="7">
        <v>10.489800000000001</v>
      </c>
      <c r="T16" s="4">
        <v>0.1</v>
      </c>
      <c r="W16" s="137" t="s">
        <v>916</v>
      </c>
      <c r="X16" s="137" t="s">
        <v>831</v>
      </c>
      <c r="Y16" s="137">
        <v>-2.2179999999999998E-2</v>
      </c>
      <c r="Z16" s="137">
        <v>-4.8500000000000001E-3</v>
      </c>
      <c r="AA16" s="137">
        <v>-1.5310000000000001E-2</v>
      </c>
      <c r="AB16" s="137">
        <v>-1.2760000000000001E-2</v>
      </c>
      <c r="AE16" s="137" t="s">
        <v>858</v>
      </c>
      <c r="AF16" s="137" t="s">
        <v>858</v>
      </c>
      <c r="AG16" s="137">
        <v>-1.91E-3</v>
      </c>
      <c r="AH16" s="4">
        <v>1.9090000000000001E-3</v>
      </c>
      <c r="AI16" s="137">
        <v>-7.0899999999999999E-3</v>
      </c>
      <c r="AJ16" s="137">
        <v>-6.2399999999999999E-3</v>
      </c>
      <c r="AM16" s="137" t="s">
        <v>919</v>
      </c>
      <c r="AN16" s="4">
        <v>7.5230000000000002E-3</v>
      </c>
      <c r="AO16" s="4">
        <v>1.0721E-2</v>
      </c>
      <c r="AP16" s="4">
        <v>1.2189999999999999E-2</v>
      </c>
      <c r="AQ16" s="4">
        <v>3.9680000000000002E-3</v>
      </c>
      <c r="AR16" s="4">
        <v>2.8340000000000001E-3</v>
      </c>
      <c r="AU16" s="4">
        <v>8.8541999999999996E-2</v>
      </c>
      <c r="AV16" s="4">
        <v>9.9825999999999998E-2</v>
      </c>
      <c r="AW16" s="4">
        <v>9.2083999999999999E-2</v>
      </c>
      <c r="AX16" s="4">
        <v>9.2083999999999999E-2</v>
      </c>
      <c r="AY16" s="4">
        <v>7.3980000000000004E-2</v>
      </c>
      <c r="AZ16" s="4">
        <v>7.5112999999999999E-2</v>
      </c>
      <c r="BC16" s="4">
        <v>0.94791700000000001</v>
      </c>
      <c r="BD16" s="4">
        <v>0.95081000000000004</v>
      </c>
      <c r="BE16" s="4">
        <v>0.71801999999999999</v>
      </c>
      <c r="BF16" s="4">
        <v>0.93537999999999999</v>
      </c>
      <c r="BG16" s="4">
        <v>0.74206300000000003</v>
      </c>
      <c r="BH16" s="4">
        <v>0.77324300000000001</v>
      </c>
      <c r="BK16" s="4">
        <v>4.5040509999999996</v>
      </c>
      <c r="BL16" s="4">
        <v>3.5144679999999999</v>
      </c>
      <c r="BM16" s="4">
        <v>3.0296669999999999</v>
      </c>
      <c r="BN16" s="4">
        <v>3.197092</v>
      </c>
      <c r="BO16" s="4">
        <v>3.0493199999999998</v>
      </c>
      <c r="BP16" s="4">
        <v>3.0975060000000001</v>
      </c>
    </row>
    <row r="17" spans="1:68">
      <c r="A17" s="6">
        <v>1.78</v>
      </c>
      <c r="B17" s="7">
        <v>7.9572000000000004E-2</v>
      </c>
      <c r="C17" s="7">
        <v>7.5810000000000002E-2</v>
      </c>
      <c r="D17" s="7">
        <v>9.5314999999999997E-2</v>
      </c>
      <c r="E17" s="7">
        <v>9.4140000000000001E-2</v>
      </c>
      <c r="F17" s="7">
        <v>6.6610000000000003E-2</v>
      </c>
      <c r="G17" s="7">
        <v>7.5964000000000004E-2</v>
      </c>
      <c r="H17" s="7">
        <v>13.39873</v>
      </c>
      <c r="I17" s="7">
        <v>13.56366</v>
      </c>
      <c r="J17" s="7">
        <v>13.859450000000001</v>
      </c>
      <c r="K17" s="7">
        <v>13.903510000000001</v>
      </c>
      <c r="L17" s="7">
        <v>13.5</v>
      </c>
      <c r="M17" s="7">
        <v>14.0924</v>
      </c>
      <c r="N17" s="7">
        <v>16.561340000000001</v>
      </c>
      <c r="O17" s="7">
        <v>16.512149999999998</v>
      </c>
      <c r="P17" s="7">
        <v>18.664860000000001</v>
      </c>
      <c r="Q17" s="7">
        <v>18.896899999999999</v>
      </c>
      <c r="R17" s="7">
        <v>17.740359999999999</v>
      </c>
      <c r="S17" s="7">
        <v>18.17971</v>
      </c>
      <c r="T17" s="4">
        <v>1</v>
      </c>
      <c r="W17" s="137" t="s">
        <v>859</v>
      </c>
      <c r="X17" s="137" t="s">
        <v>863</v>
      </c>
      <c r="Y17" s="137">
        <v>-1.542E-2</v>
      </c>
      <c r="Z17" s="137">
        <v>-8.3700000000000007E-3</v>
      </c>
      <c r="AA17" s="137">
        <v>-1.077E-2</v>
      </c>
      <c r="AB17" s="137">
        <v>-1.5310000000000001E-2</v>
      </c>
      <c r="AE17" s="4">
        <v>6.3660000000000001E-3</v>
      </c>
      <c r="AF17" s="137" t="s">
        <v>842</v>
      </c>
      <c r="AG17" s="4">
        <v>4.8469999999999997E-3</v>
      </c>
      <c r="AH17" s="4">
        <v>8.6650000000000008E-3</v>
      </c>
      <c r="AI17" s="4">
        <v>5.6700000000000001E-4</v>
      </c>
      <c r="AJ17" s="137">
        <v>-3.1199999999999999E-3</v>
      </c>
      <c r="AM17" s="4">
        <v>1.5625E-2</v>
      </c>
      <c r="AN17" s="4">
        <v>2.6331E-2</v>
      </c>
      <c r="AO17" s="4">
        <v>3.0695E-2</v>
      </c>
      <c r="AP17" s="4">
        <v>3.6276000000000003E-2</v>
      </c>
      <c r="AQ17" s="4">
        <v>2.4375999999999998E-2</v>
      </c>
      <c r="AR17" s="4">
        <v>2.3243E-2</v>
      </c>
      <c r="AU17" s="4">
        <v>0.27951399999999998</v>
      </c>
      <c r="AV17" s="4">
        <v>0.29108800000000001</v>
      </c>
      <c r="AW17" s="4">
        <v>0.28917599999999999</v>
      </c>
      <c r="AX17" s="4">
        <v>0.27155200000000002</v>
      </c>
      <c r="AY17" s="4">
        <v>0.19217699999999999</v>
      </c>
      <c r="AZ17" s="4">
        <v>0.21201800000000001</v>
      </c>
      <c r="BC17" s="4">
        <v>1.9780089999999999</v>
      </c>
      <c r="BD17" s="4">
        <v>1.876736</v>
      </c>
      <c r="BE17" s="4">
        <v>1.916434</v>
      </c>
      <c r="BF17" s="4">
        <v>1.9869289999999999</v>
      </c>
      <c r="BG17" s="4">
        <v>1.626417</v>
      </c>
      <c r="BH17" s="4">
        <v>1.6207480000000001</v>
      </c>
      <c r="BK17" s="4">
        <v>5.3142360000000002</v>
      </c>
      <c r="BL17" s="4">
        <v>5.5167820000000001</v>
      </c>
      <c r="BM17" s="4">
        <v>5.0270229999999998</v>
      </c>
      <c r="BN17" s="4">
        <v>5.6056689999999998</v>
      </c>
      <c r="BO17" s="4">
        <v>5.0532880000000002</v>
      </c>
      <c r="BP17" s="4">
        <v>5.0844670000000001</v>
      </c>
    </row>
    <row r="18" spans="1:68">
      <c r="A18" s="6">
        <v>4.67</v>
      </c>
      <c r="B18" s="7">
        <v>0.91898100000000005</v>
      </c>
      <c r="C18" s="7">
        <v>0.93344899999999997</v>
      </c>
      <c r="D18" s="7">
        <v>0.79145200000000004</v>
      </c>
      <c r="E18" s="7">
        <v>0.94125400000000004</v>
      </c>
      <c r="F18" s="7">
        <v>0.75907000000000002</v>
      </c>
      <c r="G18" s="7">
        <v>0.79591800000000001</v>
      </c>
      <c r="H18" s="7">
        <v>18.38137</v>
      </c>
      <c r="I18" s="7">
        <v>18.667819999999999</v>
      </c>
      <c r="J18" s="7">
        <v>19.18769</v>
      </c>
      <c r="K18" s="7">
        <v>18.553239999999999</v>
      </c>
      <c r="L18" s="7">
        <v>19.449549999999999</v>
      </c>
      <c r="M18" s="7">
        <v>18.40363</v>
      </c>
      <c r="N18" s="7">
        <v>19.486689999999999</v>
      </c>
      <c r="O18" s="7">
        <v>20.780090000000001</v>
      </c>
      <c r="P18" s="7">
        <v>22.025110000000002</v>
      </c>
      <c r="Q18" s="7">
        <v>21.55808</v>
      </c>
      <c r="R18" s="7">
        <v>21.91553</v>
      </c>
      <c r="S18" s="7">
        <v>21.91553</v>
      </c>
      <c r="T18" s="4">
        <v>10</v>
      </c>
      <c r="W18" s="137" t="s">
        <v>858</v>
      </c>
      <c r="X18" s="137" t="s">
        <v>916</v>
      </c>
      <c r="Y18" s="137">
        <v>-1.336E-2</v>
      </c>
      <c r="Z18" s="137">
        <v>-1.0300000000000001E-3</v>
      </c>
      <c r="AA18" s="137">
        <v>-8.5000000000000006E-3</v>
      </c>
      <c r="AB18" s="137">
        <v>-1.6160000000000001E-2</v>
      </c>
      <c r="AE18" s="4">
        <v>7.0313000000000001E-2</v>
      </c>
      <c r="AF18" s="4">
        <v>6.5683000000000005E-2</v>
      </c>
      <c r="AG18" s="4">
        <v>0.111176</v>
      </c>
      <c r="AH18" s="4">
        <v>0.1241</v>
      </c>
      <c r="AI18" s="4">
        <v>6.5476000000000006E-2</v>
      </c>
      <c r="AJ18" s="4">
        <v>6.1790999999999999E-2</v>
      </c>
      <c r="AM18" s="4">
        <v>0.59490699999999996</v>
      </c>
      <c r="AN18" s="4">
        <v>0.61516199999999999</v>
      </c>
      <c r="AO18" s="4">
        <v>0.86488500000000001</v>
      </c>
      <c r="AP18" s="4">
        <v>0.95006599999999997</v>
      </c>
      <c r="AQ18" s="4">
        <v>0.75340099999999999</v>
      </c>
      <c r="AR18" s="4">
        <v>0.87244900000000003</v>
      </c>
      <c r="AU18" s="4">
        <v>4.0989579999999997</v>
      </c>
      <c r="AV18" s="4">
        <v>4.1770829999999997</v>
      </c>
      <c r="AW18" s="4">
        <v>5.2355710000000002</v>
      </c>
      <c r="AX18" s="4">
        <v>5.2179469999999997</v>
      </c>
      <c r="AY18" s="4">
        <v>4.5005670000000002</v>
      </c>
      <c r="AZ18" s="4">
        <v>4.8350340000000003</v>
      </c>
      <c r="BC18" s="4">
        <v>9.4027779999999996</v>
      </c>
      <c r="BD18" s="4">
        <v>9.3738430000000008</v>
      </c>
      <c r="BE18" s="4">
        <v>11.03965</v>
      </c>
      <c r="BF18" s="4">
        <v>10.06447</v>
      </c>
      <c r="BG18" s="4">
        <v>10.26587</v>
      </c>
      <c r="BH18" s="4">
        <v>9.1604310000000009</v>
      </c>
      <c r="BK18" s="4">
        <v>12.95313</v>
      </c>
      <c r="BL18" s="4">
        <v>13.193289999999999</v>
      </c>
      <c r="BM18" s="4">
        <v>14.161989999999999</v>
      </c>
      <c r="BN18" s="4">
        <v>14.291230000000001</v>
      </c>
      <c r="BO18" s="4">
        <v>14.622450000000001</v>
      </c>
      <c r="BP18" s="4">
        <v>14.531750000000001</v>
      </c>
    </row>
    <row r="19" spans="1:68">
      <c r="A19" s="6">
        <v>8.15</v>
      </c>
      <c r="B19" s="7">
        <v>3.659144</v>
      </c>
      <c r="C19" s="7">
        <v>3.3813659999999999</v>
      </c>
      <c r="D19" s="7">
        <v>3.0796009999999998</v>
      </c>
      <c r="E19" s="7">
        <v>3.4379499999999998</v>
      </c>
      <c r="F19" s="7">
        <v>3.037982</v>
      </c>
      <c r="G19" s="7">
        <v>3.1371880000000001</v>
      </c>
      <c r="H19" s="7">
        <v>20.276620000000001</v>
      </c>
      <c r="I19" s="7">
        <v>21.10127</v>
      </c>
      <c r="J19" s="7">
        <v>21.035250000000001</v>
      </c>
      <c r="K19" s="7">
        <v>20.908940000000001</v>
      </c>
      <c r="L19" s="7">
        <v>21.717120000000001</v>
      </c>
      <c r="M19" s="7">
        <v>21.782309999999999</v>
      </c>
      <c r="N19" s="7">
        <v>21.298030000000001</v>
      </c>
      <c r="O19" s="7">
        <v>21.298030000000001</v>
      </c>
      <c r="P19" s="7">
        <v>22.160229999999999</v>
      </c>
      <c r="Q19" s="7">
        <v>22.025110000000002</v>
      </c>
      <c r="R19" s="7">
        <v>22.87642</v>
      </c>
      <c r="S19" s="7">
        <v>21.518709999999999</v>
      </c>
      <c r="T19" s="4">
        <v>50</v>
      </c>
      <c r="W19" s="137" t="s">
        <v>843</v>
      </c>
      <c r="X19" s="137" t="s">
        <v>921</v>
      </c>
      <c r="Y19" s="137">
        <v>-9.8399999999999998E-3</v>
      </c>
      <c r="Z19" s="137">
        <v>-1.542E-2</v>
      </c>
      <c r="AA19" s="137">
        <v>-3.9699999999999996E-3</v>
      </c>
      <c r="AB19" s="137">
        <v>-1.162E-2</v>
      </c>
      <c r="AE19" s="4">
        <v>0.95659700000000003</v>
      </c>
      <c r="AF19" s="4">
        <v>0.95659700000000003</v>
      </c>
      <c r="AG19" s="4">
        <v>1.6080190000000001</v>
      </c>
      <c r="AH19" s="4">
        <v>1.4611540000000001</v>
      </c>
      <c r="AI19" s="4">
        <v>0.73072599999999999</v>
      </c>
      <c r="AJ19" s="4">
        <v>0.81576000000000004</v>
      </c>
      <c r="AM19" s="4">
        <v>4.1510420000000003</v>
      </c>
      <c r="AN19" s="4">
        <v>4.6024310000000002</v>
      </c>
      <c r="AO19" s="4">
        <v>4.7949770000000003</v>
      </c>
      <c r="AP19" s="4">
        <v>5.3001909999999999</v>
      </c>
      <c r="AQ19" s="4">
        <v>4.9597509999999998</v>
      </c>
      <c r="AR19" s="4">
        <v>5.229025</v>
      </c>
      <c r="AU19" s="4">
        <v>9.6979170000000003</v>
      </c>
      <c r="AV19" s="4">
        <v>10.21875</v>
      </c>
      <c r="AW19" s="4">
        <v>12.03246</v>
      </c>
      <c r="AX19" s="4">
        <v>12.0677</v>
      </c>
      <c r="AY19" s="4">
        <v>11.82766</v>
      </c>
      <c r="AZ19" s="4">
        <v>11.328799999999999</v>
      </c>
      <c r="BC19" s="4">
        <v>15.67014</v>
      </c>
      <c r="BD19" s="4">
        <v>16.66262</v>
      </c>
      <c r="BE19" s="4">
        <v>16.817299999999999</v>
      </c>
      <c r="BF19" s="4">
        <v>15.62476</v>
      </c>
      <c r="BG19" s="4">
        <v>17.363379999999999</v>
      </c>
      <c r="BH19" s="4">
        <v>15.835599999999999</v>
      </c>
      <c r="BK19" s="4">
        <v>18.722799999999999</v>
      </c>
      <c r="BL19" s="4">
        <v>18.896409999999999</v>
      </c>
      <c r="BM19" s="4">
        <v>19.01146</v>
      </c>
      <c r="BN19" s="4">
        <v>19.786899999999999</v>
      </c>
      <c r="BO19" s="4">
        <v>20.23753</v>
      </c>
      <c r="BP19" s="4">
        <v>19.75</v>
      </c>
    </row>
    <row r="20" spans="1:68">
      <c r="A20" s="6"/>
      <c r="B20" s="120"/>
      <c r="C20" s="7"/>
      <c r="D20" s="7"/>
      <c r="E20" s="7"/>
      <c r="F20" s="7"/>
      <c r="G20" s="7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4">
        <v>100</v>
      </c>
      <c r="W20" s="4">
        <v>4.3400000000000001E-3</v>
      </c>
      <c r="X20" s="137" t="s">
        <v>923</v>
      </c>
      <c r="Y20" s="137">
        <v>-1.91E-3</v>
      </c>
      <c r="Z20" s="137">
        <v>-8.6700000000000006E-3</v>
      </c>
      <c r="AA20" s="137">
        <v>-2.8300000000000001E-3</v>
      </c>
      <c r="AB20" s="137">
        <v>-1.077E-2</v>
      </c>
      <c r="AE20" s="4">
        <v>2.1776620000000002</v>
      </c>
      <c r="AF20" s="4">
        <v>2.3773149999999998</v>
      </c>
      <c r="AG20" s="4">
        <v>2.7388750000000002</v>
      </c>
      <c r="AH20" s="4">
        <v>2.8358059999999998</v>
      </c>
      <c r="AI20" s="4">
        <v>1.5470520000000001</v>
      </c>
      <c r="AJ20" s="4">
        <v>1.589569</v>
      </c>
      <c r="AM20" s="4">
        <v>7.0300929999999999</v>
      </c>
      <c r="AN20" s="4">
        <v>7.2065970000000004</v>
      </c>
      <c r="AO20" s="4">
        <v>6.880452</v>
      </c>
      <c r="AP20" s="4">
        <v>7.2975469999999998</v>
      </c>
      <c r="AQ20" s="4">
        <v>6.479025</v>
      </c>
      <c r="AR20" s="4">
        <v>6.9580500000000001</v>
      </c>
      <c r="AU20" s="4">
        <v>13.39873</v>
      </c>
      <c r="AV20" s="4">
        <v>13.56366</v>
      </c>
      <c r="AW20" s="4">
        <v>13.859450000000001</v>
      </c>
      <c r="AX20" s="4">
        <v>13.903510000000001</v>
      </c>
      <c r="AY20" s="4">
        <v>13.5</v>
      </c>
      <c r="AZ20" s="4">
        <v>14.0924</v>
      </c>
      <c r="BC20" s="4">
        <v>18.38137</v>
      </c>
      <c r="BD20" s="4">
        <v>18.667819999999999</v>
      </c>
      <c r="BE20" s="4">
        <v>19.18769</v>
      </c>
      <c r="BF20" s="4">
        <v>18.553239999999999</v>
      </c>
      <c r="BG20" s="4">
        <v>19.449549999999999</v>
      </c>
      <c r="BH20" s="4">
        <v>18.40363</v>
      </c>
      <c r="BK20" s="4">
        <v>20.276620000000001</v>
      </c>
      <c r="BL20" s="4">
        <v>21.10127</v>
      </c>
      <c r="BM20" s="4">
        <v>21.035250000000001</v>
      </c>
      <c r="BN20" s="4">
        <v>20.908940000000001</v>
      </c>
      <c r="BO20" s="4">
        <v>21.717120000000001</v>
      </c>
      <c r="BP20" s="4">
        <v>21.782309999999999</v>
      </c>
    </row>
    <row r="21" spans="1:68">
      <c r="A21" s="6"/>
      <c r="B21" s="120"/>
      <c r="C21" s="7"/>
      <c r="D21" s="7"/>
      <c r="E21" s="7"/>
      <c r="F21" s="7"/>
      <c r="G21" s="7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4">
        <v>500</v>
      </c>
      <c r="W21" s="137" t="s">
        <v>926</v>
      </c>
      <c r="X21" s="137" t="s">
        <v>849</v>
      </c>
      <c r="Y21" s="137">
        <v>-8.3700000000000007E-3</v>
      </c>
      <c r="Z21" s="137">
        <v>-2.5000000000000001E-3</v>
      </c>
      <c r="AA21" s="137">
        <v>-5.6699999999999997E-3</v>
      </c>
      <c r="AB21" s="137">
        <v>-3.6800000000000001E-3</v>
      </c>
      <c r="AE21" s="4">
        <v>4.3767360000000002</v>
      </c>
      <c r="AF21" s="4">
        <v>4.3767360000000002</v>
      </c>
      <c r="AG21" s="4">
        <v>5.3501250000000002</v>
      </c>
      <c r="AH21" s="4">
        <v>5.5527980000000001</v>
      </c>
      <c r="AI21" s="4">
        <v>3.536848</v>
      </c>
      <c r="AJ21" s="4">
        <v>3.5680269999999998</v>
      </c>
      <c r="AM21" s="4">
        <v>9.9380790000000001</v>
      </c>
      <c r="AN21" s="4">
        <v>10.768520000000001</v>
      </c>
      <c r="AO21" s="4">
        <v>9.9087969999999999</v>
      </c>
      <c r="AP21" s="4">
        <v>10.572620000000001</v>
      </c>
      <c r="AQ21" s="4">
        <v>9.6224489999999996</v>
      </c>
      <c r="AR21" s="4">
        <v>9.5345800000000001</v>
      </c>
      <c r="AU21" s="4">
        <v>16.060759999999998</v>
      </c>
      <c r="AV21" s="4">
        <v>16.21123</v>
      </c>
      <c r="AW21" s="4">
        <v>17.663239999999998</v>
      </c>
      <c r="AX21" s="4">
        <v>17.181519999999999</v>
      </c>
      <c r="AY21" s="4">
        <v>17.204650000000001</v>
      </c>
      <c r="AZ21" s="4">
        <v>18.17971</v>
      </c>
      <c r="BC21" s="4">
        <v>21.03762</v>
      </c>
      <c r="BD21" s="4">
        <v>19.249420000000001</v>
      </c>
      <c r="BE21" s="4">
        <v>21.957560000000001</v>
      </c>
      <c r="BF21" s="4">
        <v>21.229109999999999</v>
      </c>
      <c r="BG21" s="4">
        <v>21.255099999999999</v>
      </c>
      <c r="BH21" s="4">
        <v>21.385490000000001</v>
      </c>
      <c r="BK21" s="4">
        <v>22.643519999999999</v>
      </c>
      <c r="BL21" s="4">
        <v>21.758099999999999</v>
      </c>
      <c r="BM21" s="4">
        <v>22.503889999999998</v>
      </c>
      <c r="BN21" s="4">
        <v>23.132470000000001</v>
      </c>
      <c r="BO21" s="4">
        <v>23.227889999999999</v>
      </c>
      <c r="BP21" s="4">
        <v>23.587869999999999</v>
      </c>
    </row>
    <row r="22" spans="1:68">
      <c r="A22" s="6"/>
      <c r="B22" s="120"/>
      <c r="C22" s="7"/>
      <c r="D22" s="7"/>
      <c r="E22" s="7"/>
      <c r="F22" s="7"/>
      <c r="G22" s="7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4">
        <v>1000</v>
      </c>
      <c r="W22" s="137" t="s">
        <v>874</v>
      </c>
      <c r="X22" s="137" t="s">
        <v>877</v>
      </c>
      <c r="Y22" s="137">
        <v>-2.5000000000000001E-3</v>
      </c>
      <c r="Z22" s="137">
        <v>-6.8999999999999999E-3</v>
      </c>
      <c r="AA22" s="137">
        <v>-4.5399999999999998E-3</v>
      </c>
      <c r="AB22" s="137">
        <v>-5.6999999999999998E-4</v>
      </c>
      <c r="AE22" s="4">
        <v>4.6747690000000004</v>
      </c>
      <c r="AF22" s="4">
        <v>5.0248840000000001</v>
      </c>
      <c r="AG22" s="4">
        <v>5.9845790000000001</v>
      </c>
      <c r="AH22" s="4">
        <v>6.1167569999999998</v>
      </c>
      <c r="AI22" s="4">
        <v>3.9846940000000002</v>
      </c>
      <c r="AJ22" s="4">
        <v>4.2029480000000001</v>
      </c>
      <c r="AM22" s="4">
        <v>10.50521</v>
      </c>
      <c r="AN22" s="4">
        <v>11.10417</v>
      </c>
      <c r="AO22" s="4">
        <v>11.00441</v>
      </c>
      <c r="AP22" s="4">
        <v>11.48906</v>
      </c>
      <c r="AQ22" s="4">
        <v>10.17234</v>
      </c>
      <c r="AR22" s="4">
        <v>10.489800000000001</v>
      </c>
      <c r="AU22" s="4">
        <v>16.561340000000001</v>
      </c>
      <c r="AV22" s="4">
        <v>16.512149999999998</v>
      </c>
      <c r="AW22" s="4">
        <v>18.664860000000001</v>
      </c>
      <c r="AX22" s="4">
        <v>18.896899999999999</v>
      </c>
      <c r="AY22" s="4">
        <v>17.740359999999999</v>
      </c>
      <c r="AZ22" s="4">
        <v>18.17971</v>
      </c>
      <c r="BC22" s="4">
        <v>19.486689999999999</v>
      </c>
      <c r="BD22" s="4">
        <v>20.780090000000001</v>
      </c>
      <c r="BE22" s="4">
        <v>22.025110000000002</v>
      </c>
      <c r="BF22" s="4">
        <v>21.55808</v>
      </c>
      <c r="BG22" s="4">
        <v>21.91553</v>
      </c>
      <c r="BH22" s="4">
        <v>21.91553</v>
      </c>
      <c r="BK22" s="4">
        <v>21.298030000000001</v>
      </c>
      <c r="BL22" s="4">
        <v>21.298030000000001</v>
      </c>
      <c r="BM22" s="4">
        <v>22.160229999999999</v>
      </c>
      <c r="BN22" s="4">
        <v>22.025110000000002</v>
      </c>
      <c r="BO22" s="4">
        <v>22.87642</v>
      </c>
      <c r="BP22" s="4">
        <v>21.518709999999999</v>
      </c>
    </row>
    <row r="23" spans="1:68" ht="16.5">
      <c r="A23" s="112" t="s">
        <v>1700</v>
      </c>
      <c r="B23" s="244" t="s">
        <v>2109</v>
      </c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63" t="s">
        <v>1912</v>
      </c>
      <c r="U23" s="263" t="s">
        <v>1912</v>
      </c>
      <c r="V23" s="263" t="s">
        <v>1912</v>
      </c>
      <c r="W23" s="263" t="s">
        <v>1912</v>
      </c>
      <c r="X23" s="263" t="s">
        <v>1912</v>
      </c>
      <c r="Y23" s="263" t="s">
        <v>1912</v>
      </c>
      <c r="Z23" s="263" t="s">
        <v>1912</v>
      </c>
      <c r="AA23" s="263" t="s">
        <v>1912</v>
      </c>
      <c r="AB23" s="263" t="s">
        <v>1912</v>
      </c>
      <c r="AC23" s="263" t="s">
        <v>1912</v>
      </c>
      <c r="AD23" s="263" t="s">
        <v>1912</v>
      </c>
      <c r="AE23" s="263" t="s">
        <v>1912</v>
      </c>
      <c r="AF23" s="263" t="s">
        <v>1912</v>
      </c>
      <c r="AG23" s="263" t="s">
        <v>1912</v>
      </c>
      <c r="AH23" s="263" t="s">
        <v>1912</v>
      </c>
      <c r="AI23" s="263" t="s">
        <v>1912</v>
      </c>
      <c r="AJ23" s="263" t="s">
        <v>1912</v>
      </c>
      <c r="AK23" s="263" t="s">
        <v>1912</v>
      </c>
      <c r="AL23" s="263" t="s">
        <v>1912</v>
      </c>
      <c r="AM23" s="263" t="s">
        <v>1912</v>
      </c>
      <c r="AN23" s="263" t="s">
        <v>1912</v>
      </c>
      <c r="AO23" s="263" t="s">
        <v>1912</v>
      </c>
      <c r="AP23" s="263" t="s">
        <v>1912</v>
      </c>
      <c r="AQ23" s="263" t="s">
        <v>1912</v>
      </c>
      <c r="AR23" s="263" t="s">
        <v>1912</v>
      </c>
      <c r="AS23" s="263" t="s">
        <v>1912</v>
      </c>
      <c r="AT23" s="263" t="s">
        <v>1912</v>
      </c>
      <c r="AU23" s="263" t="s">
        <v>1912</v>
      </c>
      <c r="AV23" s="263" t="s">
        <v>1912</v>
      </c>
      <c r="AW23" s="263" t="s">
        <v>1912</v>
      </c>
      <c r="AX23" s="263" t="s">
        <v>1912</v>
      </c>
      <c r="AY23" s="263" t="s">
        <v>1912</v>
      </c>
      <c r="AZ23" s="263" t="s">
        <v>1912</v>
      </c>
      <c r="BA23" s="263" t="s">
        <v>1912</v>
      </c>
      <c r="BB23" s="263" t="s">
        <v>1912</v>
      </c>
      <c r="BC23" s="263" t="s">
        <v>1912</v>
      </c>
      <c r="BD23" s="263" t="s">
        <v>1912</v>
      </c>
      <c r="BE23" s="263" t="s">
        <v>1912</v>
      </c>
      <c r="BF23" s="263" t="s">
        <v>1912</v>
      </c>
      <c r="BG23" s="263" t="s">
        <v>1912</v>
      </c>
      <c r="BH23" s="263" t="s">
        <v>1912</v>
      </c>
      <c r="BI23" s="263" t="s">
        <v>1912</v>
      </c>
      <c r="BJ23" s="263" t="s">
        <v>1912</v>
      </c>
      <c r="BK23" s="263" t="s">
        <v>1912</v>
      </c>
      <c r="BL23" s="263" t="s">
        <v>1912</v>
      </c>
      <c r="BM23" s="263" t="s">
        <v>1912</v>
      </c>
      <c r="BN23" s="263" t="s">
        <v>1912</v>
      </c>
      <c r="BO23" s="263" t="s">
        <v>1912</v>
      </c>
      <c r="BP23" s="263" t="s">
        <v>1912</v>
      </c>
    </row>
    <row r="24" spans="1:68" ht="15">
      <c r="A24" s="6" t="s">
        <v>1698</v>
      </c>
      <c r="B24" s="258">
        <v>0</v>
      </c>
      <c r="C24" s="258"/>
      <c r="D24" s="258"/>
      <c r="E24" s="258"/>
      <c r="F24" s="258"/>
      <c r="G24" s="258"/>
      <c r="H24" s="259">
        <v>100</v>
      </c>
      <c r="I24" s="259"/>
      <c r="J24" s="259"/>
      <c r="K24" s="259"/>
      <c r="L24" s="259"/>
      <c r="M24" s="259"/>
      <c r="N24" s="260">
        <v>1000</v>
      </c>
      <c r="O24" s="260"/>
      <c r="P24" s="260"/>
      <c r="Q24" s="260"/>
      <c r="R24" s="260"/>
      <c r="S24" s="260"/>
      <c r="T24" s="138" t="s">
        <v>2088</v>
      </c>
      <c r="U24" s="266">
        <v>7.1199999999999996E-4</v>
      </c>
      <c r="V24" s="265"/>
      <c r="W24" s="265"/>
      <c r="X24" s="265"/>
      <c r="Y24" s="265"/>
      <c r="Z24" s="265"/>
      <c r="AA24" s="265"/>
      <c r="AB24" s="265"/>
      <c r="AC24" s="266">
        <v>0.15089174999999999</v>
      </c>
      <c r="AD24" s="265"/>
      <c r="AE24" s="265"/>
      <c r="AF24" s="265"/>
      <c r="AG24" s="265"/>
      <c r="AH24" s="265"/>
      <c r="AI24" s="265"/>
      <c r="AJ24" s="265"/>
      <c r="AK24" s="266">
        <v>0.48899999999999999</v>
      </c>
      <c r="AL24" s="265"/>
      <c r="AM24" s="265"/>
      <c r="AN24" s="265"/>
      <c r="AO24" s="265"/>
      <c r="AP24" s="265"/>
      <c r="AQ24" s="265"/>
      <c r="AR24" s="265"/>
      <c r="AS24" s="266">
        <v>1.78</v>
      </c>
      <c r="AT24" s="265"/>
      <c r="AU24" s="265"/>
      <c r="AV24" s="265"/>
      <c r="AW24" s="265"/>
      <c r="AX24" s="265"/>
      <c r="AY24" s="265"/>
      <c r="AZ24" s="265"/>
      <c r="BA24" s="266">
        <v>4.67</v>
      </c>
      <c r="BB24" s="265"/>
      <c r="BC24" s="265"/>
      <c r="BD24" s="265"/>
      <c r="BE24" s="265"/>
      <c r="BF24" s="265"/>
      <c r="BG24" s="265"/>
      <c r="BH24" s="265"/>
      <c r="BI24" s="266">
        <v>8.15</v>
      </c>
      <c r="BJ24" s="265"/>
      <c r="BK24" s="265"/>
      <c r="BL24" s="265"/>
      <c r="BM24" s="265"/>
      <c r="BN24" s="265"/>
      <c r="BO24" s="265"/>
      <c r="BP24" s="265"/>
    </row>
    <row r="25" spans="1:68" ht="16.5" customHeight="1">
      <c r="A25" s="6">
        <v>0</v>
      </c>
      <c r="B25" s="7">
        <v>1.1573999999999999E-2</v>
      </c>
      <c r="C25" s="7">
        <v>9.5490000000000002E-3</v>
      </c>
      <c r="D25" s="120" t="s">
        <v>917</v>
      </c>
      <c r="E25" s="7">
        <v>1.0134000000000001E-2</v>
      </c>
      <c r="F25" s="7">
        <v>2.3243E-2</v>
      </c>
      <c r="G25" s="7">
        <v>2.4093E-2</v>
      </c>
      <c r="H25" s="7">
        <v>7.5230000000000002E-3</v>
      </c>
      <c r="I25" s="7">
        <v>1.8228999999999999E-2</v>
      </c>
      <c r="J25" s="7">
        <v>2.0414000000000002E-2</v>
      </c>
      <c r="K25" s="7">
        <v>1.3658E-2</v>
      </c>
      <c r="L25" s="7">
        <v>3.0896E-2</v>
      </c>
      <c r="M25" s="7">
        <v>3.0044999999999999E-2</v>
      </c>
      <c r="N25" s="7">
        <v>1.2153000000000001E-2</v>
      </c>
      <c r="O25" s="7">
        <v>2.1122999999999999E-2</v>
      </c>
      <c r="P25" s="7">
        <v>1.5713999999999999E-2</v>
      </c>
      <c r="Q25" s="7">
        <v>9.8399999999999998E-3</v>
      </c>
      <c r="R25" s="7">
        <v>2.2676000000000002E-2</v>
      </c>
      <c r="S25" s="7">
        <v>2.2676000000000002E-2</v>
      </c>
      <c r="T25" s="139" t="s">
        <v>1915</v>
      </c>
      <c r="U25" s="262"/>
      <c r="V25" s="262"/>
      <c r="W25" s="262" t="s">
        <v>1917</v>
      </c>
      <c r="X25" s="262" t="s">
        <v>1893</v>
      </c>
      <c r="Y25" s="262" t="s">
        <v>1919</v>
      </c>
      <c r="Z25" s="262" t="s">
        <v>1894</v>
      </c>
      <c r="AA25" s="262" t="s">
        <v>1921</v>
      </c>
      <c r="AB25" s="262" t="s">
        <v>1895</v>
      </c>
      <c r="AC25" s="262"/>
      <c r="AD25" s="262"/>
      <c r="AE25" s="262" t="s">
        <v>1922</v>
      </c>
      <c r="AF25" s="262" t="s">
        <v>1896</v>
      </c>
      <c r="AG25" s="262" t="s">
        <v>1924</v>
      </c>
      <c r="AH25" s="262" t="s">
        <v>1897</v>
      </c>
      <c r="AI25" s="262" t="s">
        <v>1926</v>
      </c>
      <c r="AJ25" s="262" t="s">
        <v>1898</v>
      </c>
      <c r="AK25" s="262"/>
      <c r="AL25" s="262"/>
      <c r="AM25" s="262" t="s">
        <v>1927</v>
      </c>
      <c r="AN25" s="262" t="s">
        <v>1899</v>
      </c>
      <c r="AO25" s="262" t="s">
        <v>1929</v>
      </c>
      <c r="AP25" s="262" t="s">
        <v>1900</v>
      </c>
      <c r="AQ25" s="262" t="s">
        <v>1931</v>
      </c>
      <c r="AR25" s="262" t="s">
        <v>1901</v>
      </c>
      <c r="AS25" s="262"/>
      <c r="AT25" s="262"/>
      <c r="AU25" s="262" t="s">
        <v>1932</v>
      </c>
      <c r="AV25" s="262" t="s">
        <v>1902</v>
      </c>
      <c r="AW25" s="262" t="s">
        <v>1934</v>
      </c>
      <c r="AX25" s="262" t="s">
        <v>1903</v>
      </c>
      <c r="AY25" s="262" t="s">
        <v>1936</v>
      </c>
      <c r="AZ25" s="262" t="s">
        <v>1904</v>
      </c>
      <c r="BA25" s="262"/>
      <c r="BB25" s="262"/>
      <c r="BC25" s="262" t="s">
        <v>1937</v>
      </c>
      <c r="BD25" s="262" t="s">
        <v>1905</v>
      </c>
      <c r="BE25" s="262" t="s">
        <v>1939</v>
      </c>
      <c r="BF25" s="262" t="s">
        <v>1906</v>
      </c>
      <c r="BG25" s="262" t="s">
        <v>1941</v>
      </c>
      <c r="BH25" s="262" t="s">
        <v>1907</v>
      </c>
      <c r="BI25" s="262"/>
      <c r="BJ25" s="262"/>
      <c r="BK25" s="262" t="s">
        <v>1942</v>
      </c>
      <c r="BL25" s="262" t="s">
        <v>1908</v>
      </c>
      <c r="BM25" s="262" t="s">
        <v>1944</v>
      </c>
      <c r="BN25" s="262" t="s">
        <v>1909</v>
      </c>
      <c r="BO25" s="262" t="s">
        <v>1946</v>
      </c>
      <c r="BP25" s="262" t="s">
        <v>1910</v>
      </c>
    </row>
    <row r="26" spans="1:68">
      <c r="A26" s="6">
        <v>0.15</v>
      </c>
      <c r="B26" s="120" t="s">
        <v>929</v>
      </c>
      <c r="C26" s="7">
        <v>1.0706E-2</v>
      </c>
      <c r="D26" s="7">
        <v>1.1601999999999999E-2</v>
      </c>
      <c r="E26" s="7">
        <v>2.0708000000000001E-2</v>
      </c>
      <c r="F26" s="7">
        <v>3.3162999999999998E-2</v>
      </c>
      <c r="G26" s="7">
        <v>3.9683000000000003E-2</v>
      </c>
      <c r="H26" s="7">
        <v>7.5810000000000002E-2</v>
      </c>
      <c r="I26" s="7">
        <v>6.8575999999999998E-2</v>
      </c>
      <c r="J26" s="7">
        <v>0.13585</v>
      </c>
      <c r="K26" s="7">
        <v>0.15024199999999999</v>
      </c>
      <c r="L26" s="7">
        <v>0.10600900000000001</v>
      </c>
      <c r="M26" s="7">
        <v>0.108277</v>
      </c>
      <c r="N26" s="7">
        <v>0.23321800000000001</v>
      </c>
      <c r="O26" s="7">
        <v>0.26215300000000002</v>
      </c>
      <c r="P26" s="7">
        <v>0.52415900000000004</v>
      </c>
      <c r="Q26" s="7">
        <v>0.55646899999999999</v>
      </c>
      <c r="R26" s="7">
        <v>0.26020399999999999</v>
      </c>
      <c r="S26" s="7">
        <v>0.31405899999999998</v>
      </c>
      <c r="T26" s="4">
        <v>0</v>
      </c>
      <c r="W26" s="4">
        <v>1.1573999999999999E-2</v>
      </c>
      <c r="X26" s="4">
        <v>9.5490000000000002E-3</v>
      </c>
      <c r="Y26" s="137">
        <v>-1.91E-3</v>
      </c>
      <c r="Z26" s="4">
        <v>1.0134000000000001E-2</v>
      </c>
      <c r="AA26" s="4">
        <v>2.3243E-2</v>
      </c>
      <c r="AB26" s="4">
        <v>2.4093E-2</v>
      </c>
      <c r="AE26" s="4">
        <v>9.5490000000000002E-3</v>
      </c>
      <c r="AF26" s="4">
        <v>1.0706E-2</v>
      </c>
      <c r="AG26" s="4">
        <v>1.1601999999999999E-2</v>
      </c>
      <c r="AH26" s="4">
        <v>2.0708000000000001E-2</v>
      </c>
      <c r="AI26" s="4">
        <v>3.3162999999999998E-2</v>
      </c>
      <c r="AJ26" s="4">
        <v>3.9683000000000003E-2</v>
      </c>
      <c r="AM26" s="4">
        <v>9.5490000000000002E-3</v>
      </c>
      <c r="AN26" s="4">
        <v>8.3909999999999992E-3</v>
      </c>
      <c r="AO26" s="4">
        <v>1.8064E-2</v>
      </c>
      <c r="AP26" s="4">
        <v>1.6302000000000001E-2</v>
      </c>
      <c r="AQ26" s="4">
        <v>3.1462999999999998E-2</v>
      </c>
      <c r="AR26" s="4">
        <v>2.8344999999999999E-2</v>
      </c>
      <c r="AU26" s="4">
        <v>1.9096999999999999E-2</v>
      </c>
      <c r="AV26" s="4">
        <v>2.2859000000000001E-2</v>
      </c>
      <c r="AW26" s="4">
        <v>3.3338E-2</v>
      </c>
      <c r="AX26" s="4">
        <v>3.8625E-2</v>
      </c>
      <c r="AY26" s="4">
        <v>6.5476000000000006E-2</v>
      </c>
      <c r="AZ26" s="4">
        <v>5.7540000000000001E-2</v>
      </c>
      <c r="BC26" s="4">
        <v>0.273727</v>
      </c>
      <c r="BD26" s="4">
        <v>0.28530100000000003</v>
      </c>
      <c r="BE26" s="4">
        <v>0.29211300000000001</v>
      </c>
      <c r="BF26" s="4">
        <v>0.336173</v>
      </c>
      <c r="BG26" s="4">
        <v>0.33673500000000001</v>
      </c>
      <c r="BH26" s="4">
        <v>0.31972800000000001</v>
      </c>
      <c r="BK26" s="4">
        <v>2.8142360000000002</v>
      </c>
      <c r="BL26" s="4">
        <v>2.8402780000000001</v>
      </c>
      <c r="BM26" s="4">
        <v>2.6184460000000001</v>
      </c>
      <c r="BN26" s="4">
        <v>2.4098989999999998</v>
      </c>
      <c r="BO26" s="4">
        <v>2.5447850000000001</v>
      </c>
      <c r="BP26" s="4">
        <v>2.6014740000000001</v>
      </c>
    </row>
    <row r="27" spans="1:68">
      <c r="A27" s="6">
        <v>0.49</v>
      </c>
      <c r="B27" s="120" t="s">
        <v>929</v>
      </c>
      <c r="C27" s="120" t="s">
        <v>930</v>
      </c>
      <c r="D27" s="7">
        <v>1.8064E-2</v>
      </c>
      <c r="E27" s="7">
        <v>1.6302000000000001E-2</v>
      </c>
      <c r="F27" s="7">
        <v>3.1462999999999998E-2</v>
      </c>
      <c r="G27" s="7">
        <v>2.8344999999999999E-2</v>
      </c>
      <c r="H27" s="7">
        <v>0.62963000000000002</v>
      </c>
      <c r="I27" s="7">
        <v>0.64988400000000002</v>
      </c>
      <c r="J27" s="7">
        <v>0.679836</v>
      </c>
      <c r="K27" s="7">
        <v>0.69452199999999997</v>
      </c>
      <c r="L27" s="7">
        <v>0.55782299999999996</v>
      </c>
      <c r="M27" s="7">
        <v>0.55498899999999995</v>
      </c>
      <c r="N27" s="7">
        <v>1.6799770000000001</v>
      </c>
      <c r="O27" s="7">
        <v>1.8217589999999999</v>
      </c>
      <c r="P27" s="7">
        <v>2.3952119999999999</v>
      </c>
      <c r="Q27" s="7">
        <v>2.5450140000000001</v>
      </c>
      <c r="R27" s="7">
        <v>1.7794779999999999</v>
      </c>
      <c r="S27" s="7">
        <v>1.929705</v>
      </c>
      <c r="T27" s="4">
        <v>0.1</v>
      </c>
      <c r="W27" s="4">
        <v>2.8939999999999999E-3</v>
      </c>
      <c r="X27" s="4">
        <v>1.157E-3</v>
      </c>
      <c r="Y27" s="137">
        <v>-1.1310000000000001E-2</v>
      </c>
      <c r="Z27" s="4">
        <v>4.8469999999999997E-3</v>
      </c>
      <c r="AA27" s="4">
        <v>2.5794000000000001E-2</v>
      </c>
      <c r="AB27" s="4">
        <v>2.9762E-2</v>
      </c>
      <c r="AE27" s="4">
        <v>3.1830000000000001E-3</v>
      </c>
      <c r="AF27" s="4">
        <v>-4.3400000000000001E-3</v>
      </c>
      <c r="AG27" s="4">
        <v>1.7770999999999999E-2</v>
      </c>
      <c r="AH27" s="4">
        <v>1.6302000000000001E-2</v>
      </c>
      <c r="AI27" s="4">
        <v>3.5430999999999997E-2</v>
      </c>
      <c r="AJ27" s="4">
        <v>3.9399000000000003E-2</v>
      </c>
      <c r="AM27" s="4">
        <v>3.1830000000000001E-3</v>
      </c>
      <c r="AN27" s="4">
        <v>8.3909999999999992E-3</v>
      </c>
      <c r="AO27" s="4">
        <v>1.6008000000000001E-2</v>
      </c>
      <c r="AP27" s="137">
        <v>-1.4999999999999999E-4</v>
      </c>
      <c r="AQ27" s="4">
        <v>3.6565E-2</v>
      </c>
      <c r="AR27" s="4">
        <v>3.6847999999999999E-2</v>
      </c>
      <c r="AU27" s="4">
        <v>2.5173999999999998E-2</v>
      </c>
      <c r="AV27" s="4">
        <v>2.2568999999999999E-2</v>
      </c>
      <c r="AW27" s="4">
        <v>2.3057999999999999E-2</v>
      </c>
      <c r="AX27" s="4">
        <v>3.5394000000000002E-2</v>
      </c>
      <c r="AY27" s="4">
        <v>5.2720999999999997E-2</v>
      </c>
      <c r="AZ27" s="4">
        <v>5.8389999999999997E-2</v>
      </c>
      <c r="BC27" s="4">
        <v>0.30844899999999997</v>
      </c>
      <c r="BD27" s="4">
        <v>0.351852</v>
      </c>
      <c r="BE27" s="4">
        <v>0.26273999999999997</v>
      </c>
      <c r="BF27" s="4">
        <v>0.31854900000000003</v>
      </c>
      <c r="BG27" s="4">
        <v>0.74489799999999995</v>
      </c>
      <c r="BH27" s="4">
        <v>0.71088399999999996</v>
      </c>
      <c r="BK27" s="4">
        <v>3.106481</v>
      </c>
      <c r="BL27" s="4">
        <v>3.2164350000000002</v>
      </c>
      <c r="BM27" s="4">
        <v>2.5127039999999998</v>
      </c>
      <c r="BN27" s="4">
        <v>2.4422090000000001</v>
      </c>
      <c r="BO27" s="4">
        <v>2.6695009999999999</v>
      </c>
      <c r="BP27" s="4">
        <v>2.7800449999999999</v>
      </c>
    </row>
    <row r="28" spans="1:68">
      <c r="A28" s="6">
        <v>1.78</v>
      </c>
      <c r="B28" s="7">
        <v>1.9096999999999999E-2</v>
      </c>
      <c r="C28" s="7">
        <v>2.2859000000000001E-2</v>
      </c>
      <c r="D28" s="7">
        <v>3.3338E-2</v>
      </c>
      <c r="E28" s="7">
        <v>3.8625E-2</v>
      </c>
      <c r="F28" s="7">
        <v>6.5476000000000006E-2</v>
      </c>
      <c r="G28" s="7">
        <v>5.7540000000000001E-2</v>
      </c>
      <c r="H28" s="7">
        <v>5.1521990000000004</v>
      </c>
      <c r="I28" s="7">
        <v>5.1521990000000004</v>
      </c>
      <c r="J28" s="7">
        <v>5.0887060000000002</v>
      </c>
      <c r="K28" s="7">
        <v>5.0417100000000001</v>
      </c>
      <c r="L28" s="7">
        <v>4.8066890000000004</v>
      </c>
      <c r="M28" s="7">
        <v>4.5856009999999996</v>
      </c>
      <c r="N28" s="7">
        <v>9.5474540000000001</v>
      </c>
      <c r="O28" s="7">
        <v>9.5763890000000007</v>
      </c>
      <c r="P28" s="7">
        <v>9.2596559999999997</v>
      </c>
      <c r="Q28" s="7">
        <v>9.4035829999999994</v>
      </c>
      <c r="R28" s="7">
        <v>8.5595239999999997</v>
      </c>
      <c r="S28" s="7">
        <v>8.9081630000000001</v>
      </c>
      <c r="T28" s="4">
        <v>1</v>
      </c>
      <c r="W28" s="4">
        <v>9.2589999999999999E-3</v>
      </c>
      <c r="X28" s="4">
        <v>1.9387000000000001E-2</v>
      </c>
      <c r="Y28" s="4">
        <v>1.9532999999999998E-2</v>
      </c>
      <c r="Z28" s="4">
        <v>1.5713999999999999E-2</v>
      </c>
      <c r="AA28" s="4">
        <v>2.7778000000000001E-2</v>
      </c>
      <c r="AB28" s="4">
        <v>3.3162999999999998E-2</v>
      </c>
      <c r="AE28" s="4">
        <v>1.7359999999999999E-3</v>
      </c>
      <c r="AF28" s="4">
        <v>2.8939999999999999E-3</v>
      </c>
      <c r="AG28" s="4">
        <v>2.6876000000000001E-2</v>
      </c>
      <c r="AH28" s="4">
        <v>2.4819999999999998E-2</v>
      </c>
      <c r="AI28" s="4">
        <v>3.7414999999999997E-2</v>
      </c>
      <c r="AJ28" s="4">
        <v>3.9683000000000003E-2</v>
      </c>
      <c r="AM28" s="4">
        <v>1.7359999999999999E-3</v>
      </c>
      <c r="AN28" s="4">
        <v>7.234E-3</v>
      </c>
      <c r="AO28" s="4">
        <v>1.7770999999999999E-2</v>
      </c>
      <c r="AP28" s="4">
        <v>1.7770999999999999E-2</v>
      </c>
      <c r="AQ28" s="4">
        <v>4.3083999999999997E-2</v>
      </c>
      <c r="AR28" s="4">
        <v>4.2234000000000001E-2</v>
      </c>
      <c r="AU28" s="4">
        <v>2.9803E-2</v>
      </c>
      <c r="AV28" s="4">
        <v>3.4144000000000001E-2</v>
      </c>
      <c r="AW28" s="4">
        <v>4.4206000000000002E-2</v>
      </c>
      <c r="AX28" s="4">
        <v>4.6850000000000003E-2</v>
      </c>
      <c r="AY28" s="4">
        <v>6.3775999999999999E-2</v>
      </c>
      <c r="AZ28" s="4">
        <v>6.4908999999999994E-2</v>
      </c>
      <c r="BC28" s="4">
        <v>0.398148</v>
      </c>
      <c r="BD28" s="4">
        <v>0.44444400000000001</v>
      </c>
      <c r="BE28" s="4">
        <v>0.38610699999999998</v>
      </c>
      <c r="BF28" s="4">
        <v>0.45366400000000001</v>
      </c>
      <c r="BG28" s="4">
        <v>0.35090700000000002</v>
      </c>
      <c r="BH28" s="4">
        <v>0.33106600000000003</v>
      </c>
      <c r="BK28" s="4">
        <v>3.3813659999999999</v>
      </c>
      <c r="BL28" s="4">
        <v>3.2569439999999998</v>
      </c>
      <c r="BM28" s="4">
        <v>2.826994</v>
      </c>
      <c r="BN28" s="4">
        <v>2.9532970000000001</v>
      </c>
      <c r="BO28" s="4">
        <v>3.2874150000000002</v>
      </c>
      <c r="BP28" s="4">
        <v>3.6020409999999998</v>
      </c>
    </row>
    <row r="29" spans="1:68">
      <c r="A29" s="6">
        <v>4.67</v>
      </c>
      <c r="B29" s="7">
        <v>0.273727</v>
      </c>
      <c r="C29" s="7">
        <v>0.28530100000000003</v>
      </c>
      <c r="D29" s="7">
        <v>0.29211300000000001</v>
      </c>
      <c r="E29" s="7">
        <v>0.336173</v>
      </c>
      <c r="F29" s="7">
        <v>0.33673500000000001</v>
      </c>
      <c r="G29" s="7">
        <v>0.31972800000000001</v>
      </c>
      <c r="H29" s="7">
        <v>13.902200000000001</v>
      </c>
      <c r="I29" s="7">
        <v>14.82813</v>
      </c>
      <c r="J29" s="7">
        <v>12.834339999999999</v>
      </c>
      <c r="K29" s="7">
        <v>11.31282</v>
      </c>
      <c r="L29" s="7">
        <v>12.272679999999999</v>
      </c>
      <c r="M29" s="7">
        <v>11.54138</v>
      </c>
      <c r="N29" s="7">
        <v>20.65278</v>
      </c>
      <c r="O29" s="7">
        <v>20.401039999999998</v>
      </c>
      <c r="P29" s="7">
        <v>18.15964</v>
      </c>
      <c r="Q29" s="7">
        <v>17.771920000000001</v>
      </c>
      <c r="R29" s="7">
        <v>18.460319999999999</v>
      </c>
      <c r="S29" s="7">
        <v>17.47109</v>
      </c>
      <c r="T29" s="4">
        <v>10</v>
      </c>
      <c r="W29" s="4">
        <v>5.4980000000000003E-3</v>
      </c>
      <c r="X29" s="4">
        <v>1.5914000000000001E-2</v>
      </c>
      <c r="Y29" s="4">
        <v>1.6008000000000001E-2</v>
      </c>
      <c r="Z29" s="4">
        <v>1.1015E-2</v>
      </c>
      <c r="AA29" s="4">
        <v>3.0612E-2</v>
      </c>
      <c r="AB29" s="4">
        <v>3.0896E-2</v>
      </c>
      <c r="AE29" s="4">
        <v>1.9965E-2</v>
      </c>
      <c r="AF29" s="4">
        <v>8.6809999999999995E-3</v>
      </c>
      <c r="AG29" s="4">
        <v>3.2162999999999997E-2</v>
      </c>
      <c r="AH29" s="4">
        <v>3.3043999999999997E-2</v>
      </c>
      <c r="AI29" s="4">
        <v>3.9399000000000003E-2</v>
      </c>
      <c r="AJ29" s="4">
        <v>4.2799999999999998E-2</v>
      </c>
      <c r="AM29" s="4">
        <v>2.8067000000000002E-2</v>
      </c>
      <c r="AN29" s="4">
        <v>3.0381999999999999E-2</v>
      </c>
      <c r="AO29" s="4">
        <v>4.3325000000000002E-2</v>
      </c>
      <c r="AP29" s="4">
        <v>6.3591999999999996E-2</v>
      </c>
      <c r="AQ29" s="4">
        <v>6.7177000000000001E-2</v>
      </c>
      <c r="AR29" s="4">
        <v>6.8877999999999995E-2</v>
      </c>
      <c r="AU29" s="4">
        <v>0.20428199999999999</v>
      </c>
      <c r="AV29" s="4">
        <v>0.24768499999999999</v>
      </c>
      <c r="AW29" s="4">
        <v>0.38610699999999998</v>
      </c>
      <c r="AX29" s="4">
        <v>0.38316899999999998</v>
      </c>
      <c r="AY29" s="4">
        <v>0.311224</v>
      </c>
      <c r="AZ29" s="4">
        <v>0.33956900000000001</v>
      </c>
      <c r="BC29" s="4">
        <v>2.71875</v>
      </c>
      <c r="BD29" s="4">
        <v>2.6059030000000001</v>
      </c>
      <c r="BE29" s="4">
        <v>3.4731969999999999</v>
      </c>
      <c r="BF29" s="4">
        <v>3.129534</v>
      </c>
      <c r="BG29" s="4">
        <v>3.2363949999999999</v>
      </c>
      <c r="BH29" s="4">
        <v>2.8707479999999999</v>
      </c>
      <c r="BK29" s="4">
        <v>7.9820599999999997</v>
      </c>
      <c r="BL29" s="4">
        <v>8.03125</v>
      </c>
      <c r="BM29" s="4">
        <v>9.7883680000000002</v>
      </c>
      <c r="BN29" s="4">
        <v>10.31414</v>
      </c>
      <c r="BO29" s="4">
        <v>9.894558</v>
      </c>
      <c r="BP29" s="4">
        <v>9.6819729999999993</v>
      </c>
    </row>
    <row r="30" spans="1:68">
      <c r="A30" s="6">
        <v>8.15</v>
      </c>
      <c r="B30" s="7">
        <v>2.8142360000000002</v>
      </c>
      <c r="C30" s="7">
        <v>2.8402780000000001</v>
      </c>
      <c r="D30" s="7">
        <v>2.6184460000000001</v>
      </c>
      <c r="E30" s="7">
        <v>2.4098989999999998</v>
      </c>
      <c r="F30" s="7">
        <v>2.5447850000000001</v>
      </c>
      <c r="G30" s="7">
        <v>2.6014740000000001</v>
      </c>
      <c r="H30" s="7">
        <v>21.824649999999998</v>
      </c>
      <c r="I30" s="7">
        <v>21.558450000000001</v>
      </c>
      <c r="J30" s="7">
        <v>19.18769</v>
      </c>
      <c r="K30" s="7">
        <v>18.782350000000001</v>
      </c>
      <c r="L30" s="7">
        <v>20.742059999999999</v>
      </c>
      <c r="M30" s="7">
        <v>20.869610000000002</v>
      </c>
      <c r="N30" s="7">
        <v>27.290510000000001</v>
      </c>
      <c r="O30" s="7">
        <v>27.967590000000001</v>
      </c>
      <c r="P30" s="7">
        <v>25.984580000000001</v>
      </c>
      <c r="Q30" s="7">
        <v>23.343959999999999</v>
      </c>
      <c r="R30" s="7">
        <v>25.231860000000001</v>
      </c>
      <c r="S30" s="7">
        <v>25.308389999999999</v>
      </c>
      <c r="T30" s="4">
        <v>50</v>
      </c>
      <c r="W30" s="4">
        <v>1.6781999999999998E-2</v>
      </c>
      <c r="X30" s="4">
        <v>2.0254999999999999E-2</v>
      </c>
      <c r="Y30" s="4">
        <v>1.9532999999999998E-2</v>
      </c>
      <c r="Z30" s="4">
        <v>1.3658E-2</v>
      </c>
      <c r="AA30" s="4">
        <v>3.2313000000000001E-2</v>
      </c>
      <c r="AB30" s="4">
        <v>2.9762E-2</v>
      </c>
      <c r="AE30" s="4">
        <v>3.8193999999999999E-2</v>
      </c>
      <c r="AF30" s="4">
        <v>3.125E-2</v>
      </c>
      <c r="AG30" s="4">
        <v>7.3285000000000003E-2</v>
      </c>
      <c r="AH30" s="4">
        <v>7.1523000000000003E-2</v>
      </c>
      <c r="AI30" s="4">
        <v>7.2845999999999994E-2</v>
      </c>
      <c r="AJ30" s="4">
        <v>7.3980000000000004E-2</v>
      </c>
      <c r="AM30" s="4">
        <v>0.15856500000000001</v>
      </c>
      <c r="AN30" s="4">
        <v>0.18981500000000001</v>
      </c>
      <c r="AO30" s="4">
        <v>0.368483</v>
      </c>
      <c r="AP30" s="4">
        <v>0.35085899999999998</v>
      </c>
      <c r="AQ30" s="4">
        <v>0.28004499999999999</v>
      </c>
      <c r="AR30" s="4">
        <v>0.27721099999999999</v>
      </c>
      <c r="AU30" s="4">
        <v>0.53703699999999999</v>
      </c>
      <c r="AV30" s="4">
        <v>0.72511599999999998</v>
      </c>
      <c r="AW30" s="4">
        <v>3.40564</v>
      </c>
      <c r="AX30" s="4">
        <v>3.2793359999999998</v>
      </c>
      <c r="AY30" s="4">
        <v>2.5844670000000001</v>
      </c>
      <c r="AZ30" s="4">
        <v>2.6780050000000002</v>
      </c>
      <c r="BC30" s="4">
        <v>10.67014</v>
      </c>
      <c r="BD30" s="4">
        <v>8.5173609999999993</v>
      </c>
      <c r="BE30" s="4">
        <v>10.63724</v>
      </c>
      <c r="BF30" s="4">
        <v>9.8177409999999998</v>
      </c>
      <c r="BG30" s="4">
        <v>9.1604310000000009</v>
      </c>
      <c r="BH30" s="4">
        <v>8.6643989999999995</v>
      </c>
      <c r="BK30" s="4">
        <v>15.1059</v>
      </c>
      <c r="BL30" s="4">
        <v>15.67014</v>
      </c>
      <c r="BM30" s="4">
        <v>16.714500000000001</v>
      </c>
      <c r="BN30" s="4">
        <v>16.920110000000001</v>
      </c>
      <c r="BO30" s="4">
        <v>17.632650000000002</v>
      </c>
      <c r="BP30" s="4">
        <v>17.632650000000002</v>
      </c>
    </row>
    <row r="31" spans="1:68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4">
        <v>100</v>
      </c>
      <c r="W31" s="4">
        <v>7.5230000000000002E-3</v>
      </c>
      <c r="X31" s="4">
        <v>1.8228999999999999E-2</v>
      </c>
      <c r="Y31" s="4">
        <v>2.0414000000000002E-2</v>
      </c>
      <c r="Z31" s="4">
        <v>1.3658E-2</v>
      </c>
      <c r="AA31" s="4">
        <v>3.0896E-2</v>
      </c>
      <c r="AB31" s="4">
        <v>3.0044999999999999E-2</v>
      </c>
      <c r="AE31" s="4">
        <v>7.5810000000000002E-2</v>
      </c>
      <c r="AF31" s="4">
        <v>6.8575999999999998E-2</v>
      </c>
      <c r="AG31" s="4">
        <v>0.13585</v>
      </c>
      <c r="AH31" s="4">
        <v>0.15024199999999999</v>
      </c>
      <c r="AI31" s="4">
        <v>0.10600900000000001</v>
      </c>
      <c r="AJ31" s="4">
        <v>0.108277</v>
      </c>
      <c r="AM31" s="4">
        <v>0.62963000000000002</v>
      </c>
      <c r="AN31" s="4">
        <v>0.64988400000000002</v>
      </c>
      <c r="AO31" s="4">
        <v>0.679836</v>
      </c>
      <c r="AP31" s="4">
        <v>0.69452199999999997</v>
      </c>
      <c r="AQ31" s="4">
        <v>0.55782299999999996</v>
      </c>
      <c r="AR31" s="4">
        <v>0.55498899999999995</v>
      </c>
      <c r="AU31" s="4">
        <v>5.1521990000000004</v>
      </c>
      <c r="AV31" s="4">
        <v>5.1521990000000004</v>
      </c>
      <c r="AW31" s="4">
        <v>5.0887060000000002</v>
      </c>
      <c r="AX31" s="4">
        <v>5.0417100000000001</v>
      </c>
      <c r="AY31" s="4">
        <v>4.8066890000000004</v>
      </c>
      <c r="AZ31" s="4">
        <v>4.5856009999999996</v>
      </c>
      <c r="BC31" s="4">
        <v>13.902200000000001</v>
      </c>
      <c r="BD31" s="4">
        <v>14.82813</v>
      </c>
      <c r="BE31" s="4">
        <v>12.834339999999999</v>
      </c>
      <c r="BF31" s="4">
        <v>11.31282</v>
      </c>
      <c r="BG31" s="4">
        <v>12.272679999999999</v>
      </c>
      <c r="BH31" s="4">
        <v>11.54138</v>
      </c>
      <c r="BK31" s="4">
        <v>21.824649999999998</v>
      </c>
      <c r="BL31" s="4">
        <v>21.558450000000001</v>
      </c>
      <c r="BM31" s="4">
        <v>19.18769</v>
      </c>
      <c r="BN31" s="4">
        <v>18.782350000000001</v>
      </c>
      <c r="BO31" s="4">
        <v>20.742059999999999</v>
      </c>
      <c r="BP31" s="4">
        <v>20.869610000000002</v>
      </c>
    </row>
    <row r="32" spans="1:68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4">
        <v>500</v>
      </c>
      <c r="W32" s="4">
        <v>2.1122999999999999E-2</v>
      </c>
      <c r="X32" s="4">
        <v>2.4015999999999999E-2</v>
      </c>
      <c r="Y32" s="4">
        <v>8.9589999999999999E-3</v>
      </c>
      <c r="Z32" s="4">
        <v>9.5460000000000007E-3</v>
      </c>
      <c r="AA32" s="4">
        <v>2.8344999999999999E-2</v>
      </c>
      <c r="AB32" s="4">
        <v>2.5226999999999999E-2</v>
      </c>
      <c r="AE32" s="4">
        <v>0.175347</v>
      </c>
      <c r="AF32" s="4">
        <v>0.172454</v>
      </c>
      <c r="AG32" s="4">
        <v>0.40666799999999997</v>
      </c>
      <c r="AH32" s="4">
        <v>0.43310300000000002</v>
      </c>
      <c r="AI32" s="4">
        <v>0.223356</v>
      </c>
      <c r="AJ32" s="4">
        <v>0.23185900000000001</v>
      </c>
      <c r="AM32" s="4">
        <v>1.5034719999999999</v>
      </c>
      <c r="AN32" s="4">
        <v>1.543981</v>
      </c>
      <c r="AO32" s="4">
        <v>2.113232</v>
      </c>
      <c r="AP32" s="4">
        <v>2.1749160000000001</v>
      </c>
      <c r="AQ32" s="4">
        <v>1.433673</v>
      </c>
      <c r="AR32" s="4">
        <v>1.513039</v>
      </c>
      <c r="AU32" s="4">
        <v>8.3871529999999996</v>
      </c>
      <c r="AV32" s="4">
        <v>8.7314810000000005</v>
      </c>
      <c r="AW32" s="4">
        <v>8.4401530000000005</v>
      </c>
      <c r="AX32" s="4">
        <v>8.6780729999999995</v>
      </c>
      <c r="AY32" s="4">
        <v>8.2222220000000004</v>
      </c>
      <c r="AZ32" s="4">
        <v>8.3752829999999996</v>
      </c>
      <c r="BC32" s="4">
        <v>19.425930000000001</v>
      </c>
      <c r="BD32" s="4">
        <v>20.215859999999999</v>
      </c>
      <c r="BE32" s="4">
        <v>16.870170000000002</v>
      </c>
      <c r="BF32" s="4">
        <v>16.870170000000002</v>
      </c>
      <c r="BG32" s="4">
        <v>17.578800000000001</v>
      </c>
      <c r="BH32" s="4">
        <v>16.994900000000001</v>
      </c>
      <c r="BK32" s="4">
        <v>26.549769999999999</v>
      </c>
      <c r="BL32" s="4">
        <v>27.04167</v>
      </c>
      <c r="BM32" s="4">
        <v>24.14584</v>
      </c>
      <c r="BN32" s="4">
        <v>23.922599999999999</v>
      </c>
      <c r="BO32" s="4">
        <v>25.77608</v>
      </c>
      <c r="BP32" s="4">
        <v>26.739799999999999</v>
      </c>
    </row>
    <row r="33" spans="1:68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4">
        <v>1000</v>
      </c>
      <c r="W33" s="4">
        <v>1.2153000000000001E-2</v>
      </c>
      <c r="X33" s="4">
        <v>2.1122999999999999E-2</v>
      </c>
      <c r="Y33" s="4">
        <v>1.5713999999999999E-2</v>
      </c>
      <c r="Z33" s="4">
        <v>9.8399999999999998E-3</v>
      </c>
      <c r="AA33" s="4">
        <v>2.2676000000000002E-2</v>
      </c>
      <c r="AB33" s="4">
        <v>2.2676000000000002E-2</v>
      </c>
      <c r="AE33" s="4">
        <v>0.23321800000000001</v>
      </c>
      <c r="AF33" s="4">
        <v>0.26215300000000002</v>
      </c>
      <c r="AG33" s="4">
        <v>0.52415900000000004</v>
      </c>
      <c r="AH33" s="4">
        <v>0.55646899999999999</v>
      </c>
      <c r="AI33" s="4">
        <v>0.26020399999999999</v>
      </c>
      <c r="AJ33" s="4">
        <v>0.31405899999999998</v>
      </c>
      <c r="AM33" s="4">
        <v>1.6799770000000001</v>
      </c>
      <c r="AN33" s="4">
        <v>1.8217589999999999</v>
      </c>
      <c r="AO33" s="4">
        <v>2.3952119999999999</v>
      </c>
      <c r="AP33" s="4">
        <v>2.5450140000000001</v>
      </c>
      <c r="AQ33" s="4">
        <v>1.7794779999999999</v>
      </c>
      <c r="AR33" s="4">
        <v>1.929705</v>
      </c>
      <c r="AU33" s="4">
        <v>9.5474540000000001</v>
      </c>
      <c r="AV33" s="4">
        <v>9.5763890000000007</v>
      </c>
      <c r="AW33" s="4">
        <v>9.2596559999999997</v>
      </c>
      <c r="AX33" s="4">
        <v>9.4035829999999994</v>
      </c>
      <c r="AY33" s="4">
        <v>8.5595239999999997</v>
      </c>
      <c r="AZ33" s="4">
        <v>8.9081630000000001</v>
      </c>
      <c r="BC33" s="4">
        <v>20.65278</v>
      </c>
      <c r="BD33" s="4">
        <v>20.401039999999998</v>
      </c>
      <c r="BE33" s="4">
        <v>18.15964</v>
      </c>
      <c r="BF33" s="4">
        <v>17.771920000000001</v>
      </c>
      <c r="BG33" s="4">
        <v>18.460319999999999</v>
      </c>
      <c r="BH33" s="4">
        <v>17.47109</v>
      </c>
      <c r="BK33" s="4">
        <v>27.290510000000001</v>
      </c>
      <c r="BL33" s="4">
        <v>27.967590000000001</v>
      </c>
      <c r="BM33" s="4">
        <v>25.984580000000001</v>
      </c>
      <c r="BN33" s="4">
        <v>23.343959999999999</v>
      </c>
      <c r="BO33" s="4">
        <v>25.231860000000001</v>
      </c>
      <c r="BP33" s="4">
        <v>25.308389999999999</v>
      </c>
    </row>
    <row r="34" spans="1:68" ht="16.5">
      <c r="A34" s="112" t="s">
        <v>1701</v>
      </c>
      <c r="B34" s="244" t="s">
        <v>2108</v>
      </c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63" t="s">
        <v>1913</v>
      </c>
      <c r="U34" s="263" t="s">
        <v>1913</v>
      </c>
      <c r="V34" s="263" t="s">
        <v>1913</v>
      </c>
      <c r="W34" s="263" t="s">
        <v>1913</v>
      </c>
      <c r="X34" s="263" t="s">
        <v>1913</v>
      </c>
      <c r="Y34" s="263" t="s">
        <v>1913</v>
      </c>
      <c r="Z34" s="263" t="s">
        <v>1913</v>
      </c>
      <c r="AA34" s="263" t="s">
        <v>1913</v>
      </c>
      <c r="AB34" s="263" t="s">
        <v>1913</v>
      </c>
      <c r="AC34" s="263" t="s">
        <v>1913</v>
      </c>
      <c r="AD34" s="263" t="s">
        <v>1913</v>
      </c>
      <c r="AE34" s="263" t="s">
        <v>1913</v>
      </c>
      <c r="AF34" s="263" t="s">
        <v>1913</v>
      </c>
      <c r="AG34" s="263" t="s">
        <v>1913</v>
      </c>
      <c r="AH34" s="263" t="s">
        <v>1913</v>
      </c>
      <c r="AI34" s="263" t="s">
        <v>1913</v>
      </c>
      <c r="AJ34" s="263" t="s">
        <v>1913</v>
      </c>
      <c r="AK34" s="263" t="s">
        <v>1913</v>
      </c>
      <c r="AL34" s="263" t="s">
        <v>1913</v>
      </c>
      <c r="AM34" s="263" t="s">
        <v>1913</v>
      </c>
      <c r="AN34" s="263" t="s">
        <v>1913</v>
      </c>
      <c r="AO34" s="263" t="s">
        <v>1913</v>
      </c>
      <c r="AP34" s="263" t="s">
        <v>1913</v>
      </c>
      <c r="AQ34" s="263" t="s">
        <v>1913</v>
      </c>
      <c r="AR34" s="263" t="s">
        <v>1913</v>
      </c>
      <c r="AS34" s="263" t="s">
        <v>1913</v>
      </c>
      <c r="AT34" s="263" t="s">
        <v>1913</v>
      </c>
      <c r="AU34" s="263" t="s">
        <v>1913</v>
      </c>
      <c r="AV34" s="263" t="s">
        <v>1913</v>
      </c>
      <c r="AW34" s="263" t="s">
        <v>1913</v>
      </c>
      <c r="AX34" s="263" t="s">
        <v>1913</v>
      </c>
      <c r="AY34" s="263" t="s">
        <v>1913</v>
      </c>
      <c r="AZ34" s="263" t="s">
        <v>1913</v>
      </c>
      <c r="BA34" s="263" t="s">
        <v>1913</v>
      </c>
      <c r="BB34" s="263" t="s">
        <v>1913</v>
      </c>
      <c r="BC34" s="263" t="s">
        <v>1913</v>
      </c>
      <c r="BD34" s="263" t="s">
        <v>1913</v>
      </c>
      <c r="BE34" s="263" t="s">
        <v>1913</v>
      </c>
      <c r="BF34" s="263" t="s">
        <v>1913</v>
      </c>
      <c r="BG34" s="263" t="s">
        <v>1913</v>
      </c>
      <c r="BH34" s="263" t="s">
        <v>1913</v>
      </c>
      <c r="BI34" s="263" t="s">
        <v>1913</v>
      </c>
      <c r="BJ34" s="263" t="s">
        <v>1913</v>
      </c>
      <c r="BK34" s="263" t="s">
        <v>1913</v>
      </c>
      <c r="BL34" s="263" t="s">
        <v>1913</v>
      </c>
      <c r="BM34" s="263" t="s">
        <v>1913</v>
      </c>
      <c r="BN34" s="263" t="s">
        <v>1913</v>
      </c>
      <c r="BO34" s="263" t="s">
        <v>1913</v>
      </c>
      <c r="BP34" s="263" t="s">
        <v>1913</v>
      </c>
    </row>
    <row r="35" spans="1:68" ht="15">
      <c r="A35" s="6" t="s">
        <v>1698</v>
      </c>
      <c r="B35" s="258">
        <v>0</v>
      </c>
      <c r="C35" s="258"/>
      <c r="D35" s="258"/>
      <c r="E35" s="258"/>
      <c r="F35" s="258"/>
      <c r="G35" s="258"/>
      <c r="H35" s="259">
        <v>100</v>
      </c>
      <c r="I35" s="259"/>
      <c r="J35" s="259"/>
      <c r="K35" s="259"/>
      <c r="L35" s="259"/>
      <c r="M35" s="259"/>
      <c r="N35" s="260">
        <v>1000</v>
      </c>
      <c r="O35" s="260"/>
      <c r="P35" s="260"/>
      <c r="Q35" s="260"/>
      <c r="R35" s="260"/>
      <c r="S35" s="260"/>
      <c r="T35" s="138" t="s">
        <v>2088</v>
      </c>
      <c r="U35" s="266">
        <v>7.1199999999999996E-4</v>
      </c>
      <c r="V35" s="265"/>
      <c r="W35" s="265"/>
      <c r="X35" s="265"/>
      <c r="Y35" s="265"/>
      <c r="Z35" s="265"/>
      <c r="AA35" s="265"/>
      <c r="AB35" s="265"/>
      <c r="AC35" s="266">
        <v>0.15089174999999999</v>
      </c>
      <c r="AD35" s="265"/>
      <c r="AE35" s="265"/>
      <c r="AF35" s="265"/>
      <c r="AG35" s="265"/>
      <c r="AH35" s="265"/>
      <c r="AI35" s="265"/>
      <c r="AJ35" s="265"/>
      <c r="AK35" s="266">
        <v>0.48899999999999999</v>
      </c>
      <c r="AL35" s="265"/>
      <c r="AM35" s="265"/>
      <c r="AN35" s="265"/>
      <c r="AO35" s="265"/>
      <c r="AP35" s="265"/>
      <c r="AQ35" s="265"/>
      <c r="AR35" s="265"/>
      <c r="AS35" s="266">
        <v>1.78</v>
      </c>
      <c r="AT35" s="265"/>
      <c r="AU35" s="265"/>
      <c r="AV35" s="265"/>
      <c r="AW35" s="265"/>
      <c r="AX35" s="265"/>
      <c r="AY35" s="265"/>
      <c r="AZ35" s="265"/>
      <c r="BA35" s="266">
        <v>4.67</v>
      </c>
      <c r="BB35" s="265"/>
      <c r="BC35" s="265"/>
      <c r="BD35" s="265"/>
      <c r="BE35" s="265"/>
      <c r="BF35" s="265"/>
      <c r="BG35" s="265"/>
      <c r="BH35" s="265"/>
      <c r="BI35" s="266">
        <v>8.15</v>
      </c>
      <c r="BJ35" s="265"/>
      <c r="BK35" s="265"/>
      <c r="BL35" s="265"/>
      <c r="BM35" s="265"/>
      <c r="BN35" s="265"/>
      <c r="BO35" s="265"/>
      <c r="BP35" s="265"/>
    </row>
    <row r="36" spans="1:68" ht="16.5" customHeight="1">
      <c r="A36" s="6">
        <v>0</v>
      </c>
      <c r="B36" s="7">
        <v>1.5625E-2</v>
      </c>
      <c r="C36" s="7">
        <v>8.6809999999999995E-3</v>
      </c>
      <c r="D36" s="7">
        <v>1.1015E-2</v>
      </c>
      <c r="E36" s="120" t="s">
        <v>934</v>
      </c>
      <c r="F36" s="7">
        <v>1.8991000000000001E-2</v>
      </c>
      <c r="G36" s="7">
        <v>9.3539999999999995E-3</v>
      </c>
      <c r="H36" s="7">
        <v>1.8519000000000001E-2</v>
      </c>
      <c r="I36" s="120" t="s">
        <v>944</v>
      </c>
      <c r="J36" s="7">
        <v>7.7840000000000001E-3</v>
      </c>
      <c r="K36" s="7">
        <v>8.6650000000000008E-3</v>
      </c>
      <c r="L36" s="7">
        <v>1.1620999999999999E-2</v>
      </c>
      <c r="M36" s="7">
        <v>7.0860000000000003E-3</v>
      </c>
      <c r="N36" s="120" t="s">
        <v>944</v>
      </c>
      <c r="O36" s="120" t="s">
        <v>921</v>
      </c>
      <c r="P36" s="7">
        <v>5.4339999999999996E-3</v>
      </c>
      <c r="Q36" s="120" t="s">
        <v>947</v>
      </c>
      <c r="R36" s="7">
        <v>1.6722999999999998E-2</v>
      </c>
      <c r="S36" s="7">
        <v>1.0204E-2</v>
      </c>
      <c r="T36" s="139" t="s">
        <v>1915</v>
      </c>
      <c r="U36" s="262"/>
      <c r="V36" s="262"/>
      <c r="W36" s="262" t="s">
        <v>1917</v>
      </c>
      <c r="X36" s="262" t="s">
        <v>1893</v>
      </c>
      <c r="Y36" s="262" t="s">
        <v>1919</v>
      </c>
      <c r="Z36" s="262" t="s">
        <v>1894</v>
      </c>
      <c r="AA36" s="262" t="s">
        <v>1921</v>
      </c>
      <c r="AB36" s="262" t="s">
        <v>1895</v>
      </c>
      <c r="AC36" s="262"/>
      <c r="AD36" s="262"/>
      <c r="AE36" s="262" t="s">
        <v>1922</v>
      </c>
      <c r="AF36" s="262" t="s">
        <v>1896</v>
      </c>
      <c r="AG36" s="262" t="s">
        <v>1924</v>
      </c>
      <c r="AH36" s="262" t="s">
        <v>1897</v>
      </c>
      <c r="AI36" s="262" t="s">
        <v>1926</v>
      </c>
      <c r="AJ36" s="262" t="s">
        <v>1898</v>
      </c>
      <c r="AK36" s="262"/>
      <c r="AL36" s="262"/>
      <c r="AM36" s="262" t="s">
        <v>1927</v>
      </c>
      <c r="AN36" s="262" t="s">
        <v>1899</v>
      </c>
      <c r="AO36" s="262" t="s">
        <v>1929</v>
      </c>
      <c r="AP36" s="262" t="s">
        <v>1900</v>
      </c>
      <c r="AQ36" s="262" t="s">
        <v>1931</v>
      </c>
      <c r="AR36" s="262" t="s">
        <v>1901</v>
      </c>
      <c r="AS36" s="262"/>
      <c r="AT36" s="262"/>
      <c r="AU36" s="262" t="s">
        <v>1932</v>
      </c>
      <c r="AV36" s="262" t="s">
        <v>1902</v>
      </c>
      <c r="AW36" s="262" t="s">
        <v>1934</v>
      </c>
      <c r="AX36" s="262" t="s">
        <v>1903</v>
      </c>
      <c r="AY36" s="262" t="s">
        <v>1936</v>
      </c>
      <c r="AZ36" s="262" t="s">
        <v>1904</v>
      </c>
      <c r="BA36" s="262"/>
      <c r="BB36" s="262"/>
      <c r="BC36" s="262" t="s">
        <v>1937</v>
      </c>
      <c r="BD36" s="262" t="s">
        <v>1905</v>
      </c>
      <c r="BE36" s="262" t="s">
        <v>1939</v>
      </c>
      <c r="BF36" s="262" t="s">
        <v>1906</v>
      </c>
      <c r="BG36" s="262" t="s">
        <v>1941</v>
      </c>
      <c r="BH36" s="262" t="s">
        <v>1907</v>
      </c>
      <c r="BI36" s="262"/>
      <c r="BJ36" s="262"/>
      <c r="BK36" s="262" t="s">
        <v>1942</v>
      </c>
      <c r="BL36" s="262" t="s">
        <v>1908</v>
      </c>
      <c r="BM36" s="262" t="s">
        <v>1944</v>
      </c>
      <c r="BN36" s="262" t="s">
        <v>1909</v>
      </c>
      <c r="BO36" s="262" t="s">
        <v>1946</v>
      </c>
      <c r="BP36" s="262" t="s">
        <v>1910</v>
      </c>
    </row>
    <row r="37" spans="1:68">
      <c r="A37" s="6">
        <v>0.15</v>
      </c>
      <c r="B37" s="7">
        <v>8.1019999999999998E-3</v>
      </c>
      <c r="C37" s="120" t="s">
        <v>886</v>
      </c>
      <c r="D37" s="7">
        <v>6.3150000000000003E-3</v>
      </c>
      <c r="E37" s="7">
        <v>1.0134000000000001E-2</v>
      </c>
      <c r="F37" s="7">
        <v>2.4093E-2</v>
      </c>
      <c r="G37" s="120" t="s">
        <v>920</v>
      </c>
      <c r="H37" s="7">
        <v>0.10272000000000001</v>
      </c>
      <c r="I37" s="7">
        <v>0.114873</v>
      </c>
      <c r="J37" s="7">
        <v>0.18637100000000001</v>
      </c>
      <c r="K37" s="7">
        <v>0.125863</v>
      </c>
      <c r="L37" s="7">
        <v>9.4954999999999998E-2</v>
      </c>
      <c r="M37" s="7">
        <v>0.10345799999999999</v>
      </c>
      <c r="N37" s="7">
        <v>0.86400500000000002</v>
      </c>
      <c r="O37" s="7">
        <v>0.93344899999999997</v>
      </c>
      <c r="P37" s="7">
        <v>1.4464680000000001</v>
      </c>
      <c r="Q37" s="7">
        <v>1.3671610000000001</v>
      </c>
      <c r="R37" s="7">
        <v>0.83276600000000001</v>
      </c>
      <c r="S37" s="7">
        <v>0.79308400000000001</v>
      </c>
      <c r="T37" s="4">
        <v>0</v>
      </c>
      <c r="W37" s="4">
        <v>1.5625E-2</v>
      </c>
      <c r="X37" s="4">
        <v>8.6809999999999995E-3</v>
      </c>
      <c r="Y37" s="4">
        <v>1.1015E-2</v>
      </c>
      <c r="Z37" s="211" t="s">
        <v>3464</v>
      </c>
      <c r="AA37" s="4">
        <v>1.8991000000000001E-2</v>
      </c>
      <c r="AB37" s="4">
        <v>9.3539999999999995E-3</v>
      </c>
      <c r="AE37" s="4">
        <v>8.1019999999999998E-3</v>
      </c>
      <c r="AF37" s="137" t="s">
        <v>886</v>
      </c>
      <c r="AG37" s="4">
        <v>6.3150000000000003E-3</v>
      </c>
      <c r="AH37" s="4">
        <v>1.0134000000000001E-2</v>
      </c>
      <c r="AI37" s="4">
        <v>2.4093E-2</v>
      </c>
      <c r="AJ37" s="4">
        <v>5.6700000000000001E-4</v>
      </c>
      <c r="AM37" s="4">
        <v>1.2442E-2</v>
      </c>
      <c r="AN37" s="4">
        <v>7.5230000000000002E-3</v>
      </c>
      <c r="AO37" s="4">
        <v>1.2189999999999999E-2</v>
      </c>
      <c r="AP37" s="211" t="s">
        <v>3467</v>
      </c>
      <c r="AQ37" s="4">
        <v>1.8991000000000001E-2</v>
      </c>
      <c r="AR37" s="4">
        <v>1.6722999999999998E-2</v>
      </c>
      <c r="AU37" s="4">
        <v>2.5752000000000001E-2</v>
      </c>
      <c r="AV37" s="4">
        <v>3.5300999999999999E-2</v>
      </c>
      <c r="AW37" s="137" t="s">
        <v>3468</v>
      </c>
      <c r="AX37" s="137" t="s">
        <v>3469</v>
      </c>
      <c r="AY37" s="211" t="s">
        <v>3470</v>
      </c>
      <c r="AZ37" s="4">
        <v>5.9519999999999998E-3</v>
      </c>
      <c r="BC37" s="4">
        <v>0.16666700000000001</v>
      </c>
      <c r="BD37" s="4">
        <v>0.18113399999999999</v>
      </c>
      <c r="BE37" s="4">
        <v>0.116757</v>
      </c>
      <c r="BF37" s="4">
        <v>0.195183</v>
      </c>
      <c r="BG37" s="4">
        <v>0.124433</v>
      </c>
      <c r="BH37" s="4">
        <v>0.139739</v>
      </c>
      <c r="BK37" s="4">
        <v>0.765625</v>
      </c>
      <c r="BL37" s="4">
        <v>0.81770799999999999</v>
      </c>
      <c r="BM37" s="4">
        <v>0.80613900000000005</v>
      </c>
      <c r="BN37" s="4">
        <v>0.80907600000000002</v>
      </c>
      <c r="BO37" s="4">
        <v>0.73922900000000002</v>
      </c>
      <c r="BP37" s="4">
        <v>0.82142899999999996</v>
      </c>
    </row>
    <row r="38" spans="1:68">
      <c r="A38" s="6">
        <v>0.49</v>
      </c>
      <c r="B38" s="7">
        <v>1.2442E-2</v>
      </c>
      <c r="C38" s="7">
        <v>7.5230000000000002E-3</v>
      </c>
      <c r="D38" s="7">
        <v>1.2189999999999999E-2</v>
      </c>
      <c r="E38" s="120" t="s">
        <v>935</v>
      </c>
      <c r="F38" s="7">
        <v>1.8991000000000001E-2</v>
      </c>
      <c r="G38" s="7">
        <v>1.6722999999999998E-2</v>
      </c>
      <c r="H38" s="7">
        <v>2.6927080000000001</v>
      </c>
      <c r="I38" s="7">
        <v>2.3917820000000001</v>
      </c>
      <c r="J38" s="7">
        <v>2.9444849999999998</v>
      </c>
      <c r="K38" s="7">
        <v>2.3629020000000001</v>
      </c>
      <c r="L38" s="7">
        <v>3.5680269999999998</v>
      </c>
      <c r="M38" s="7">
        <v>3.1768709999999998</v>
      </c>
      <c r="N38" s="7">
        <v>8.9224540000000001</v>
      </c>
      <c r="O38" s="7">
        <v>8.1064810000000005</v>
      </c>
      <c r="P38" s="7">
        <v>9.4623290000000004</v>
      </c>
      <c r="Q38" s="7">
        <v>8.9512409999999996</v>
      </c>
      <c r="R38" s="7">
        <v>9.1887760000000007</v>
      </c>
      <c r="S38" s="7">
        <v>9.0753970000000006</v>
      </c>
      <c r="T38" s="4">
        <v>0.1</v>
      </c>
      <c r="W38" s="4">
        <v>1.1573999999999999E-2</v>
      </c>
      <c r="X38" s="137" t="s">
        <v>938</v>
      </c>
      <c r="Y38" s="4">
        <v>1.6889000000000001E-2</v>
      </c>
      <c r="Z38" s="211" t="s">
        <v>3465</v>
      </c>
      <c r="AA38" s="4">
        <v>1.4172000000000001E-2</v>
      </c>
      <c r="AB38" s="4">
        <v>1.1338000000000001E-2</v>
      </c>
      <c r="AE38" s="137" t="s">
        <v>921</v>
      </c>
      <c r="AF38" s="4">
        <v>8.6799999999999996E-4</v>
      </c>
      <c r="AG38" s="4">
        <v>1.0280000000000001E-3</v>
      </c>
      <c r="AH38" s="4">
        <v>3.0839999999999999E-3</v>
      </c>
      <c r="AI38" s="4">
        <v>9.0699999999999999E-3</v>
      </c>
      <c r="AJ38" s="4">
        <v>9.0699999999999999E-3</v>
      </c>
      <c r="AM38" s="4">
        <v>8.1019999999999998E-3</v>
      </c>
      <c r="AN38" s="137" t="s">
        <v>939</v>
      </c>
      <c r="AO38" s="4">
        <v>7.7840000000000001E-3</v>
      </c>
      <c r="AP38" s="211" t="s">
        <v>3420</v>
      </c>
      <c r="AQ38" s="4">
        <v>1.7573999999999999E-2</v>
      </c>
      <c r="AR38" s="4">
        <v>8.2199999999999999E-3</v>
      </c>
      <c r="AU38" s="4">
        <v>1.9387000000000001E-2</v>
      </c>
      <c r="AV38" s="4">
        <v>3.4144000000000001E-2</v>
      </c>
      <c r="AW38" s="4">
        <v>1.8064E-2</v>
      </c>
      <c r="AX38" s="4">
        <v>3.2162999999999997E-2</v>
      </c>
      <c r="AY38" s="4">
        <v>2.8340000000000001E-3</v>
      </c>
      <c r="AZ38" s="211" t="s">
        <v>3436</v>
      </c>
      <c r="BC38" s="4">
        <v>0.184028</v>
      </c>
      <c r="BD38" s="4">
        <v>0.18981500000000001</v>
      </c>
      <c r="BE38" s="4">
        <v>0.14054900000000001</v>
      </c>
      <c r="BF38" s="4">
        <v>0.20399500000000001</v>
      </c>
      <c r="BG38" s="4">
        <v>0.11734700000000001</v>
      </c>
      <c r="BH38" s="4">
        <v>0.14852599999999999</v>
      </c>
      <c r="BK38" s="4">
        <v>0.79166700000000001</v>
      </c>
      <c r="BL38" s="4">
        <v>0.87847200000000003</v>
      </c>
      <c r="BM38" s="4">
        <v>0.74445600000000001</v>
      </c>
      <c r="BN38" s="4">
        <v>0.838449</v>
      </c>
      <c r="BO38" s="4">
        <v>0.76473899999999995</v>
      </c>
      <c r="BP38" s="4">
        <v>0.80725599999999997</v>
      </c>
    </row>
    <row r="39" spans="1:68">
      <c r="A39" s="6">
        <v>1.78</v>
      </c>
      <c r="B39" s="7">
        <v>2.5752000000000001E-2</v>
      </c>
      <c r="C39" s="7">
        <v>3.5300999999999999E-2</v>
      </c>
      <c r="D39" s="120" t="s">
        <v>936</v>
      </c>
      <c r="E39" s="120" t="s">
        <v>937</v>
      </c>
      <c r="F39" s="120" t="s">
        <v>925</v>
      </c>
      <c r="G39" s="7">
        <v>5.9519999999999998E-3</v>
      </c>
      <c r="H39" s="120" t="s">
        <v>945</v>
      </c>
      <c r="I39" s="120" t="s">
        <v>946</v>
      </c>
      <c r="J39" s="7">
        <v>12.95477</v>
      </c>
      <c r="K39" s="7">
        <v>14.828760000000001</v>
      </c>
      <c r="L39" s="7">
        <v>10.523809999999999</v>
      </c>
      <c r="M39" s="7">
        <v>12.1593</v>
      </c>
      <c r="N39" s="7">
        <v>21.167819999999999</v>
      </c>
      <c r="O39" s="7">
        <v>22.299189999999999</v>
      </c>
      <c r="P39" s="7">
        <v>21.690259999999999</v>
      </c>
      <c r="Q39" s="7">
        <v>23.343959999999999</v>
      </c>
      <c r="R39" s="7">
        <v>14.00737</v>
      </c>
      <c r="S39" s="7">
        <v>18.976189999999999</v>
      </c>
      <c r="T39" s="4">
        <v>1</v>
      </c>
      <c r="W39" s="4">
        <v>1.3889E-2</v>
      </c>
      <c r="X39" s="4">
        <v>3.1830000000000001E-3</v>
      </c>
      <c r="Y39" s="4">
        <v>9.8399999999999998E-3</v>
      </c>
      <c r="Z39" s="211" t="s">
        <v>3415</v>
      </c>
      <c r="AA39" s="4">
        <v>2.0975000000000001E-2</v>
      </c>
      <c r="AB39" s="4">
        <v>8.2199999999999999E-3</v>
      </c>
      <c r="AE39" s="137" t="s">
        <v>921</v>
      </c>
      <c r="AF39" s="137" t="s">
        <v>938</v>
      </c>
      <c r="AG39" s="211" t="s">
        <v>3421</v>
      </c>
      <c r="AH39" s="4">
        <v>2.4970000000000001E-3</v>
      </c>
      <c r="AI39" s="4">
        <v>1.4739E-2</v>
      </c>
      <c r="AJ39" s="4">
        <v>1.4172000000000001E-2</v>
      </c>
      <c r="AM39" s="4">
        <v>6.3660000000000001E-3</v>
      </c>
      <c r="AN39" s="137" t="s">
        <v>890</v>
      </c>
      <c r="AO39" s="4">
        <v>1.6008000000000001E-2</v>
      </c>
      <c r="AP39" s="4">
        <v>4.2589999999999998E-3</v>
      </c>
      <c r="AQ39" s="4">
        <v>1.0488000000000001E-2</v>
      </c>
      <c r="AR39" s="4">
        <v>1.2472E-2</v>
      </c>
      <c r="AU39" s="4">
        <v>2.1122999999999999E-2</v>
      </c>
      <c r="AV39" s="4">
        <v>3.2696999999999997E-2</v>
      </c>
      <c r="AW39" s="4">
        <v>2.5114000000000001E-2</v>
      </c>
      <c r="AX39" s="4">
        <v>3.5687999999999998E-2</v>
      </c>
      <c r="AY39" s="4">
        <v>1.3322000000000001E-2</v>
      </c>
      <c r="AZ39" s="4">
        <v>2.3525999999999998E-2</v>
      </c>
      <c r="BC39" s="4">
        <v>0.21585599999999999</v>
      </c>
      <c r="BD39" s="4">
        <v>0.22164400000000001</v>
      </c>
      <c r="BE39" s="4">
        <v>0.206932</v>
      </c>
      <c r="BF39" s="4">
        <v>0.21574399999999999</v>
      </c>
      <c r="BG39" s="4">
        <v>0.151644</v>
      </c>
      <c r="BH39" s="4">
        <v>0.138039</v>
      </c>
      <c r="BK39" s="4">
        <v>0.94791700000000001</v>
      </c>
      <c r="BL39" s="4">
        <v>1.017361</v>
      </c>
      <c r="BM39" s="4">
        <v>1.164488</v>
      </c>
      <c r="BN39" s="4">
        <v>1</v>
      </c>
      <c r="BO39" s="4">
        <v>1.0311790000000001</v>
      </c>
      <c r="BP39" s="4">
        <v>1.073696</v>
      </c>
    </row>
    <row r="40" spans="1:68">
      <c r="A40" s="6">
        <v>4.67</v>
      </c>
      <c r="B40" s="7">
        <v>0.16666700000000001</v>
      </c>
      <c r="C40" s="7">
        <v>0.18113399999999999</v>
      </c>
      <c r="D40" s="7">
        <v>0.116757</v>
      </c>
      <c r="E40" s="7">
        <v>0.195183</v>
      </c>
      <c r="F40" s="7">
        <v>0.124433</v>
      </c>
      <c r="G40" s="7">
        <v>0.139739</v>
      </c>
      <c r="H40" s="7">
        <v>22.990739999999999</v>
      </c>
      <c r="I40" s="7">
        <v>23.560759999999998</v>
      </c>
      <c r="J40" s="7">
        <v>22.92099</v>
      </c>
      <c r="K40" s="7">
        <v>23.202970000000001</v>
      </c>
      <c r="L40" s="7">
        <v>7.9699549999999997</v>
      </c>
      <c r="M40" s="7">
        <v>6.4988659999999996</v>
      </c>
      <c r="N40" s="7">
        <v>29.550350000000002</v>
      </c>
      <c r="O40" s="7">
        <v>31.512149999999998</v>
      </c>
      <c r="P40" s="7">
        <v>29.101040000000001</v>
      </c>
      <c r="Q40" s="7">
        <v>30.187840000000001</v>
      </c>
      <c r="R40" s="7">
        <v>18.746600000000001</v>
      </c>
      <c r="S40" s="7">
        <v>18.630389999999998</v>
      </c>
      <c r="T40" s="4">
        <v>10</v>
      </c>
      <c r="W40" s="4">
        <v>6.3660000000000001E-3</v>
      </c>
      <c r="X40" s="137" t="s">
        <v>940</v>
      </c>
      <c r="Y40" s="4">
        <v>1.1015E-2</v>
      </c>
      <c r="Z40" s="4">
        <v>5.1399999999999996E-3</v>
      </c>
      <c r="AA40" s="4">
        <v>2.2391999999999999E-2</v>
      </c>
      <c r="AB40" s="4">
        <v>5.6700000000000001E-4</v>
      </c>
      <c r="AE40" s="137" t="s">
        <v>941</v>
      </c>
      <c r="AF40" s="137" t="s">
        <v>932</v>
      </c>
      <c r="AG40" s="4">
        <v>3.9649999999999998E-3</v>
      </c>
      <c r="AH40" s="4">
        <v>1.4246E-2</v>
      </c>
      <c r="AI40" s="4">
        <v>1.8141000000000001E-2</v>
      </c>
      <c r="AJ40" s="4">
        <v>1.4172000000000001E-2</v>
      </c>
      <c r="AM40" s="4">
        <v>3.6169E-2</v>
      </c>
      <c r="AN40" s="4">
        <v>2.2859000000000001E-2</v>
      </c>
      <c r="AO40" s="4">
        <v>3.9212999999999998E-2</v>
      </c>
      <c r="AP40" s="4">
        <v>4.0681000000000002E-2</v>
      </c>
      <c r="AQ40" s="4">
        <v>6.5476000000000006E-2</v>
      </c>
      <c r="AR40" s="4">
        <v>5.6405999999999998E-2</v>
      </c>
      <c r="AU40" s="4">
        <v>0.39525500000000002</v>
      </c>
      <c r="AV40" s="4">
        <v>0.38078699999999999</v>
      </c>
      <c r="AW40" s="4">
        <v>0.57996800000000004</v>
      </c>
      <c r="AX40" s="4">
        <v>0.70039700000000005</v>
      </c>
      <c r="AY40" s="4">
        <v>0.291383</v>
      </c>
      <c r="AZ40" s="4">
        <v>0.20068</v>
      </c>
      <c r="BC40" s="137" t="s">
        <v>942</v>
      </c>
      <c r="BD40" s="4">
        <v>0.241898</v>
      </c>
      <c r="BE40" s="4">
        <v>5.9111469999999997</v>
      </c>
      <c r="BF40" s="4">
        <v>5.5880450000000002</v>
      </c>
      <c r="BG40" s="4">
        <v>2.0204080000000002</v>
      </c>
      <c r="BH40" s="4">
        <v>2.125283</v>
      </c>
      <c r="BK40" s="4">
        <v>10.473380000000001</v>
      </c>
      <c r="BL40" s="4">
        <v>10.968170000000001</v>
      </c>
      <c r="BM40" s="4">
        <v>13.43942</v>
      </c>
      <c r="BN40" s="4">
        <v>13.19562</v>
      </c>
      <c r="BO40" s="4">
        <v>13.62472</v>
      </c>
      <c r="BP40" s="4">
        <v>13.83447</v>
      </c>
    </row>
    <row r="41" spans="1:68">
      <c r="A41" s="6">
        <v>8.15</v>
      </c>
      <c r="B41" s="7">
        <v>0.765625</v>
      </c>
      <c r="C41" s="7">
        <v>0.81770799999999999</v>
      </c>
      <c r="D41" s="7">
        <v>0.80613900000000005</v>
      </c>
      <c r="E41" s="7">
        <v>0.80907600000000002</v>
      </c>
      <c r="F41" s="7">
        <v>0.73922900000000002</v>
      </c>
      <c r="G41" s="7">
        <v>0.82142899999999996</v>
      </c>
      <c r="H41" s="7">
        <v>29.73264</v>
      </c>
      <c r="I41" s="7">
        <v>29.914929999999998</v>
      </c>
      <c r="J41" s="7">
        <v>28.137609999999999</v>
      </c>
      <c r="K41" s="7">
        <v>26.95682</v>
      </c>
      <c r="L41" s="7">
        <v>33.429139999999997</v>
      </c>
      <c r="M41" s="7">
        <v>33.531179999999999</v>
      </c>
      <c r="N41" s="7">
        <v>30.751159999999999</v>
      </c>
      <c r="O41" s="7">
        <v>30.282409999999999</v>
      </c>
      <c r="P41" s="7">
        <v>32.584670000000003</v>
      </c>
      <c r="Q41" s="7">
        <v>32.887210000000003</v>
      </c>
      <c r="R41" s="7">
        <v>36.527209999999997</v>
      </c>
      <c r="S41" s="7">
        <v>36.751130000000003</v>
      </c>
      <c r="T41" s="4">
        <v>50</v>
      </c>
      <c r="W41" s="4">
        <v>1.7361000000000001E-2</v>
      </c>
      <c r="X41" s="4">
        <v>4.6299999999999996E-3</v>
      </c>
      <c r="Y41" s="4">
        <v>1.0134000000000001E-2</v>
      </c>
      <c r="Z41" s="4">
        <v>6.3150000000000003E-3</v>
      </c>
      <c r="AA41" s="4">
        <v>2.2391999999999999E-2</v>
      </c>
      <c r="AB41" s="4">
        <v>1.9840000000000001E-3</v>
      </c>
      <c r="AE41" s="4">
        <v>3.4722000000000003E-2</v>
      </c>
      <c r="AF41" s="4">
        <v>3.8193999999999999E-2</v>
      </c>
      <c r="AG41" s="4">
        <v>6.1241999999999998E-2</v>
      </c>
      <c r="AH41" s="4">
        <v>4.5087000000000002E-2</v>
      </c>
      <c r="AI41" s="4">
        <v>4.7619000000000002E-2</v>
      </c>
      <c r="AJ41" s="4">
        <v>5.8957000000000002E-2</v>
      </c>
      <c r="AM41" s="4">
        <v>0.71354200000000001</v>
      </c>
      <c r="AN41" s="4">
        <v>0.62673599999999996</v>
      </c>
      <c r="AO41" s="4">
        <v>1.079307</v>
      </c>
      <c r="AP41" s="4">
        <v>1.0411220000000001</v>
      </c>
      <c r="AQ41" s="4">
        <v>1.816327</v>
      </c>
      <c r="AR41" s="4">
        <v>1.3883220000000001</v>
      </c>
      <c r="AU41" s="4">
        <v>7.7129630000000002</v>
      </c>
      <c r="AV41" s="4">
        <v>7.9328700000000003</v>
      </c>
      <c r="AW41" s="4">
        <v>10.252459999999999</v>
      </c>
      <c r="AX41" s="4">
        <v>11.21002</v>
      </c>
      <c r="AY41" s="4">
        <v>7.8990929999999997</v>
      </c>
      <c r="AZ41" s="4">
        <v>7.6808389999999997</v>
      </c>
      <c r="BC41" s="4">
        <v>17.235530000000001</v>
      </c>
      <c r="BD41" s="4">
        <v>17.079280000000001</v>
      </c>
      <c r="BE41" s="4">
        <v>18.271260000000002</v>
      </c>
      <c r="BF41" s="4">
        <v>18.723600000000001</v>
      </c>
      <c r="BG41" s="4">
        <v>4.2284579999999998</v>
      </c>
      <c r="BH41" s="4">
        <v>2.471088</v>
      </c>
      <c r="BK41" s="4">
        <v>23.418980000000001</v>
      </c>
      <c r="BL41" s="4">
        <v>24.443290000000001</v>
      </c>
      <c r="BM41" s="4">
        <v>27.87913</v>
      </c>
      <c r="BN41" s="4">
        <v>27.288740000000001</v>
      </c>
      <c r="BO41" s="4">
        <v>28.689910000000001</v>
      </c>
      <c r="BP41" s="4">
        <v>28.51417</v>
      </c>
    </row>
    <row r="42" spans="1:68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4">
        <v>100</v>
      </c>
      <c r="W42" s="4">
        <v>1.8519000000000001E-2</v>
      </c>
      <c r="X42" s="4">
        <v>3.4719999999999998E-3</v>
      </c>
      <c r="Y42" s="4">
        <v>7.7840000000000001E-3</v>
      </c>
      <c r="Z42" s="4">
        <v>8.6650000000000008E-3</v>
      </c>
      <c r="AA42" s="4">
        <v>1.1620999999999999E-2</v>
      </c>
      <c r="AB42" s="4">
        <v>7.0860000000000003E-3</v>
      </c>
      <c r="AE42" s="4">
        <v>0.10272000000000001</v>
      </c>
      <c r="AF42" s="4">
        <v>0.114873</v>
      </c>
      <c r="AG42" s="4">
        <v>0.18637100000000001</v>
      </c>
      <c r="AH42" s="4">
        <v>0.125863</v>
      </c>
      <c r="AI42" s="4">
        <v>9.4954999999999998E-2</v>
      </c>
      <c r="AJ42" s="4">
        <v>0.10345799999999999</v>
      </c>
      <c r="AM42" s="4">
        <v>2.6927080000000001</v>
      </c>
      <c r="AN42" s="4">
        <v>2.3917820000000001</v>
      </c>
      <c r="AO42" s="4">
        <v>2.9444849999999998</v>
      </c>
      <c r="AP42" s="4">
        <v>2.3629020000000001</v>
      </c>
      <c r="AQ42" s="4">
        <v>3.5680269999999998</v>
      </c>
      <c r="AR42" s="4">
        <v>3.1768709999999998</v>
      </c>
      <c r="AU42" s="137" t="s">
        <v>945</v>
      </c>
      <c r="AV42" s="137" t="s">
        <v>946</v>
      </c>
      <c r="AW42" s="4">
        <v>12.95477</v>
      </c>
      <c r="AX42" s="4">
        <v>14.828760000000001</v>
      </c>
      <c r="AY42" s="4">
        <v>10.523809999999999</v>
      </c>
      <c r="AZ42" s="4">
        <v>12.1593</v>
      </c>
      <c r="BC42" s="4">
        <v>22.990739999999999</v>
      </c>
      <c r="BD42" s="4">
        <v>23.560759999999998</v>
      </c>
      <c r="BE42" s="4">
        <v>22.92099</v>
      </c>
      <c r="BF42" s="4">
        <v>23.202970000000001</v>
      </c>
      <c r="BG42" s="4">
        <v>7.9699549999999997</v>
      </c>
      <c r="BH42" s="4">
        <v>6.4988659999999996</v>
      </c>
      <c r="BK42" s="4">
        <v>29.73264</v>
      </c>
      <c r="BL42" s="4">
        <v>29.914929999999998</v>
      </c>
      <c r="BM42" s="4">
        <v>28.137609999999999</v>
      </c>
      <c r="BN42" s="4">
        <v>26.95682</v>
      </c>
      <c r="BO42" s="4">
        <v>33.429139999999997</v>
      </c>
      <c r="BP42" s="4">
        <v>33.531179999999999</v>
      </c>
    </row>
    <row r="43" spans="1:68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4">
        <v>500</v>
      </c>
      <c r="W43" s="4">
        <v>1.1573999999999999E-2</v>
      </c>
      <c r="X43" s="137" t="s">
        <v>855</v>
      </c>
      <c r="Y43" s="4">
        <v>2.7899999999999999E-3</v>
      </c>
      <c r="Z43" s="4">
        <v>2.7899999999999999E-3</v>
      </c>
      <c r="AA43" s="4">
        <v>7.0860000000000003E-3</v>
      </c>
      <c r="AB43" s="211" t="s">
        <v>3466</v>
      </c>
      <c r="AE43" s="4">
        <v>0.59201400000000004</v>
      </c>
      <c r="AF43" s="4">
        <v>0.59490699999999996</v>
      </c>
      <c r="AG43" s="4">
        <v>1.220297</v>
      </c>
      <c r="AH43" s="4">
        <v>0.78264100000000003</v>
      </c>
      <c r="AI43" s="4">
        <v>0.58049899999999999</v>
      </c>
      <c r="AJ43" s="4">
        <v>0.55782299999999996</v>
      </c>
      <c r="AM43" s="4">
        <v>7.4322920000000003</v>
      </c>
      <c r="AN43" s="4">
        <v>6.7320599999999997</v>
      </c>
      <c r="AO43" s="4">
        <v>8.0318699999999996</v>
      </c>
      <c r="AP43" s="4">
        <v>7.6676460000000004</v>
      </c>
      <c r="AQ43" s="4">
        <v>8.5311789999999998</v>
      </c>
      <c r="AR43" s="4">
        <v>7.9699549999999997</v>
      </c>
      <c r="AU43" s="4">
        <v>18.55208</v>
      </c>
      <c r="AV43" s="4">
        <v>19.365159999999999</v>
      </c>
      <c r="AW43" s="4">
        <v>20.339110000000002</v>
      </c>
      <c r="AX43" s="4">
        <v>22.571449999999999</v>
      </c>
      <c r="AY43" s="4">
        <v>8.5056689999999993</v>
      </c>
      <c r="AZ43" s="4">
        <v>8.7465989999999998</v>
      </c>
      <c r="BC43" s="4">
        <v>27.374420000000001</v>
      </c>
      <c r="BD43" s="4">
        <v>27.45833</v>
      </c>
      <c r="BE43" s="4">
        <v>29.36834</v>
      </c>
      <c r="BF43" s="4">
        <v>31.030840000000001</v>
      </c>
      <c r="BG43" s="4">
        <v>18.630389999999998</v>
      </c>
      <c r="BH43" s="4">
        <v>15.787409999999999</v>
      </c>
      <c r="BK43" s="4">
        <v>32.689810000000001</v>
      </c>
      <c r="BL43" s="4">
        <v>32.78819</v>
      </c>
      <c r="BM43" s="4">
        <v>33.189749999999997</v>
      </c>
      <c r="BN43" s="4">
        <v>33.90645</v>
      </c>
      <c r="BO43" s="4">
        <v>38.947850000000003</v>
      </c>
      <c r="BP43" s="4">
        <v>40.033450000000002</v>
      </c>
    </row>
    <row r="44" spans="1:68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4">
        <v>1000</v>
      </c>
      <c r="W44" s="4">
        <v>3.4719999999999998E-3</v>
      </c>
      <c r="X44" s="137" t="s">
        <v>921</v>
      </c>
      <c r="Y44" s="4">
        <v>5.4339999999999996E-3</v>
      </c>
      <c r="Z44" s="4">
        <v>1.616E-3</v>
      </c>
      <c r="AA44" s="4">
        <v>1.6722999999999998E-2</v>
      </c>
      <c r="AB44" s="4">
        <v>1.0204E-2</v>
      </c>
      <c r="AE44" s="4">
        <v>0.86400500000000002</v>
      </c>
      <c r="AF44" s="4">
        <v>0.93344899999999997</v>
      </c>
      <c r="AG44" s="4">
        <v>1.4464680000000001</v>
      </c>
      <c r="AH44" s="4">
        <v>1.3671610000000001</v>
      </c>
      <c r="AI44" s="4">
        <v>0.83276600000000001</v>
      </c>
      <c r="AJ44" s="4">
        <v>0.79308400000000001</v>
      </c>
      <c r="AM44" s="4">
        <v>8.9224540000000001</v>
      </c>
      <c r="AN44" s="4">
        <v>8.1064810000000005</v>
      </c>
      <c r="AO44" s="4">
        <v>9.4623290000000004</v>
      </c>
      <c r="AP44" s="4">
        <v>8.9512409999999996</v>
      </c>
      <c r="AQ44" s="4">
        <v>9.1887760000000007</v>
      </c>
      <c r="AR44" s="4">
        <v>9.0753970000000006</v>
      </c>
      <c r="AU44" s="4">
        <v>21.167819999999999</v>
      </c>
      <c r="AV44" s="4">
        <v>22.299189999999999</v>
      </c>
      <c r="AW44" s="4">
        <v>21.690259999999999</v>
      </c>
      <c r="AX44" s="4">
        <v>23.343959999999999</v>
      </c>
      <c r="AY44" s="4">
        <v>14.00737</v>
      </c>
      <c r="AZ44" s="4">
        <v>18.976189999999999</v>
      </c>
      <c r="BC44" s="4">
        <v>29.550350000000002</v>
      </c>
      <c r="BD44" s="4">
        <v>31.512149999999998</v>
      </c>
      <c r="BE44" s="4">
        <v>29.101040000000001</v>
      </c>
      <c r="BF44" s="4">
        <v>30.187840000000001</v>
      </c>
      <c r="BG44" s="4">
        <v>18.746600000000001</v>
      </c>
      <c r="BH44" s="4">
        <v>18.630389999999998</v>
      </c>
      <c r="BK44" s="4">
        <v>30.751159999999999</v>
      </c>
      <c r="BL44" s="4">
        <v>30.282409999999999</v>
      </c>
      <c r="BM44" s="4">
        <v>32.584670000000003</v>
      </c>
      <c r="BN44" s="4">
        <v>32.887210000000003</v>
      </c>
      <c r="BO44" s="4">
        <v>36.527209999999997</v>
      </c>
      <c r="BP44" s="4">
        <v>36.751130000000003</v>
      </c>
    </row>
    <row r="45" spans="1:68" ht="16.5">
      <c r="A45" s="112" t="s">
        <v>1702</v>
      </c>
      <c r="B45" s="244" t="s">
        <v>2107</v>
      </c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63" t="s">
        <v>1914</v>
      </c>
      <c r="U45" s="263" t="s">
        <v>1914</v>
      </c>
      <c r="V45" s="263" t="s">
        <v>1914</v>
      </c>
      <c r="W45" s="263" t="s">
        <v>1914</v>
      </c>
      <c r="X45" s="263" t="s">
        <v>1914</v>
      </c>
      <c r="Y45" s="263" t="s">
        <v>1914</v>
      </c>
      <c r="Z45" s="263" t="s">
        <v>1914</v>
      </c>
      <c r="AA45" s="263" t="s">
        <v>1914</v>
      </c>
      <c r="AB45" s="263" t="s">
        <v>1914</v>
      </c>
      <c r="AC45" s="263" t="s">
        <v>1914</v>
      </c>
      <c r="AD45" s="263" t="s">
        <v>1914</v>
      </c>
      <c r="AE45" s="263" t="s">
        <v>1914</v>
      </c>
      <c r="AF45" s="263" t="s">
        <v>1914</v>
      </c>
      <c r="AG45" s="263" t="s">
        <v>1914</v>
      </c>
      <c r="AH45" s="263" t="s">
        <v>1914</v>
      </c>
      <c r="AI45" s="263" t="s">
        <v>1914</v>
      </c>
      <c r="AJ45" s="263" t="s">
        <v>1914</v>
      </c>
      <c r="AK45" s="263" t="s">
        <v>1914</v>
      </c>
      <c r="AL45" s="263" t="s">
        <v>1914</v>
      </c>
      <c r="AM45" s="263" t="s">
        <v>1914</v>
      </c>
      <c r="AN45" s="263" t="s">
        <v>1914</v>
      </c>
      <c r="AO45" s="263" t="s">
        <v>1914</v>
      </c>
      <c r="AP45" s="263" t="s">
        <v>1914</v>
      </c>
      <c r="AQ45" s="263" t="s">
        <v>1914</v>
      </c>
      <c r="AR45" s="263" t="s">
        <v>1914</v>
      </c>
      <c r="AS45" s="263" t="s">
        <v>1914</v>
      </c>
      <c r="AT45" s="263" t="s">
        <v>1914</v>
      </c>
      <c r="AU45" s="263" t="s">
        <v>1914</v>
      </c>
      <c r="AV45" s="263" t="s">
        <v>1914</v>
      </c>
      <c r="AW45" s="263" t="s">
        <v>1914</v>
      </c>
      <c r="AX45" s="263" t="s">
        <v>1914</v>
      </c>
      <c r="AY45" s="263" t="s">
        <v>1914</v>
      </c>
      <c r="AZ45" s="263" t="s">
        <v>1914</v>
      </c>
      <c r="BA45" s="263" t="s">
        <v>1914</v>
      </c>
      <c r="BB45" s="263" t="s">
        <v>1914</v>
      </c>
      <c r="BC45" s="263" t="s">
        <v>1914</v>
      </c>
      <c r="BD45" s="263" t="s">
        <v>1914</v>
      </c>
      <c r="BE45" s="263" t="s">
        <v>1914</v>
      </c>
      <c r="BF45" s="263" t="s">
        <v>1914</v>
      </c>
      <c r="BG45" s="263" t="s">
        <v>1914</v>
      </c>
      <c r="BH45" s="263" t="s">
        <v>1914</v>
      </c>
      <c r="BI45" s="263" t="s">
        <v>1914</v>
      </c>
      <c r="BJ45" s="263" t="s">
        <v>1914</v>
      </c>
      <c r="BK45" s="263" t="s">
        <v>1914</v>
      </c>
      <c r="BL45" s="263" t="s">
        <v>1914</v>
      </c>
      <c r="BM45" s="263" t="s">
        <v>1914</v>
      </c>
      <c r="BN45" s="263" t="s">
        <v>1914</v>
      </c>
      <c r="BO45" s="263" t="s">
        <v>1914</v>
      </c>
      <c r="BP45" s="263" t="s">
        <v>1914</v>
      </c>
    </row>
    <row r="46" spans="1:68" ht="15">
      <c r="A46" s="6" t="s">
        <v>1698</v>
      </c>
      <c r="B46" s="258">
        <v>0</v>
      </c>
      <c r="C46" s="258"/>
      <c r="D46" s="258"/>
      <c r="E46" s="258"/>
      <c r="F46" s="258"/>
      <c r="G46" s="258"/>
      <c r="H46" s="259">
        <v>100</v>
      </c>
      <c r="I46" s="259"/>
      <c r="J46" s="259"/>
      <c r="K46" s="259"/>
      <c r="L46" s="259"/>
      <c r="M46" s="259"/>
      <c r="N46" s="260">
        <v>1000</v>
      </c>
      <c r="O46" s="260"/>
      <c r="P46" s="260"/>
      <c r="Q46" s="260"/>
      <c r="R46" s="260"/>
      <c r="S46" s="260"/>
      <c r="T46" s="138" t="s">
        <v>2088</v>
      </c>
      <c r="U46" s="266">
        <v>7.1199999999999996E-4</v>
      </c>
      <c r="V46" s="265"/>
      <c r="W46" s="265"/>
      <c r="X46" s="265"/>
      <c r="Y46" s="265"/>
      <c r="Z46" s="265"/>
      <c r="AA46" s="265"/>
      <c r="AB46" s="265"/>
      <c r="AC46" s="266">
        <v>0.15089174999999999</v>
      </c>
      <c r="AD46" s="265"/>
      <c r="AE46" s="265"/>
      <c r="AF46" s="265"/>
      <c r="AG46" s="265"/>
      <c r="AH46" s="265"/>
      <c r="AI46" s="265"/>
      <c r="AJ46" s="265"/>
      <c r="AK46" s="266">
        <v>0.48899999999999999</v>
      </c>
      <c r="AL46" s="265"/>
      <c r="AM46" s="265"/>
      <c r="AN46" s="265"/>
      <c r="AO46" s="265"/>
      <c r="AP46" s="265"/>
      <c r="AQ46" s="265"/>
      <c r="AR46" s="265"/>
      <c r="AS46" s="266">
        <v>1.78</v>
      </c>
      <c r="AT46" s="265"/>
      <c r="AU46" s="265"/>
      <c r="AV46" s="265"/>
      <c r="AW46" s="265"/>
      <c r="AX46" s="265"/>
      <c r="AY46" s="265"/>
      <c r="AZ46" s="265"/>
      <c r="BA46" s="266">
        <v>4.67</v>
      </c>
      <c r="BB46" s="265"/>
      <c r="BC46" s="265"/>
      <c r="BD46" s="265"/>
      <c r="BE46" s="265"/>
      <c r="BF46" s="265"/>
      <c r="BG46" s="265"/>
      <c r="BH46" s="265"/>
      <c r="BI46" s="266">
        <v>8.15</v>
      </c>
      <c r="BJ46" s="265"/>
      <c r="BK46" s="265"/>
      <c r="BL46" s="265"/>
      <c r="BM46" s="265"/>
      <c r="BN46" s="265"/>
      <c r="BO46" s="265"/>
      <c r="BP46" s="265"/>
    </row>
    <row r="47" spans="1:68" ht="16.5" customHeight="1">
      <c r="A47" s="6">
        <v>0</v>
      </c>
      <c r="B47" s="120" t="s">
        <v>923</v>
      </c>
      <c r="C47" s="120" t="s">
        <v>940</v>
      </c>
      <c r="D47" s="120" t="s">
        <v>948</v>
      </c>
      <c r="E47" s="120" t="s">
        <v>949</v>
      </c>
      <c r="F47" s="7">
        <v>3.4009999999999999E-3</v>
      </c>
      <c r="G47" s="7">
        <v>5.9519999999999998E-3</v>
      </c>
      <c r="H47" s="120" t="s">
        <v>890</v>
      </c>
      <c r="I47" s="120" t="s">
        <v>931</v>
      </c>
      <c r="J47" s="7">
        <v>1.3952000000000001E-2</v>
      </c>
      <c r="K47" s="120" t="s">
        <v>955</v>
      </c>
      <c r="L47" s="7">
        <v>1.7573999999999999E-2</v>
      </c>
      <c r="M47" s="7">
        <v>1.4739E-2</v>
      </c>
      <c r="N47" s="120" t="s">
        <v>943</v>
      </c>
      <c r="O47" s="120" t="s">
        <v>951</v>
      </c>
      <c r="P47" s="7">
        <v>8.9589999999999999E-3</v>
      </c>
      <c r="Q47" s="120" t="s">
        <v>918</v>
      </c>
      <c r="R47" s="7">
        <v>1.7573999999999999E-2</v>
      </c>
      <c r="S47" s="7">
        <v>1.6156E-2</v>
      </c>
      <c r="T47" s="139" t="s">
        <v>1915</v>
      </c>
      <c r="U47" s="262"/>
      <c r="V47" s="262"/>
      <c r="W47" s="262" t="s">
        <v>1917</v>
      </c>
      <c r="X47" s="262" t="s">
        <v>1893</v>
      </c>
      <c r="Y47" s="262" t="s">
        <v>1919</v>
      </c>
      <c r="Z47" s="262" t="s">
        <v>1894</v>
      </c>
      <c r="AA47" s="262" t="s">
        <v>1921</v>
      </c>
      <c r="AB47" s="262" t="s">
        <v>1895</v>
      </c>
      <c r="AC47" s="262"/>
      <c r="AD47" s="262"/>
      <c r="AE47" s="262" t="s">
        <v>1922</v>
      </c>
      <c r="AF47" s="262" t="s">
        <v>1896</v>
      </c>
      <c r="AG47" s="262" t="s">
        <v>1924</v>
      </c>
      <c r="AH47" s="262" t="s">
        <v>1897</v>
      </c>
      <c r="AI47" s="262" t="s">
        <v>1926</v>
      </c>
      <c r="AJ47" s="262" t="s">
        <v>1898</v>
      </c>
      <c r="AK47" s="262"/>
      <c r="AL47" s="262"/>
      <c r="AM47" s="262" t="s">
        <v>1927</v>
      </c>
      <c r="AN47" s="262" t="s">
        <v>1899</v>
      </c>
      <c r="AO47" s="262" t="s">
        <v>1929</v>
      </c>
      <c r="AP47" s="262" t="s">
        <v>1900</v>
      </c>
      <c r="AQ47" s="262" t="s">
        <v>1931</v>
      </c>
      <c r="AR47" s="262" t="s">
        <v>1901</v>
      </c>
      <c r="AS47" s="262"/>
      <c r="AT47" s="262"/>
      <c r="AU47" s="262" t="s">
        <v>1932</v>
      </c>
      <c r="AV47" s="262" t="s">
        <v>1902</v>
      </c>
      <c r="AW47" s="262" t="s">
        <v>1934</v>
      </c>
      <c r="AX47" s="262" t="s">
        <v>1903</v>
      </c>
      <c r="AY47" s="262" t="s">
        <v>1936</v>
      </c>
      <c r="AZ47" s="262" t="s">
        <v>1904</v>
      </c>
      <c r="BA47" s="262"/>
      <c r="BB47" s="262"/>
      <c r="BC47" s="262" t="s">
        <v>1937</v>
      </c>
      <c r="BD47" s="262" t="s">
        <v>1905</v>
      </c>
      <c r="BE47" s="262" t="s">
        <v>1939</v>
      </c>
      <c r="BF47" s="262" t="s">
        <v>1906</v>
      </c>
      <c r="BG47" s="262" t="s">
        <v>1941</v>
      </c>
      <c r="BH47" s="262" t="s">
        <v>1907</v>
      </c>
      <c r="BI47" s="262"/>
      <c r="BJ47" s="262"/>
      <c r="BK47" s="262" t="s">
        <v>1942</v>
      </c>
      <c r="BL47" s="262" t="s">
        <v>1908</v>
      </c>
      <c r="BM47" s="262" t="s">
        <v>1944</v>
      </c>
      <c r="BN47" s="262" t="s">
        <v>1909</v>
      </c>
      <c r="BO47" s="262" t="s">
        <v>1946</v>
      </c>
      <c r="BP47" s="262" t="s">
        <v>1910</v>
      </c>
    </row>
    <row r="48" spans="1:68">
      <c r="A48" s="6">
        <v>0.15</v>
      </c>
      <c r="B48" s="120" t="s">
        <v>932</v>
      </c>
      <c r="C48" s="7">
        <v>4.3400000000000001E-3</v>
      </c>
      <c r="D48" s="7">
        <v>4.8469999999999997E-3</v>
      </c>
      <c r="E48" s="7">
        <v>5.4339999999999996E-3</v>
      </c>
      <c r="F48" s="7">
        <v>1.1338000000000001E-2</v>
      </c>
      <c r="G48" s="120" t="s">
        <v>950</v>
      </c>
      <c r="H48" s="7">
        <v>1.0462959999999999</v>
      </c>
      <c r="I48" s="7">
        <v>1.240162</v>
      </c>
      <c r="J48" s="7">
        <v>1.1292409999999999</v>
      </c>
      <c r="K48" s="7">
        <v>1.3201639999999999</v>
      </c>
      <c r="L48" s="7">
        <v>0.75056699999999998</v>
      </c>
      <c r="M48" s="7">
        <v>0.93480700000000005</v>
      </c>
      <c r="N48" s="7">
        <v>3.7430560000000002</v>
      </c>
      <c r="O48" s="7">
        <v>4.4606479999999999</v>
      </c>
      <c r="P48" s="7">
        <v>5.0563960000000003</v>
      </c>
      <c r="Q48" s="7">
        <v>5.3824350000000001</v>
      </c>
      <c r="R48" s="7">
        <v>3.556689</v>
      </c>
      <c r="S48" s="7">
        <v>3.9336730000000002</v>
      </c>
      <c r="T48" s="4">
        <v>0</v>
      </c>
      <c r="W48" s="137" t="s">
        <v>923</v>
      </c>
      <c r="X48" s="137" t="s">
        <v>940</v>
      </c>
      <c r="Y48" s="211" t="s">
        <v>3489</v>
      </c>
      <c r="Z48" s="211" t="s">
        <v>3491</v>
      </c>
      <c r="AA48" s="4">
        <v>3.4009999999999999E-3</v>
      </c>
      <c r="AB48" s="4">
        <v>5.9519999999999998E-3</v>
      </c>
      <c r="AE48" s="137" t="s">
        <v>932</v>
      </c>
      <c r="AF48" s="4">
        <v>4.3400000000000001E-3</v>
      </c>
      <c r="AG48" s="4">
        <v>4.8469999999999997E-3</v>
      </c>
      <c r="AH48" s="4">
        <v>5.4339999999999996E-3</v>
      </c>
      <c r="AI48" s="4">
        <v>1.1338000000000001E-2</v>
      </c>
      <c r="AJ48" s="137" t="s">
        <v>3498</v>
      </c>
      <c r="AM48" s="4">
        <v>8.6809999999999995E-3</v>
      </c>
      <c r="AN48" s="4">
        <v>1.2153000000000001E-2</v>
      </c>
      <c r="AO48" s="4">
        <v>1.6889000000000001E-2</v>
      </c>
      <c r="AP48" s="4">
        <v>2.247E-2</v>
      </c>
      <c r="AQ48" s="4">
        <v>2.9194999999999999E-2</v>
      </c>
      <c r="AR48" s="4">
        <v>2.4943E-2</v>
      </c>
      <c r="AU48" s="4">
        <v>0.12528900000000001</v>
      </c>
      <c r="AV48" s="4">
        <v>0.146701</v>
      </c>
      <c r="AW48" s="4">
        <v>0.127919</v>
      </c>
      <c r="AX48" s="4">
        <v>0.13261899999999999</v>
      </c>
      <c r="AY48" s="4">
        <v>0.10544199999999999</v>
      </c>
      <c r="AZ48" s="4">
        <v>0.15249399999999999</v>
      </c>
      <c r="BC48" s="4">
        <v>1.9780089999999999</v>
      </c>
      <c r="BD48" s="4">
        <v>1.9577549999999999</v>
      </c>
      <c r="BE48" s="4">
        <v>1.9546190000000001</v>
      </c>
      <c r="BF48" s="4">
        <v>2.0192389999999998</v>
      </c>
      <c r="BG48" s="4">
        <v>0.61167800000000006</v>
      </c>
      <c r="BH48" s="4">
        <v>0.43027199999999999</v>
      </c>
      <c r="BK48" s="4">
        <v>9.0034720000000004</v>
      </c>
      <c r="BL48" s="4">
        <v>8.1817130000000002</v>
      </c>
      <c r="BM48" s="4">
        <v>6.4457339999999999</v>
      </c>
      <c r="BN48" s="4">
        <v>6.9656339999999997</v>
      </c>
      <c r="BO48" s="4">
        <v>7.286848</v>
      </c>
      <c r="BP48" s="4">
        <v>7.5873020000000002</v>
      </c>
    </row>
    <row r="49" spans="1:68">
      <c r="A49" s="6">
        <v>0.49</v>
      </c>
      <c r="B49" s="7">
        <v>8.6809999999999995E-3</v>
      </c>
      <c r="C49" s="7">
        <v>1.2153000000000001E-2</v>
      </c>
      <c r="D49" s="7">
        <v>1.6889000000000001E-2</v>
      </c>
      <c r="E49" s="7">
        <v>2.247E-2</v>
      </c>
      <c r="F49" s="7">
        <v>2.9194999999999999E-2</v>
      </c>
      <c r="G49" s="7">
        <v>2.4943E-2</v>
      </c>
      <c r="H49" s="7">
        <v>5.6035880000000002</v>
      </c>
      <c r="I49" s="7">
        <v>5.7280090000000001</v>
      </c>
      <c r="J49" s="7">
        <v>5.3325009999999997</v>
      </c>
      <c r="K49" s="7">
        <v>5.676164</v>
      </c>
      <c r="L49" s="7">
        <v>5.9206349999999999</v>
      </c>
      <c r="M49" s="7">
        <v>5.4614510000000003</v>
      </c>
      <c r="N49" s="7">
        <v>11.41667</v>
      </c>
      <c r="O49" s="7">
        <v>11.17361</v>
      </c>
      <c r="P49" s="7">
        <v>11.31282</v>
      </c>
      <c r="Q49" s="7">
        <v>11.00441</v>
      </c>
      <c r="R49" s="7">
        <v>11.328799999999999</v>
      </c>
      <c r="S49" s="7">
        <v>10.9178</v>
      </c>
      <c r="T49" s="4">
        <v>0.1</v>
      </c>
      <c r="W49" s="137" t="s">
        <v>849</v>
      </c>
      <c r="X49" s="137" t="s">
        <v>886</v>
      </c>
      <c r="Y49" s="211" t="s">
        <v>3490</v>
      </c>
      <c r="Z49" s="211" t="s">
        <v>3492</v>
      </c>
      <c r="AA49" s="4">
        <v>1.2755000000000001E-2</v>
      </c>
      <c r="AB49" s="211" t="s">
        <v>3494</v>
      </c>
      <c r="AE49" s="137" t="s">
        <v>867</v>
      </c>
      <c r="AF49" s="137" t="s">
        <v>951</v>
      </c>
      <c r="AG49" s="137" t="s">
        <v>3496</v>
      </c>
      <c r="AH49" s="4">
        <v>4.8469999999999997E-3</v>
      </c>
      <c r="AI49" s="4">
        <v>1.5306E-2</v>
      </c>
      <c r="AJ49" s="4">
        <v>1.2472E-2</v>
      </c>
      <c r="AM49" s="4">
        <v>1.3021E-2</v>
      </c>
      <c r="AN49" s="137" t="s">
        <v>3499</v>
      </c>
      <c r="AO49" s="211" t="s">
        <v>3486</v>
      </c>
      <c r="AP49" s="211" t="s">
        <v>3439</v>
      </c>
      <c r="AQ49" s="4">
        <v>2.4093E-2</v>
      </c>
      <c r="AR49" s="4">
        <v>2.8344999999999999E-2</v>
      </c>
      <c r="AU49" s="4">
        <v>0.15856500000000001</v>
      </c>
      <c r="AV49" s="4">
        <v>0.150174</v>
      </c>
      <c r="AW49" s="4">
        <v>7.0347999999999994E-2</v>
      </c>
      <c r="AX49" s="4">
        <v>7.0935999999999999E-2</v>
      </c>
      <c r="AY49" s="4">
        <v>9.3536999999999995E-2</v>
      </c>
      <c r="AZ49" s="4">
        <v>0.134354</v>
      </c>
      <c r="BC49" s="4">
        <v>2.3020830000000001</v>
      </c>
      <c r="BD49" s="4">
        <v>2.171875</v>
      </c>
      <c r="BE49" s="4">
        <v>1.704949</v>
      </c>
      <c r="BF49" s="4">
        <v>1.8635630000000001</v>
      </c>
      <c r="BG49" s="4">
        <v>1.303288</v>
      </c>
      <c r="BH49" s="4">
        <v>1.0141720000000001</v>
      </c>
      <c r="BK49" s="4">
        <v>9.0613430000000008</v>
      </c>
      <c r="BL49" s="4">
        <v>8.8935189999999995</v>
      </c>
      <c r="BM49" s="4">
        <v>7.503158</v>
      </c>
      <c r="BN49" s="4">
        <v>6.6307830000000001</v>
      </c>
      <c r="BO49" s="4">
        <v>7.5873020000000002</v>
      </c>
      <c r="BP49" s="4">
        <v>7.4002270000000001</v>
      </c>
    </row>
    <row r="50" spans="1:68">
      <c r="A50" s="6">
        <v>1.78</v>
      </c>
      <c r="B50" s="7">
        <v>0.12528900000000001</v>
      </c>
      <c r="C50" s="7">
        <v>0.146701</v>
      </c>
      <c r="D50" s="7">
        <v>0.127919</v>
      </c>
      <c r="E50" s="7">
        <v>0.13261899999999999</v>
      </c>
      <c r="F50" s="7">
        <v>0.10544199999999999</v>
      </c>
      <c r="G50" s="7">
        <v>0.15249399999999999</v>
      </c>
      <c r="H50" s="7">
        <v>13.48264</v>
      </c>
      <c r="I50" s="7">
        <v>14.292820000000001</v>
      </c>
      <c r="J50" s="7">
        <v>13.07226</v>
      </c>
      <c r="K50" s="7">
        <v>13.565720000000001</v>
      </c>
      <c r="L50" s="7">
        <v>11.189909999999999</v>
      </c>
      <c r="M50" s="7">
        <v>11.82766</v>
      </c>
      <c r="N50" s="7">
        <v>19.130790000000001</v>
      </c>
      <c r="O50" s="7">
        <v>20.34028</v>
      </c>
      <c r="P50" s="7">
        <v>20.527100000000001</v>
      </c>
      <c r="Q50" s="7">
        <v>19.546040000000001</v>
      </c>
      <c r="R50" s="7">
        <v>18.630389999999998</v>
      </c>
      <c r="S50" s="7">
        <v>19.270980000000002</v>
      </c>
      <c r="T50" s="4">
        <v>1</v>
      </c>
      <c r="W50" s="137" t="s">
        <v>843</v>
      </c>
      <c r="X50" s="137" t="s">
        <v>919</v>
      </c>
      <c r="Y50" s="4">
        <v>2.7899999999999999E-3</v>
      </c>
      <c r="Z50" s="211" t="s">
        <v>3493</v>
      </c>
      <c r="AA50" s="4">
        <v>9.6369999999999997E-3</v>
      </c>
      <c r="AB50" s="211" t="s">
        <v>3495</v>
      </c>
      <c r="AE50" s="4">
        <v>5.7899999999999998E-4</v>
      </c>
      <c r="AF50" s="137" t="s">
        <v>886</v>
      </c>
      <c r="AG50" s="137" t="s">
        <v>3497</v>
      </c>
      <c r="AH50" s="4">
        <v>1.9532999999999998E-2</v>
      </c>
      <c r="AI50" s="4">
        <v>2.0975000000000001E-2</v>
      </c>
      <c r="AJ50" s="4">
        <v>1.6722999999999998E-2</v>
      </c>
      <c r="AM50" s="4">
        <v>2.0833000000000001E-2</v>
      </c>
      <c r="AN50" s="4">
        <v>2.1122999999999999E-2</v>
      </c>
      <c r="AO50" s="137" t="s">
        <v>3487</v>
      </c>
      <c r="AP50" s="137" t="s">
        <v>3488</v>
      </c>
      <c r="AQ50" s="4">
        <v>3.6565E-2</v>
      </c>
      <c r="AR50" s="4">
        <v>3.3730000000000003E-2</v>
      </c>
      <c r="AU50" s="137" t="s">
        <v>952</v>
      </c>
      <c r="AV50" s="137" t="s">
        <v>953</v>
      </c>
      <c r="AW50" s="4">
        <v>0.164635</v>
      </c>
      <c r="AX50" s="4">
        <v>7.7690999999999996E-2</v>
      </c>
      <c r="AY50" s="4">
        <v>5.8957000000000002E-2</v>
      </c>
      <c r="AZ50" s="4">
        <v>9.1837000000000002E-2</v>
      </c>
      <c r="BC50" s="4">
        <v>3.3090280000000001</v>
      </c>
      <c r="BD50" s="4">
        <v>3.2251159999999999</v>
      </c>
      <c r="BE50" s="4">
        <v>2.4568949999999998</v>
      </c>
      <c r="BF50" s="4">
        <v>2.66838</v>
      </c>
      <c r="BG50" s="4">
        <v>1.8815189999999999</v>
      </c>
      <c r="BH50" s="4">
        <v>1.445011</v>
      </c>
      <c r="BK50" s="4">
        <v>10.377890000000001</v>
      </c>
      <c r="BL50" s="4">
        <v>9.8483800000000006</v>
      </c>
      <c r="BM50" s="4">
        <v>8.7603170000000006</v>
      </c>
      <c r="BN50" s="4">
        <v>9.5798210000000008</v>
      </c>
      <c r="BO50" s="4">
        <v>8.9365079999999999</v>
      </c>
      <c r="BP50" s="4">
        <v>9.5629249999999999</v>
      </c>
    </row>
    <row r="51" spans="1:68">
      <c r="A51" s="6">
        <v>4.67</v>
      </c>
      <c r="B51" s="7">
        <v>1.9780089999999999</v>
      </c>
      <c r="C51" s="7">
        <v>1.9577549999999999</v>
      </c>
      <c r="D51" s="7">
        <v>1.9546190000000001</v>
      </c>
      <c r="E51" s="7">
        <v>2.0192389999999998</v>
      </c>
      <c r="F51" s="7">
        <v>0.61167800000000006</v>
      </c>
      <c r="G51" s="7">
        <v>0.43027199999999999</v>
      </c>
      <c r="H51" s="7">
        <v>20.592009999999998</v>
      </c>
      <c r="I51" s="7">
        <v>21.298030000000001</v>
      </c>
      <c r="J51" s="7">
        <v>21.164490000000001</v>
      </c>
      <c r="K51" s="7">
        <v>19.425609999999999</v>
      </c>
      <c r="L51" s="7">
        <v>15.835599999999999</v>
      </c>
      <c r="M51" s="7">
        <v>11.90136</v>
      </c>
      <c r="N51" s="7">
        <v>22.712959999999999</v>
      </c>
      <c r="O51" s="7">
        <v>24.897570000000002</v>
      </c>
      <c r="P51" s="7">
        <v>25.279630000000001</v>
      </c>
      <c r="Q51" s="7">
        <v>23.631810000000002</v>
      </c>
      <c r="R51" s="7">
        <v>15.691039999999999</v>
      </c>
      <c r="S51" s="7">
        <v>14.89456</v>
      </c>
      <c r="T51" s="4">
        <v>10</v>
      </c>
      <c r="W51" s="137" t="s">
        <v>866</v>
      </c>
      <c r="X51" s="137" t="s">
        <v>951</v>
      </c>
      <c r="Y51" s="4">
        <v>7.7840000000000001E-3</v>
      </c>
      <c r="Z51" s="4">
        <v>7.7840000000000001E-3</v>
      </c>
      <c r="AA51" s="4">
        <v>1.2472E-2</v>
      </c>
      <c r="AB51" s="211" t="s">
        <v>3427</v>
      </c>
      <c r="AE51" s="4">
        <v>3.1829000000000003E-2</v>
      </c>
      <c r="AF51" s="4">
        <v>3.9641000000000003E-2</v>
      </c>
      <c r="AG51" s="4">
        <v>4.2737999999999998E-2</v>
      </c>
      <c r="AH51" s="4">
        <v>7.0347999999999994E-2</v>
      </c>
      <c r="AI51" s="4">
        <v>4.9036000000000003E-2</v>
      </c>
      <c r="AJ51" s="4">
        <v>5.0736999999999997E-2</v>
      </c>
      <c r="AM51" s="4">
        <v>0.21585599999999999</v>
      </c>
      <c r="AN51" s="4">
        <v>0.23611099999999999</v>
      </c>
      <c r="AO51" s="4">
        <v>0.21574399999999999</v>
      </c>
      <c r="AP51" s="4">
        <v>0.30680000000000002</v>
      </c>
      <c r="AQ51" s="4">
        <v>0.21201800000000001</v>
      </c>
      <c r="AR51" s="4">
        <v>0.27154200000000001</v>
      </c>
      <c r="AU51" s="4">
        <v>2.7534719999999999</v>
      </c>
      <c r="AV51" s="4">
        <v>2.9618060000000002</v>
      </c>
      <c r="AW51" s="4">
        <v>3.8286090000000002</v>
      </c>
      <c r="AX51" s="4">
        <v>2.9738579999999999</v>
      </c>
      <c r="AY51" s="4">
        <v>1.0623579999999999</v>
      </c>
      <c r="AZ51" s="4">
        <v>1.3089569999999999</v>
      </c>
      <c r="BC51" s="4">
        <v>9.0873840000000001</v>
      </c>
      <c r="BD51" s="4">
        <v>9.1712959999999999</v>
      </c>
      <c r="BE51" s="4">
        <v>10.158469999999999</v>
      </c>
      <c r="BF51" s="4">
        <v>10.032159999999999</v>
      </c>
      <c r="BG51" s="4">
        <v>3.996032</v>
      </c>
      <c r="BH51" s="4">
        <v>3.2363949999999999</v>
      </c>
      <c r="BK51" s="4">
        <v>15.059609999999999</v>
      </c>
      <c r="BL51" s="4">
        <v>16.613430000000001</v>
      </c>
      <c r="BM51" s="4">
        <v>15.43384</v>
      </c>
      <c r="BN51" s="4">
        <v>17.61037</v>
      </c>
      <c r="BO51" s="4">
        <v>16.229590000000002</v>
      </c>
      <c r="BP51" s="4">
        <v>18.919499999999999</v>
      </c>
    </row>
    <row r="52" spans="1:68">
      <c r="A52" s="6">
        <v>8.15</v>
      </c>
      <c r="B52" s="7">
        <v>9.0034720000000004</v>
      </c>
      <c r="C52" s="7">
        <v>8.1817130000000002</v>
      </c>
      <c r="D52" s="7">
        <v>6.4457339999999999</v>
      </c>
      <c r="E52" s="7">
        <v>6.9656339999999997</v>
      </c>
      <c r="F52" s="7">
        <v>7.286848</v>
      </c>
      <c r="G52" s="7">
        <v>7.5873020000000002</v>
      </c>
      <c r="H52" s="7">
        <v>24.822340000000001</v>
      </c>
      <c r="I52" s="7">
        <v>24.518519999999999</v>
      </c>
      <c r="J52" s="7">
        <v>24.971209999999999</v>
      </c>
      <c r="K52" s="7">
        <v>26.386990000000001</v>
      </c>
      <c r="L52" s="7">
        <v>25.15249</v>
      </c>
      <c r="M52" s="7">
        <v>24.99943</v>
      </c>
      <c r="N52" s="120" t="s">
        <v>956</v>
      </c>
      <c r="O52" s="120" t="s">
        <v>957</v>
      </c>
      <c r="P52" s="120" t="s">
        <v>958</v>
      </c>
      <c r="Q52" s="120" t="s">
        <v>959</v>
      </c>
      <c r="R52" s="120" t="s">
        <v>960</v>
      </c>
      <c r="S52" s="120" t="s">
        <v>961</v>
      </c>
      <c r="T52" s="4">
        <v>50</v>
      </c>
      <c r="W52" s="137" t="s">
        <v>848</v>
      </c>
      <c r="X52" s="137" t="s">
        <v>954</v>
      </c>
      <c r="Y52" s="4">
        <v>9.8399999999999998E-3</v>
      </c>
      <c r="Z52" s="4">
        <v>3.0839999999999999E-3</v>
      </c>
      <c r="AA52" s="4">
        <v>1.1620999999999999E-2</v>
      </c>
      <c r="AB52" s="4">
        <v>1.8423999999999999E-2</v>
      </c>
      <c r="AE52" s="4">
        <v>0.26215300000000002</v>
      </c>
      <c r="AF52" s="4">
        <v>0.36631900000000001</v>
      </c>
      <c r="AG52" s="4">
        <v>0.38610699999999998</v>
      </c>
      <c r="AH52" s="4">
        <v>0.59759099999999998</v>
      </c>
      <c r="AI52" s="4">
        <v>0.23752799999999999</v>
      </c>
      <c r="AJ52" s="4">
        <v>0.37074800000000002</v>
      </c>
      <c r="AM52" s="4">
        <v>2.8692129999999998</v>
      </c>
      <c r="AN52" s="4">
        <v>2.9155090000000001</v>
      </c>
      <c r="AO52" s="4">
        <v>3.3322069999999999</v>
      </c>
      <c r="AP52" s="4">
        <v>3.684682</v>
      </c>
      <c r="AQ52" s="4">
        <v>3.6955779999999998</v>
      </c>
      <c r="AR52" s="4">
        <v>3.0861679999999998</v>
      </c>
      <c r="AU52" s="4">
        <v>9.6371529999999996</v>
      </c>
      <c r="AV52" s="4">
        <v>10.21875</v>
      </c>
      <c r="AW52" s="4">
        <v>11.418559999999999</v>
      </c>
      <c r="AX52" s="4">
        <v>11.73873</v>
      </c>
      <c r="AY52" s="4">
        <v>5.4444439999999998</v>
      </c>
      <c r="AZ52" s="4">
        <v>5.5124719999999998</v>
      </c>
      <c r="BC52" s="4">
        <v>16.714700000000001</v>
      </c>
      <c r="BD52" s="4">
        <v>18.103590000000001</v>
      </c>
      <c r="BE52" s="4">
        <v>18.271260000000002</v>
      </c>
      <c r="BF52" s="4">
        <v>16.97298</v>
      </c>
      <c r="BG52" s="4">
        <v>7.4002270000000001</v>
      </c>
      <c r="BH52" s="4">
        <v>8.9081630000000001</v>
      </c>
      <c r="BK52" s="4">
        <v>22.504629999999999</v>
      </c>
      <c r="BL52" s="4">
        <v>22.09375</v>
      </c>
      <c r="BM52" s="4">
        <v>22.433399999999999</v>
      </c>
      <c r="BN52" s="4">
        <v>23.85211</v>
      </c>
      <c r="BO52" s="4">
        <v>23.086169999999999</v>
      </c>
      <c r="BP52" s="4">
        <v>23.658729999999998</v>
      </c>
    </row>
    <row r="53" spans="1:68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4">
        <v>100</v>
      </c>
      <c r="W53" s="137" t="s">
        <v>890</v>
      </c>
      <c r="X53" s="137" t="s">
        <v>931</v>
      </c>
      <c r="Y53" s="4">
        <v>1.3952000000000001E-2</v>
      </c>
      <c r="Z53" s="4">
        <v>1.322E-3</v>
      </c>
      <c r="AA53" s="4">
        <v>1.7573999999999999E-2</v>
      </c>
      <c r="AB53" s="4">
        <v>1.4739E-2</v>
      </c>
      <c r="AE53" s="4">
        <v>1.0462959999999999</v>
      </c>
      <c r="AF53" s="4">
        <v>1.240162</v>
      </c>
      <c r="AG53" s="4">
        <v>1.1292409999999999</v>
      </c>
      <c r="AH53" s="4">
        <v>1.3201639999999999</v>
      </c>
      <c r="AI53" s="4">
        <v>0.75056699999999998</v>
      </c>
      <c r="AJ53" s="4">
        <v>0.93480700000000005</v>
      </c>
      <c r="AM53" s="4">
        <v>5.6035880000000002</v>
      </c>
      <c r="AN53" s="4">
        <v>5.7280090000000001</v>
      </c>
      <c r="AO53" s="4">
        <v>5.3325009999999997</v>
      </c>
      <c r="AP53" s="4">
        <v>5.676164</v>
      </c>
      <c r="AQ53" s="4">
        <v>5.9206349999999999</v>
      </c>
      <c r="AR53" s="4">
        <v>5.4614510000000003</v>
      </c>
      <c r="AU53" s="4">
        <v>13.48264</v>
      </c>
      <c r="AV53" s="4">
        <v>14.292820000000001</v>
      </c>
      <c r="AW53" s="4">
        <v>13.07226</v>
      </c>
      <c r="AX53" s="4">
        <v>13.565720000000001</v>
      </c>
      <c r="AY53" s="4">
        <v>11.189909999999999</v>
      </c>
      <c r="AZ53" s="4">
        <v>11.82766</v>
      </c>
      <c r="BC53" s="4">
        <v>20.592009999999998</v>
      </c>
      <c r="BD53" s="4">
        <v>21.298030000000001</v>
      </c>
      <c r="BE53" s="4">
        <v>21.164490000000001</v>
      </c>
      <c r="BF53" s="4">
        <v>19.425609999999999</v>
      </c>
      <c r="BG53" s="4">
        <v>15.835599999999999</v>
      </c>
      <c r="BH53" s="4">
        <v>11.90136</v>
      </c>
      <c r="BK53" s="4">
        <v>24.822340000000001</v>
      </c>
      <c r="BL53" s="4">
        <v>24.518519999999999</v>
      </c>
      <c r="BM53" s="4">
        <v>24.971209999999999</v>
      </c>
      <c r="BN53" s="4">
        <v>26.386990000000001</v>
      </c>
      <c r="BO53" s="4">
        <v>25.15249</v>
      </c>
      <c r="BP53" s="4">
        <v>24.99943</v>
      </c>
    </row>
    <row r="54" spans="1:68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4">
        <v>500</v>
      </c>
      <c r="W54" s="137" t="s">
        <v>874</v>
      </c>
      <c r="X54" s="137" t="s">
        <v>951</v>
      </c>
      <c r="Y54" s="4">
        <v>9.8399999999999998E-3</v>
      </c>
      <c r="Z54" s="4">
        <v>8.9589999999999999E-3</v>
      </c>
      <c r="AA54" s="4">
        <v>1.2755000000000001E-2</v>
      </c>
      <c r="AB54" s="4">
        <v>1.4172000000000001E-2</v>
      </c>
      <c r="AE54" s="4">
        <v>3.0572919999999999</v>
      </c>
      <c r="AF54" s="4">
        <v>3.6938659999999999</v>
      </c>
      <c r="AG54" s="4">
        <v>3.7786749999999998</v>
      </c>
      <c r="AH54" s="4">
        <v>4.1928330000000003</v>
      </c>
      <c r="AI54" s="4">
        <v>2.8622450000000002</v>
      </c>
      <c r="AJ54" s="4">
        <v>2.6780050000000002</v>
      </c>
      <c r="AM54" s="4">
        <v>10.12326</v>
      </c>
      <c r="AN54" s="4">
        <v>10.15509</v>
      </c>
      <c r="AO54" s="4">
        <v>10.12616</v>
      </c>
      <c r="AP54" s="4">
        <v>10.09385</v>
      </c>
      <c r="AQ54" s="4">
        <v>10.016439999999999</v>
      </c>
      <c r="AR54" s="4">
        <v>9.9229020000000006</v>
      </c>
      <c r="AU54" s="4">
        <v>18.667819999999999</v>
      </c>
      <c r="AV54" s="4">
        <v>18.38137</v>
      </c>
      <c r="AW54" s="4">
        <v>18.271260000000002</v>
      </c>
      <c r="AX54" s="4">
        <v>19.425609999999999</v>
      </c>
      <c r="AY54" s="4">
        <v>17.84807</v>
      </c>
      <c r="AZ54" s="4">
        <v>19.330500000000001</v>
      </c>
      <c r="BC54" s="4">
        <v>23.13252</v>
      </c>
      <c r="BD54" s="4">
        <v>22.712959999999999</v>
      </c>
      <c r="BE54" s="4">
        <v>24.818480000000001</v>
      </c>
      <c r="BF54" s="4">
        <v>23.487880000000001</v>
      </c>
      <c r="BG54" s="4">
        <v>13.919499999999999</v>
      </c>
      <c r="BH54" s="4">
        <v>13.54252</v>
      </c>
      <c r="BK54" s="4">
        <v>26.147570000000002</v>
      </c>
      <c r="BL54" s="4">
        <v>28.22512</v>
      </c>
      <c r="BM54" s="4">
        <v>31.124829999999999</v>
      </c>
      <c r="BN54" s="4">
        <v>27.793949999999999</v>
      </c>
      <c r="BO54" s="4">
        <v>29.670629999999999</v>
      </c>
      <c r="BP54" s="4">
        <v>28.602039999999999</v>
      </c>
    </row>
    <row r="55" spans="1:68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4">
        <v>1000</v>
      </c>
      <c r="W55" s="4">
        <v>4.6299999999999996E-3</v>
      </c>
      <c r="X55" s="137" t="s">
        <v>951</v>
      </c>
      <c r="Y55" s="4">
        <v>8.9589999999999999E-3</v>
      </c>
      <c r="Z55" s="4">
        <v>1.9090000000000001E-3</v>
      </c>
      <c r="AA55" s="4">
        <v>1.7573999999999999E-2</v>
      </c>
      <c r="AB55" s="4">
        <v>1.6156E-2</v>
      </c>
      <c r="AE55" s="4">
        <v>3.7430560000000002</v>
      </c>
      <c r="AF55" s="4">
        <v>4.4606479999999999</v>
      </c>
      <c r="AG55" s="4">
        <v>5.0563960000000003</v>
      </c>
      <c r="AH55" s="4">
        <v>5.3824350000000001</v>
      </c>
      <c r="AI55" s="4">
        <v>3.556689</v>
      </c>
      <c r="AJ55" s="4">
        <v>3.9336730000000002</v>
      </c>
      <c r="AM55" s="4">
        <v>11.41667</v>
      </c>
      <c r="AN55" s="4">
        <v>11.17361</v>
      </c>
      <c r="AO55" s="4">
        <v>11.31282</v>
      </c>
      <c r="AP55" s="4">
        <v>11.00441</v>
      </c>
      <c r="AQ55" s="4">
        <v>11.328799999999999</v>
      </c>
      <c r="AR55" s="4">
        <v>10.9178</v>
      </c>
      <c r="AU55" s="4">
        <v>19.130790000000001</v>
      </c>
      <c r="AV55" s="4">
        <v>20.34028</v>
      </c>
      <c r="AW55" s="4">
        <v>20.527100000000001</v>
      </c>
      <c r="AX55" s="4">
        <v>19.546040000000001</v>
      </c>
      <c r="AY55" s="4">
        <v>18.630389999999998</v>
      </c>
      <c r="AZ55" s="4">
        <v>19.270980000000002</v>
      </c>
      <c r="BC55" s="4">
        <v>22.712959999999999</v>
      </c>
      <c r="BD55" s="4">
        <v>24.897570000000002</v>
      </c>
      <c r="BE55" s="4">
        <v>25.279630000000001</v>
      </c>
      <c r="BF55" s="4">
        <v>23.631810000000002</v>
      </c>
      <c r="BG55" s="4">
        <v>15.691039999999999</v>
      </c>
      <c r="BH55" s="4">
        <v>14.89456</v>
      </c>
      <c r="BK55" s="4">
        <v>27.04167</v>
      </c>
      <c r="BL55" s="4">
        <v>27.374420000000001</v>
      </c>
      <c r="BM55" s="4">
        <v>30.933910000000001</v>
      </c>
      <c r="BN55" s="4">
        <v>29.729620000000001</v>
      </c>
      <c r="BO55" s="4">
        <v>29.579930000000001</v>
      </c>
      <c r="BP55" s="4">
        <v>28.341270000000002</v>
      </c>
    </row>
    <row r="56" spans="1:68" ht="15">
      <c r="A56" s="136" t="s">
        <v>2216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68" ht="16.5">
      <c r="A57" s="112" t="s">
        <v>1703</v>
      </c>
      <c r="B57" s="244" t="s">
        <v>2106</v>
      </c>
      <c r="C57" s="244"/>
      <c r="D57" s="244"/>
      <c r="E57" s="244"/>
      <c r="F57" s="244"/>
      <c r="G57" s="244"/>
      <c r="H57" s="244"/>
      <c r="I57" s="244"/>
      <c r="J57" s="244"/>
      <c r="T57" s="138" t="s">
        <v>2088</v>
      </c>
      <c r="U57" s="218" t="s">
        <v>2136</v>
      </c>
      <c r="V57" s="218"/>
      <c r="W57" s="218"/>
      <c r="X57" s="218"/>
      <c r="Y57" s="218"/>
      <c r="Z57" s="218"/>
      <c r="AA57" s="218" t="s">
        <v>2137</v>
      </c>
      <c r="AB57" s="218"/>
      <c r="AC57" s="218"/>
      <c r="AD57" s="218"/>
      <c r="AE57" s="218"/>
      <c r="AF57" s="218"/>
      <c r="AG57" s="218" t="s">
        <v>2138</v>
      </c>
      <c r="AH57" s="218"/>
      <c r="AI57" s="218"/>
      <c r="AJ57" s="218"/>
      <c r="AK57" s="218"/>
      <c r="AL57" s="218"/>
      <c r="AM57" s="218" t="s">
        <v>2139</v>
      </c>
      <c r="AN57" s="218"/>
      <c r="AO57" s="218"/>
      <c r="AP57" s="218"/>
      <c r="AQ57" s="218"/>
      <c r="AR57" s="218"/>
      <c r="AS57" s="218" t="s">
        <v>2140</v>
      </c>
      <c r="AT57" s="218"/>
      <c r="AU57" s="218"/>
      <c r="AV57" s="218"/>
      <c r="AW57" s="218"/>
      <c r="AX57" s="218"/>
      <c r="AY57" s="218" t="s">
        <v>2141</v>
      </c>
      <c r="AZ57" s="218"/>
      <c r="BA57" s="218"/>
      <c r="BB57" s="218"/>
      <c r="BC57" s="218"/>
      <c r="BD57" s="218"/>
    </row>
    <row r="58" spans="1:68" ht="20.25">
      <c r="A58" s="6" t="s">
        <v>1698</v>
      </c>
      <c r="B58" s="267">
        <v>0</v>
      </c>
      <c r="C58" s="267"/>
      <c r="D58" s="267"/>
      <c r="E58" s="267"/>
      <c r="F58" s="267"/>
      <c r="G58" s="267"/>
      <c r="H58" s="259">
        <v>100</v>
      </c>
      <c r="I58" s="259"/>
      <c r="J58" s="259"/>
      <c r="K58" s="259"/>
      <c r="L58" s="259"/>
      <c r="M58" s="259"/>
      <c r="N58" s="260">
        <v>500</v>
      </c>
      <c r="O58" s="260"/>
      <c r="P58" s="260"/>
      <c r="R58" s="45" t="s">
        <v>962</v>
      </c>
      <c r="T58" s="139" t="s">
        <v>1915</v>
      </c>
      <c r="U58" s="4">
        <v>0</v>
      </c>
      <c r="W58" s="4">
        <v>0</v>
      </c>
      <c r="Y58" s="4">
        <v>6.1349689999999997E-3</v>
      </c>
      <c r="AA58" s="4">
        <v>0.111031774</v>
      </c>
      <c r="AC58" s="4">
        <v>0.15607362</v>
      </c>
      <c r="AE58" s="4">
        <v>0.18593177299999999</v>
      </c>
      <c r="AG58" s="4">
        <v>0.459121742</v>
      </c>
      <c r="AI58" s="4">
        <v>0.48834355800000001</v>
      </c>
      <c r="AK58" s="4">
        <v>0.67860163500000004</v>
      </c>
      <c r="AM58" s="4">
        <v>1.4306748469999999</v>
      </c>
      <c r="AO58" s="4">
        <v>1.80208627</v>
      </c>
      <c r="AQ58" s="4">
        <v>2.2638343449999998</v>
      </c>
      <c r="AS58" s="4">
        <v>3.9435582820000001</v>
      </c>
      <c r="AU58" s="4">
        <v>4.2971525230000003</v>
      </c>
      <c r="AW58" s="4">
        <v>4.850410568</v>
      </c>
      <c r="AY58" s="4">
        <v>6.7558282209999998</v>
      </c>
      <c r="BA58" s="4">
        <v>7.5054976040000003</v>
      </c>
      <c r="BC58" s="4">
        <v>8.9650124959999999</v>
      </c>
    </row>
    <row r="59" spans="1:68">
      <c r="A59" s="11">
        <v>0</v>
      </c>
      <c r="B59" s="160">
        <v>0.13066761900000001</v>
      </c>
      <c r="C59" s="161">
        <v>0.13923598700000001</v>
      </c>
      <c r="D59" s="161">
        <v>0.155342543</v>
      </c>
      <c r="E59" s="161">
        <v>0.158161827</v>
      </c>
      <c r="F59" s="161">
        <v>0.11435582800000001</v>
      </c>
      <c r="G59" s="162">
        <v>0.116809816</v>
      </c>
      <c r="H59" s="163">
        <v>0.18064976799999999</v>
      </c>
      <c r="I59" s="4">
        <v>0.18279186</v>
      </c>
      <c r="J59" s="4">
        <v>0.182407668</v>
      </c>
      <c r="K59" s="4">
        <v>0.17423174499999999</v>
      </c>
      <c r="L59" s="4">
        <v>0.126625767</v>
      </c>
      <c r="M59" s="164">
        <v>0.15460122700000001</v>
      </c>
      <c r="N59" s="7">
        <v>0.18833</v>
      </c>
      <c r="T59" s="4">
        <v>0</v>
      </c>
      <c r="U59" s="160">
        <v>0.13066761900000001</v>
      </c>
      <c r="V59" s="161">
        <v>0.13923598700000001</v>
      </c>
      <c r="W59" s="161">
        <v>0.155342543</v>
      </c>
      <c r="X59" s="161">
        <v>0.158161827</v>
      </c>
      <c r="Y59" s="161">
        <v>0.11435582800000001</v>
      </c>
      <c r="Z59" s="162">
        <v>0.116809816</v>
      </c>
      <c r="AA59" s="160">
        <v>0.167083185</v>
      </c>
      <c r="AB59" s="161">
        <v>0.165298108</v>
      </c>
      <c r="AC59" s="161">
        <v>0.12907975499999999</v>
      </c>
      <c r="AD59" s="161">
        <v>0.13104294499999999</v>
      </c>
      <c r="AE59" s="161">
        <v>0.18099802700000001</v>
      </c>
      <c r="AF59" s="162">
        <v>0.17789681399999999</v>
      </c>
      <c r="AG59" s="160">
        <v>0.20742591899999999</v>
      </c>
      <c r="AH59" s="161">
        <v>0.21992145699999999</v>
      </c>
      <c r="AI59" s="161">
        <v>0.18895705500000001</v>
      </c>
      <c r="AJ59" s="161">
        <v>0.191411043</v>
      </c>
      <c r="AK59" s="161">
        <v>0.23597406300000001</v>
      </c>
      <c r="AL59" s="162">
        <v>0.23597406300000001</v>
      </c>
      <c r="AM59" s="160">
        <v>0.52269938699999996</v>
      </c>
      <c r="AN59" s="161">
        <v>0.65766871199999999</v>
      </c>
      <c r="AO59" s="161">
        <v>0.68424020299999999</v>
      </c>
      <c r="AP59" s="161">
        <v>0.71243304200000002</v>
      </c>
      <c r="AQ59" s="161">
        <v>0.80899678699999999</v>
      </c>
      <c r="AR59" s="162">
        <v>0.77329525200000004</v>
      </c>
      <c r="AS59" s="4">
        <v>3.2417177910000001</v>
      </c>
      <c r="AT59" s="4">
        <v>3.3644171780000001</v>
      </c>
      <c r="AU59" s="4">
        <v>3.8418381730000002</v>
      </c>
      <c r="AV59" s="4">
        <v>3.9630673810000001</v>
      </c>
      <c r="AW59" s="4">
        <v>3.807925741</v>
      </c>
      <c r="AX59" s="4">
        <v>3.768654052</v>
      </c>
      <c r="AY59" s="4">
        <v>8.6134969330000004</v>
      </c>
      <c r="AZ59" s="4">
        <v>8.4319018400000001</v>
      </c>
      <c r="BA59" s="4">
        <v>9.0490555399999995</v>
      </c>
      <c r="BB59" s="4">
        <v>9.8018043420000005</v>
      </c>
      <c r="BC59" s="4">
        <v>11.90146376</v>
      </c>
      <c r="BD59" s="4">
        <v>11.9371653</v>
      </c>
    </row>
    <row r="60" spans="1:68">
      <c r="A60" s="11">
        <v>0.15</v>
      </c>
      <c r="B60" s="160">
        <v>0.167083185</v>
      </c>
      <c r="C60" s="161">
        <v>0.165298108</v>
      </c>
      <c r="D60" s="161">
        <v>0.12907975499999999</v>
      </c>
      <c r="E60" s="161">
        <v>0.13104294499999999</v>
      </c>
      <c r="F60" s="161">
        <v>0.18099802700000001</v>
      </c>
      <c r="G60" s="162">
        <v>0.17789681399999999</v>
      </c>
      <c r="H60" s="163">
        <v>3.1867190289999998</v>
      </c>
      <c r="I60" s="4">
        <v>3.6651196000000001</v>
      </c>
      <c r="J60" s="4">
        <v>3.3766871169999999</v>
      </c>
      <c r="K60" s="4">
        <v>3.9312883439999999</v>
      </c>
      <c r="L60" s="4">
        <v>3.523259092</v>
      </c>
      <c r="M60" s="164">
        <v>3.726247533</v>
      </c>
      <c r="N60" s="7">
        <v>5.2966800000000003</v>
      </c>
      <c r="T60" s="4">
        <v>0.1</v>
      </c>
      <c r="U60" s="163">
        <v>0.14423420200000001</v>
      </c>
      <c r="V60" s="4">
        <v>0.15066047799999999</v>
      </c>
      <c r="W60" s="4">
        <v>0.17423174499999999</v>
      </c>
      <c r="X60" s="4">
        <v>0.17789681399999999</v>
      </c>
      <c r="Y60" s="4">
        <v>0.112638037</v>
      </c>
      <c r="Z60" s="164">
        <v>0.105276074</v>
      </c>
      <c r="AA60" s="163">
        <v>0.17279543</v>
      </c>
      <c r="AB60" s="4">
        <v>0.165298108</v>
      </c>
      <c r="AC60" s="4">
        <v>0.13815950900000001</v>
      </c>
      <c r="AD60" s="4">
        <v>0.13815950900000001</v>
      </c>
      <c r="AE60" s="4">
        <v>0.191711305</v>
      </c>
      <c r="AF60" s="164">
        <v>0.19481251799999999</v>
      </c>
      <c r="AG60" s="163">
        <v>0.23063191699999999</v>
      </c>
      <c r="AH60" s="4">
        <v>0.227061764</v>
      </c>
      <c r="AI60" s="4">
        <v>0.21840490800000001</v>
      </c>
      <c r="AJ60" s="4">
        <v>0.198773006</v>
      </c>
      <c r="AK60" s="4">
        <v>0.23597406300000001</v>
      </c>
      <c r="AL60" s="164">
        <v>0.23315477900000001</v>
      </c>
      <c r="AM60" s="163">
        <v>0.65766871199999999</v>
      </c>
      <c r="AN60" s="4">
        <v>0.69447852799999998</v>
      </c>
      <c r="AO60" s="4">
        <v>0.76881871999999996</v>
      </c>
      <c r="AP60" s="4">
        <v>0.78291513999999995</v>
      </c>
      <c r="AQ60" s="4">
        <v>0.92681185300000002</v>
      </c>
      <c r="AR60" s="164">
        <v>0.83041770800000003</v>
      </c>
      <c r="AS60" s="4">
        <v>3.636809816</v>
      </c>
      <c r="AT60" s="4">
        <v>2.4368098159999998</v>
      </c>
      <c r="AU60" s="4">
        <v>4.5269241610000002</v>
      </c>
      <c r="AV60" s="4">
        <v>4.5551170000000001</v>
      </c>
      <c r="AW60" s="4">
        <v>4.3041770799999997</v>
      </c>
      <c r="AX60" s="4">
        <v>4.5540878259999999</v>
      </c>
      <c r="AY60" s="4">
        <v>9.0773006130000002</v>
      </c>
      <c r="AZ60" s="4">
        <v>9.1607361960000002</v>
      </c>
      <c r="BA60" s="4">
        <v>10.23033549</v>
      </c>
      <c r="BB60" s="4">
        <v>10.137299130000001</v>
      </c>
      <c r="BC60" s="4">
        <v>12.658336309999999</v>
      </c>
      <c r="BD60" s="4">
        <v>14.18636201</v>
      </c>
    </row>
    <row r="61" spans="1:68">
      <c r="A61" s="11">
        <v>0.54</v>
      </c>
      <c r="B61" s="160">
        <v>0.20742591899999999</v>
      </c>
      <c r="C61" s="161">
        <v>0.21992145699999999</v>
      </c>
      <c r="D61" s="161">
        <v>0.18895705500000001</v>
      </c>
      <c r="E61" s="161">
        <v>0.191411043</v>
      </c>
      <c r="F61" s="161">
        <v>0.23597406300000001</v>
      </c>
      <c r="G61" s="162">
        <v>0.23597406300000001</v>
      </c>
      <c r="H61" s="163">
        <v>11.71938593</v>
      </c>
      <c r="I61" s="4">
        <v>12.197786499999999</v>
      </c>
      <c r="J61" s="4">
        <v>10.23067485</v>
      </c>
      <c r="K61" s="4">
        <v>8.2012269940000007</v>
      </c>
      <c r="L61" s="4">
        <v>9.8299971809999995</v>
      </c>
      <c r="M61" s="164">
        <v>9.1054412179999993</v>
      </c>
      <c r="N61" s="7">
        <v>14.1632</v>
      </c>
      <c r="T61" s="4">
        <v>1</v>
      </c>
      <c r="U61" s="163">
        <v>0.13245269500000001</v>
      </c>
      <c r="V61" s="4">
        <v>0.15708675499999999</v>
      </c>
      <c r="W61" s="4">
        <v>0.17423174499999999</v>
      </c>
      <c r="X61" s="4">
        <v>0.170566676</v>
      </c>
      <c r="Y61" s="4">
        <v>0.130306748</v>
      </c>
      <c r="Z61" s="164">
        <v>0.123435583</v>
      </c>
      <c r="AA61" s="163">
        <v>0.20742591899999999</v>
      </c>
      <c r="AB61" s="4">
        <v>0.205283827</v>
      </c>
      <c r="AC61" s="4">
        <v>0.20858895699999999</v>
      </c>
      <c r="AD61" s="4">
        <v>0.235582822</v>
      </c>
      <c r="AE61" s="4">
        <v>0.23597406300000001</v>
      </c>
      <c r="AF61" s="164">
        <v>0.23879334599999999</v>
      </c>
      <c r="AG61" s="163">
        <v>0.498393431</v>
      </c>
      <c r="AH61" s="4">
        <v>0.42699036099999998</v>
      </c>
      <c r="AI61" s="4">
        <v>0.51533742299999996</v>
      </c>
      <c r="AJ61" s="4">
        <v>0.55460122700000003</v>
      </c>
      <c r="AK61" s="4">
        <v>0.48689032999999998</v>
      </c>
      <c r="AL61" s="164">
        <v>0.47279390999999998</v>
      </c>
      <c r="AM61" s="163">
        <v>3.1607361960000002</v>
      </c>
      <c r="AN61" s="4">
        <v>3.514110429</v>
      </c>
      <c r="AO61" s="4">
        <v>2.714124612</v>
      </c>
      <c r="AP61" s="4">
        <v>2.807160981</v>
      </c>
      <c r="AQ61" s="4">
        <v>3.793645127</v>
      </c>
      <c r="AR61" s="164">
        <v>3.6187076039999999</v>
      </c>
      <c r="AS61" s="4">
        <v>10.294478529999999</v>
      </c>
      <c r="AT61" s="4">
        <v>11.462576690000001</v>
      </c>
      <c r="AU61" s="4">
        <v>9.8299971809999995</v>
      </c>
      <c r="AV61" s="4">
        <v>9.5931773329999999</v>
      </c>
      <c r="AW61" s="4">
        <v>12.197786499999999</v>
      </c>
      <c r="AX61" s="4">
        <v>12.16208497</v>
      </c>
      <c r="AY61" s="4">
        <v>16.706748470000001</v>
      </c>
      <c r="AZ61" s="4">
        <v>16.35337423</v>
      </c>
      <c r="BA61" s="4">
        <v>15.609529179999999</v>
      </c>
      <c r="BB61" s="4">
        <v>16.342542989999998</v>
      </c>
      <c r="BC61" s="4">
        <v>18.877543729999999</v>
      </c>
      <c r="BD61" s="4">
        <v>15.507318809999999</v>
      </c>
    </row>
    <row r="62" spans="1:68">
      <c r="A62" s="11">
        <v>1.83</v>
      </c>
      <c r="B62" s="160">
        <v>0.52269938699999996</v>
      </c>
      <c r="C62" s="161">
        <v>0.65766871199999999</v>
      </c>
      <c r="D62" s="161">
        <v>0.68424020299999999</v>
      </c>
      <c r="E62" s="161">
        <v>0.71243304200000002</v>
      </c>
      <c r="F62" s="161">
        <v>0.80899678699999999</v>
      </c>
      <c r="G62" s="162">
        <v>0.77329525200000004</v>
      </c>
      <c r="H62" s="163">
        <v>17.173006130000001</v>
      </c>
      <c r="I62" s="4">
        <v>18.652760740000002</v>
      </c>
      <c r="J62" s="4">
        <v>16.850014099999999</v>
      </c>
      <c r="K62" s="4">
        <v>18.245559629999999</v>
      </c>
      <c r="L62" s="4">
        <v>24.350589079999999</v>
      </c>
      <c r="M62" s="164">
        <v>24.50053552</v>
      </c>
      <c r="N62" s="7">
        <v>25.9697</v>
      </c>
      <c r="T62" s="4">
        <v>5</v>
      </c>
      <c r="U62" s="163">
        <v>0.16859317700000001</v>
      </c>
      <c r="V62" s="4">
        <v>0.17366788799999999</v>
      </c>
      <c r="Y62" s="4">
        <v>0.15607362</v>
      </c>
      <c r="Z62" s="164">
        <v>0.14282208599999999</v>
      </c>
      <c r="AA62" s="163"/>
      <c r="AC62" s="4">
        <v>0.46134969300000001</v>
      </c>
      <c r="AD62" s="4">
        <v>0.47361963200000001</v>
      </c>
      <c r="AE62" s="4">
        <v>0.44742035499999999</v>
      </c>
      <c r="AF62" s="164">
        <v>0.45869749100000001</v>
      </c>
      <c r="AG62" s="163"/>
      <c r="AI62" s="4">
        <v>2.0957055210000002</v>
      </c>
      <c r="AJ62" s="4">
        <v>2.169325153</v>
      </c>
      <c r="AK62" s="4">
        <v>1.896532281</v>
      </c>
      <c r="AL62" s="164">
        <v>1.7386523819999999</v>
      </c>
      <c r="AM62" s="163">
        <v>8.8024539879999999</v>
      </c>
      <c r="AN62" s="4">
        <v>8.8834355830000007</v>
      </c>
      <c r="AO62" s="4">
        <v>7.8085706229999996</v>
      </c>
      <c r="AP62" s="4">
        <v>8.0764025939999993</v>
      </c>
      <c r="AR62" s="164"/>
      <c r="AS62" s="4">
        <v>15.761963189999999</v>
      </c>
      <c r="AT62" s="4">
        <v>16.809815950000001</v>
      </c>
      <c r="AU62" s="4">
        <v>16.094446009999999</v>
      </c>
      <c r="AV62" s="4">
        <v>15.51367353</v>
      </c>
      <c r="AY62" s="4">
        <v>20.132515340000001</v>
      </c>
      <c r="AZ62" s="4">
        <v>20.380368099999998</v>
      </c>
      <c r="BA62" s="4">
        <v>19.455032419999998</v>
      </c>
      <c r="BB62" s="4">
        <v>20.61657739</v>
      </c>
    </row>
    <row r="63" spans="1:68">
      <c r="A63" s="11">
        <v>4.3600000000000003</v>
      </c>
      <c r="B63" s="4">
        <v>3.2417177910000001</v>
      </c>
      <c r="C63" s="4">
        <v>3.3644171780000001</v>
      </c>
      <c r="D63" s="4">
        <v>3.8418381730000002</v>
      </c>
      <c r="E63" s="4">
        <v>3.9630673810000001</v>
      </c>
      <c r="F63" s="4">
        <v>3.807925741</v>
      </c>
      <c r="G63" s="4">
        <v>3.768654052</v>
      </c>
      <c r="H63" s="4">
        <v>22.82208589</v>
      </c>
      <c r="I63" s="4">
        <v>21.867484659999999</v>
      </c>
      <c r="J63" s="4">
        <v>22.874823790000001</v>
      </c>
      <c r="K63" s="4">
        <v>23.227234280000001</v>
      </c>
      <c r="L63" s="4">
        <v>27.188861119999999</v>
      </c>
      <c r="M63" s="4">
        <v>28.641913599999999</v>
      </c>
      <c r="N63" s="7">
        <v>29.082799999999999</v>
      </c>
      <c r="T63" s="4">
        <v>10</v>
      </c>
      <c r="U63" s="163">
        <v>0.12638343399999999</v>
      </c>
      <c r="V63" s="4">
        <v>0.14958943199999999</v>
      </c>
      <c r="W63" s="4">
        <v>0.172258246</v>
      </c>
      <c r="X63" s="4">
        <v>0.17733295700000001</v>
      </c>
      <c r="Y63" s="4">
        <v>0.13546012299999999</v>
      </c>
      <c r="Z63" s="164">
        <v>0.13423312900000001</v>
      </c>
      <c r="AA63" s="163">
        <v>0.55551588699999999</v>
      </c>
      <c r="AB63" s="4">
        <v>0.69475187400000005</v>
      </c>
      <c r="AC63" s="4">
        <v>0.78282208600000003</v>
      </c>
      <c r="AD63" s="4">
        <v>0.868711656</v>
      </c>
      <c r="AE63" s="4">
        <v>0.75190301699999995</v>
      </c>
      <c r="AF63" s="164">
        <v>0.701155906</v>
      </c>
      <c r="AG63" s="163">
        <v>3.793645127</v>
      </c>
      <c r="AH63" s="4">
        <v>3.1081756519999999</v>
      </c>
      <c r="AI63" s="4">
        <v>3.6711656439999998</v>
      </c>
      <c r="AJ63" s="4">
        <v>3.636809816</v>
      </c>
      <c r="AK63" s="4">
        <v>3.199041443</v>
      </c>
      <c r="AL63" s="164">
        <v>3.2187764310000002</v>
      </c>
      <c r="AM63" s="163">
        <v>11.6392638</v>
      </c>
      <c r="AN63" s="4">
        <v>11.855214719999999</v>
      </c>
      <c r="AO63" s="4">
        <v>10.32619115</v>
      </c>
      <c r="AP63" s="4">
        <v>10.45305892</v>
      </c>
      <c r="AQ63" s="4">
        <v>15.75008925</v>
      </c>
      <c r="AR63" s="164">
        <v>15.7001071</v>
      </c>
      <c r="AS63" s="4">
        <v>18.82453988</v>
      </c>
      <c r="AT63" s="4">
        <v>18.368098159999999</v>
      </c>
      <c r="AU63" s="4">
        <v>17.16295461</v>
      </c>
      <c r="AV63" s="4">
        <v>18.411897379999999</v>
      </c>
      <c r="AW63" s="4">
        <v>24.425562299999999</v>
      </c>
      <c r="AX63" s="4">
        <v>23.397358090000001</v>
      </c>
      <c r="AY63" s="4">
        <v>22.068711660000002</v>
      </c>
      <c r="AZ63" s="4">
        <v>20.380368099999998</v>
      </c>
      <c r="BA63" s="4">
        <v>21.783760919999999</v>
      </c>
      <c r="BB63" s="4">
        <v>21.916267269999999</v>
      </c>
      <c r="BC63" s="4">
        <v>26.938950370000001</v>
      </c>
      <c r="BD63" s="4">
        <v>26.207068899999999</v>
      </c>
    </row>
    <row r="64" spans="1:68">
      <c r="A64" s="11">
        <v>7.74</v>
      </c>
      <c r="B64" s="4">
        <v>8.6134969330000004</v>
      </c>
      <c r="C64" s="4">
        <v>8.4319018400000001</v>
      </c>
      <c r="D64" s="4">
        <v>9.0490555399999995</v>
      </c>
      <c r="E64" s="4">
        <v>9.8018043420000005</v>
      </c>
      <c r="F64" s="4">
        <v>11.90146376</v>
      </c>
      <c r="G64" s="4">
        <v>11.9371653</v>
      </c>
      <c r="H64" s="4">
        <v>31.880042840000002</v>
      </c>
      <c r="I64" s="4">
        <v>29.712959659999999</v>
      </c>
      <c r="J64" s="7"/>
      <c r="N64" s="7">
        <v>32.413800000000002</v>
      </c>
      <c r="T64" s="4">
        <v>50</v>
      </c>
      <c r="U64" s="163">
        <v>0.141021064</v>
      </c>
      <c r="V64" s="4">
        <v>0.141021064</v>
      </c>
      <c r="Z64" s="164"/>
      <c r="AA64" s="163">
        <v>1.9978579080000001</v>
      </c>
      <c r="AB64" s="4">
        <v>2.6119243129999998</v>
      </c>
      <c r="AF64" s="164"/>
      <c r="AG64" s="163">
        <v>9.9200285610000005</v>
      </c>
      <c r="AH64" s="4">
        <v>9.5880042840000002</v>
      </c>
      <c r="AL64" s="164"/>
      <c r="AM64" s="163"/>
      <c r="AQ64" s="4">
        <v>21.34094966</v>
      </c>
      <c r="AR64" s="164">
        <v>23.54373438</v>
      </c>
      <c r="AW64" s="4">
        <v>28.466976079999998</v>
      </c>
      <c r="AX64" s="4">
        <v>31.298107819999998</v>
      </c>
      <c r="BC64" s="4">
        <v>31.108889680000001</v>
      </c>
      <c r="BD64" s="4">
        <v>31.205283829999999</v>
      </c>
    </row>
    <row r="65" spans="1:56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4">
        <v>100</v>
      </c>
      <c r="U65" s="163">
        <v>0.18064976799999999</v>
      </c>
      <c r="V65" s="4">
        <v>0.18279186</v>
      </c>
      <c r="W65" s="4">
        <v>0.182407668</v>
      </c>
      <c r="X65" s="4">
        <v>0.17423174499999999</v>
      </c>
      <c r="Y65" s="4">
        <v>0.126625767</v>
      </c>
      <c r="Z65" s="164">
        <v>0.15460122700000001</v>
      </c>
      <c r="AA65" s="163">
        <v>3.1867190289999998</v>
      </c>
      <c r="AB65" s="4">
        <v>3.6651196000000001</v>
      </c>
      <c r="AC65" s="4">
        <v>3.3766871169999999</v>
      </c>
      <c r="AD65" s="4">
        <v>3.9312883439999999</v>
      </c>
      <c r="AE65" s="4">
        <v>3.523259092</v>
      </c>
      <c r="AF65" s="164">
        <v>3.726247533</v>
      </c>
      <c r="AG65" s="163">
        <v>11.71938593</v>
      </c>
      <c r="AH65" s="4">
        <v>12.197786499999999</v>
      </c>
      <c r="AI65" s="4">
        <v>10.23067485</v>
      </c>
      <c r="AJ65" s="4">
        <v>8.2012269940000007</v>
      </c>
      <c r="AK65" s="4">
        <v>9.8299971809999995</v>
      </c>
      <c r="AL65" s="164">
        <v>9.1054412179999993</v>
      </c>
      <c r="AM65" s="163">
        <v>17.173006130000001</v>
      </c>
      <c r="AN65" s="4">
        <v>18.652760740000002</v>
      </c>
      <c r="AO65" s="4">
        <v>16.850014099999999</v>
      </c>
      <c r="AP65" s="4">
        <v>18.245559629999999</v>
      </c>
      <c r="AQ65" s="4">
        <v>24.350589079999999</v>
      </c>
      <c r="AR65" s="164">
        <v>24.50053552</v>
      </c>
      <c r="AS65" s="4">
        <v>22.82208589</v>
      </c>
      <c r="AT65" s="4">
        <v>21.867484659999999</v>
      </c>
      <c r="AU65" s="4">
        <v>22.874823790000001</v>
      </c>
      <c r="AV65" s="4">
        <v>23.227234280000001</v>
      </c>
      <c r="AW65" s="4">
        <v>27.188861119999999</v>
      </c>
      <c r="AX65" s="4">
        <v>28.641913599999999</v>
      </c>
      <c r="BC65" s="4">
        <v>31.880042840000002</v>
      </c>
      <c r="BD65" s="4">
        <v>29.712959659999999</v>
      </c>
    </row>
    <row r="66" spans="1:56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4">
        <v>500</v>
      </c>
      <c r="U66" s="165">
        <v>0.19385933599999999</v>
      </c>
      <c r="V66" s="166">
        <v>0.18279186</v>
      </c>
      <c r="W66" s="166"/>
      <c r="X66" s="166"/>
      <c r="Y66" s="166"/>
      <c r="Z66" s="167"/>
      <c r="AA66" s="165">
        <v>5.1645840769999998</v>
      </c>
      <c r="AB66" s="166">
        <v>5.4287754369999996</v>
      </c>
      <c r="AC66" s="166"/>
      <c r="AD66" s="166"/>
      <c r="AE66" s="166"/>
      <c r="AF66" s="167"/>
      <c r="AG66" s="165">
        <v>14.139950020000001</v>
      </c>
      <c r="AH66" s="166">
        <v>14.18636201</v>
      </c>
      <c r="AI66" s="166"/>
      <c r="AJ66" s="166"/>
      <c r="AK66" s="166"/>
      <c r="AL66" s="167"/>
      <c r="AM66" s="165"/>
      <c r="AN66" s="166"/>
      <c r="AO66" s="166"/>
      <c r="AP66" s="166"/>
      <c r="AQ66" s="166">
        <v>25.650124959999999</v>
      </c>
      <c r="AR66" s="167">
        <v>26.28918243</v>
      </c>
    </row>
    <row r="67" spans="1:56" ht="16.5">
      <c r="A67" s="136" t="s">
        <v>2217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V67" s="244" t="s">
        <v>1886</v>
      </c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</row>
    <row r="68" spans="1:56" ht="16.5">
      <c r="A68" s="112" t="s">
        <v>1704</v>
      </c>
      <c r="B68" s="244" t="s">
        <v>2106</v>
      </c>
      <c r="C68" s="244"/>
      <c r="D68" s="244"/>
      <c r="E68" s="244"/>
      <c r="F68" s="244"/>
      <c r="G68" s="244"/>
      <c r="H68" s="244"/>
      <c r="I68" s="244"/>
      <c r="J68" s="244"/>
      <c r="T68" s="138" t="s">
        <v>2088</v>
      </c>
      <c r="U68" s="218" t="s">
        <v>2136</v>
      </c>
      <c r="V68" s="218"/>
      <c r="W68" s="218"/>
      <c r="X68" s="218"/>
      <c r="Y68" s="218"/>
      <c r="Z68" s="218"/>
      <c r="AA68" s="218" t="s">
        <v>2137</v>
      </c>
      <c r="AB68" s="218"/>
      <c r="AC68" s="218"/>
      <c r="AD68" s="218"/>
      <c r="AE68" s="218"/>
      <c r="AF68" s="218"/>
      <c r="AG68" s="218" t="s">
        <v>2138</v>
      </c>
      <c r="AH68" s="218"/>
      <c r="AI68" s="218"/>
      <c r="AJ68" s="218"/>
      <c r="AK68" s="218"/>
      <c r="AL68" s="218"/>
      <c r="AM68" s="218" t="s">
        <v>2139</v>
      </c>
      <c r="AN68" s="218"/>
      <c r="AO68" s="218"/>
      <c r="AP68" s="218"/>
      <c r="AQ68" s="218"/>
      <c r="AR68" s="218"/>
      <c r="AS68" s="218" t="s">
        <v>2140</v>
      </c>
      <c r="AT68" s="218"/>
      <c r="AU68" s="218"/>
      <c r="AV68" s="218"/>
      <c r="AW68" s="218"/>
      <c r="AX68" s="218"/>
      <c r="AY68" s="218" t="s">
        <v>2141</v>
      </c>
      <c r="AZ68" s="218"/>
      <c r="BA68" s="218"/>
      <c r="BB68" s="218"/>
      <c r="BC68" s="218"/>
      <c r="BD68" s="218"/>
    </row>
    <row r="69" spans="1:56" ht="20.25">
      <c r="A69" s="6" t="s">
        <v>1698</v>
      </c>
      <c r="B69" s="258">
        <v>0</v>
      </c>
      <c r="C69" s="258"/>
      <c r="D69" s="258"/>
      <c r="E69" s="258"/>
      <c r="F69" s="258"/>
      <c r="G69" s="258"/>
      <c r="H69" s="259">
        <v>100</v>
      </c>
      <c r="I69" s="259"/>
      <c r="J69" s="259"/>
      <c r="K69" s="259"/>
      <c r="L69" s="259"/>
      <c r="M69" s="259"/>
      <c r="N69" s="260">
        <v>500</v>
      </c>
      <c r="O69" s="260"/>
      <c r="P69" s="260"/>
      <c r="R69" s="45" t="s">
        <v>963</v>
      </c>
      <c r="T69" s="139" t="s">
        <v>1915</v>
      </c>
      <c r="U69" s="4">
        <v>0</v>
      </c>
      <c r="W69" s="4">
        <v>0</v>
      </c>
      <c r="Y69" s="4">
        <v>6.1349689999999997E-3</v>
      </c>
      <c r="AA69" s="4">
        <v>0.111031774</v>
      </c>
      <c r="AC69" s="4">
        <v>0.15607362</v>
      </c>
      <c r="AE69" s="4">
        <v>0.18593177299999999</v>
      </c>
      <c r="AG69" s="4">
        <v>0.459121742</v>
      </c>
      <c r="AI69" s="4">
        <v>0.48834355800000001</v>
      </c>
      <c r="AK69" s="4">
        <v>0.67860163500000004</v>
      </c>
      <c r="AM69" s="4">
        <v>1.4306748469999999</v>
      </c>
      <c r="AO69" s="4">
        <v>1.80208627</v>
      </c>
      <c r="AQ69" s="4">
        <v>2.2638343449999998</v>
      </c>
      <c r="AS69" s="4">
        <v>3.9435582820000001</v>
      </c>
      <c r="AU69" s="4">
        <v>4.2971525230000003</v>
      </c>
      <c r="AW69" s="4">
        <v>4.850410568</v>
      </c>
      <c r="AY69" s="4">
        <v>6.7558282209999998</v>
      </c>
      <c r="BA69" s="4">
        <v>7.5054976040000003</v>
      </c>
      <c r="BC69" s="4">
        <v>8.9650124959999999</v>
      </c>
    </row>
    <row r="70" spans="1:56">
      <c r="A70" s="11">
        <v>0</v>
      </c>
      <c r="B70" s="4">
        <v>0.123884327</v>
      </c>
      <c r="C70" s="4">
        <v>0.13066761900000001</v>
      </c>
      <c r="D70" s="4">
        <v>0.149422047</v>
      </c>
      <c r="E70" s="4">
        <v>0.17366788799999999</v>
      </c>
      <c r="F70" s="4">
        <v>0.11852760699999999</v>
      </c>
      <c r="G70" s="4">
        <v>0.119263804</v>
      </c>
      <c r="H70" s="4">
        <v>0.15315958599999999</v>
      </c>
      <c r="I70" s="4">
        <v>0.14958943199999999</v>
      </c>
      <c r="J70" s="4">
        <v>0.18720045099999999</v>
      </c>
      <c r="K70" s="4">
        <v>0.184663096</v>
      </c>
      <c r="L70" s="4">
        <v>0.14625766900000001</v>
      </c>
      <c r="M70" s="4">
        <v>0.14208588999999999</v>
      </c>
      <c r="N70" s="7"/>
      <c r="T70" s="4">
        <v>0</v>
      </c>
      <c r="U70" s="4">
        <v>0.123884327</v>
      </c>
      <c r="V70" s="4">
        <v>0.13066761900000001</v>
      </c>
      <c r="W70" s="4">
        <v>0.149422047</v>
      </c>
      <c r="X70" s="4">
        <v>0.17366788799999999</v>
      </c>
      <c r="Y70" s="4">
        <v>0.11852760699999999</v>
      </c>
      <c r="Z70" s="4">
        <v>0.119263804</v>
      </c>
      <c r="AA70" s="4">
        <v>0.145305248</v>
      </c>
      <c r="AB70" s="4">
        <v>0.22349161000000001</v>
      </c>
      <c r="AC70" s="4">
        <v>0.14552147200000001</v>
      </c>
      <c r="AD70" s="4">
        <v>0.12711656399999999</v>
      </c>
      <c r="AE70" s="4">
        <v>0.172258246</v>
      </c>
      <c r="AF70" s="4">
        <v>0.21116436399999999</v>
      </c>
      <c r="AG70" s="4">
        <v>0.17672259900000001</v>
      </c>
      <c r="AH70" s="4">
        <v>0.156015709</v>
      </c>
      <c r="AI70" s="4">
        <v>0.148957055</v>
      </c>
      <c r="AJ70" s="4">
        <v>0.14625766900000001</v>
      </c>
      <c r="AK70" s="4">
        <v>0.29517902499999998</v>
      </c>
      <c r="AL70" s="4">
        <v>0.22469692699999999</v>
      </c>
      <c r="AM70" s="4">
        <v>0.27730061299999997</v>
      </c>
      <c r="AN70" s="4">
        <v>0.28220858900000001</v>
      </c>
      <c r="AO70" s="4">
        <v>0.46997462600000001</v>
      </c>
      <c r="AP70" s="4">
        <v>0.50380603300000004</v>
      </c>
      <c r="AQ70" s="4">
        <v>0.33416636900000002</v>
      </c>
      <c r="AR70" s="4">
        <v>0.37343805800000002</v>
      </c>
      <c r="AS70" s="4">
        <v>1.788957055</v>
      </c>
      <c r="AT70" s="4">
        <v>1.8871165640000001</v>
      </c>
      <c r="AU70" s="4">
        <v>2.6718353540000002</v>
      </c>
      <c r="AV70" s="4">
        <v>2.8607273750000002</v>
      </c>
      <c r="AW70" s="4">
        <v>2.2513388079999999</v>
      </c>
      <c r="AX70" s="4">
        <v>1.976436987</v>
      </c>
      <c r="AY70" s="4">
        <v>6.4711656440000001</v>
      </c>
      <c r="AZ70" s="4">
        <v>4.6625766869999996</v>
      </c>
      <c r="BA70" s="4">
        <v>7.6422328730000002</v>
      </c>
      <c r="BB70" s="4">
        <v>8.0031012120000007</v>
      </c>
      <c r="BC70" s="4">
        <v>8.7918600500000004</v>
      </c>
      <c r="BD70" s="4">
        <v>8.8454123530000004</v>
      </c>
    </row>
    <row r="71" spans="1:56">
      <c r="A71" s="11">
        <v>0.15</v>
      </c>
      <c r="B71" s="4">
        <v>0.145305248</v>
      </c>
      <c r="C71" s="4">
        <v>0.22349161000000001</v>
      </c>
      <c r="D71" s="4">
        <v>0.14552147200000001</v>
      </c>
      <c r="E71" s="4">
        <v>0.12711656399999999</v>
      </c>
      <c r="F71" s="4">
        <v>0.172258246</v>
      </c>
      <c r="G71" s="4">
        <v>0.21116436399999999</v>
      </c>
      <c r="H71" s="4">
        <v>0.85540878300000001</v>
      </c>
      <c r="I71" s="4">
        <v>1.1553016780000001</v>
      </c>
      <c r="J71" s="4">
        <v>0.741104294</v>
      </c>
      <c r="K71" s="4">
        <v>0.68711656399999999</v>
      </c>
      <c r="L71" s="4">
        <v>2.10515929</v>
      </c>
      <c r="M71" s="4">
        <v>1.820411615</v>
      </c>
      <c r="N71" s="7"/>
      <c r="O71" s="7"/>
      <c r="P71" s="7"/>
      <c r="T71" s="4">
        <v>0.1</v>
      </c>
      <c r="U71" s="4">
        <v>0.15066047799999999</v>
      </c>
      <c r="V71" s="4">
        <v>0.16172795400000001</v>
      </c>
      <c r="W71" s="4">
        <v>0.18720045099999999</v>
      </c>
      <c r="X71" s="4">
        <v>0.184099239</v>
      </c>
      <c r="Y71" s="4">
        <v>0.12981595100000001</v>
      </c>
      <c r="Z71" s="4">
        <v>0.136932515</v>
      </c>
      <c r="AA71" s="4">
        <v>0.16244198500000001</v>
      </c>
      <c r="AB71" s="4">
        <v>0.22349161000000001</v>
      </c>
      <c r="AC71" s="4">
        <v>0.15116564399999999</v>
      </c>
      <c r="AD71" s="4">
        <v>0.13938650299999999</v>
      </c>
      <c r="AE71" s="4">
        <v>0.208627009</v>
      </c>
      <c r="AF71" s="4">
        <v>0.23597406300000001</v>
      </c>
      <c r="AG71" s="4">
        <v>0.19385933599999999</v>
      </c>
      <c r="AH71" s="4">
        <v>0.17993573700000001</v>
      </c>
      <c r="AI71" s="4">
        <v>0.16392638000000001</v>
      </c>
      <c r="AJ71" s="4">
        <v>0.16932515300000001</v>
      </c>
      <c r="AK71" s="4">
        <v>0.230335495</v>
      </c>
      <c r="AL71" s="4">
        <v>0.23315477900000001</v>
      </c>
      <c r="AM71" s="4">
        <v>0.30429447900000001</v>
      </c>
      <c r="AN71" s="4">
        <v>0.29447852800000002</v>
      </c>
      <c r="AO71" s="4">
        <v>0.526360304</v>
      </c>
      <c r="AP71" s="4">
        <v>0.50380603300000004</v>
      </c>
      <c r="AQ71" s="4">
        <v>0.35558729</v>
      </c>
      <c r="AR71" s="4">
        <v>0.34487683000000002</v>
      </c>
      <c r="AS71" s="4">
        <v>2.024539877</v>
      </c>
      <c r="AT71" s="4">
        <v>2.0171779139999999</v>
      </c>
      <c r="AU71" s="4">
        <v>3.3118127999999998</v>
      </c>
      <c r="AV71" s="4">
        <v>2.7564138709999999</v>
      </c>
      <c r="AW71" s="4">
        <v>2.4976794</v>
      </c>
      <c r="AX71" s="4">
        <v>2.0585505180000001</v>
      </c>
      <c r="AY71" s="4">
        <v>7.1190184050000003</v>
      </c>
      <c r="AZ71" s="4">
        <v>7.3865030669999996</v>
      </c>
      <c r="BA71" s="4">
        <v>9.2745982520000005</v>
      </c>
      <c r="BB71" s="4">
        <v>9.1336340570000001</v>
      </c>
      <c r="BC71" s="4">
        <v>10.684041410000001</v>
      </c>
      <c r="BD71" s="4">
        <v>9.7058193500000005</v>
      </c>
    </row>
    <row r="72" spans="1:56">
      <c r="A72" s="11">
        <v>0.54</v>
      </c>
      <c r="B72" s="4">
        <v>0.17672259900000001</v>
      </c>
      <c r="C72" s="4">
        <v>0.156015709</v>
      </c>
      <c r="D72" s="4">
        <v>0.148957055</v>
      </c>
      <c r="E72" s="4">
        <v>0.14625766900000001</v>
      </c>
      <c r="F72" s="4">
        <v>0.29517902499999998</v>
      </c>
      <c r="G72" s="4">
        <v>0.22469692699999999</v>
      </c>
      <c r="H72" s="4">
        <v>5.1788646910000002</v>
      </c>
      <c r="I72" s="4">
        <v>4.6861835059999999</v>
      </c>
      <c r="J72" s="4">
        <v>3.2932515339999999</v>
      </c>
      <c r="K72" s="4">
        <v>3.2220858899999998</v>
      </c>
      <c r="L72" s="4">
        <v>5.9760360869999998</v>
      </c>
      <c r="M72" s="4">
        <v>5.4657457010000003</v>
      </c>
      <c r="N72" s="7"/>
      <c r="T72" s="4">
        <v>1</v>
      </c>
      <c r="U72" s="4">
        <v>0.156015709</v>
      </c>
      <c r="V72" s="4">
        <v>0.14958943199999999</v>
      </c>
      <c r="W72" s="4">
        <v>0.17366788799999999</v>
      </c>
      <c r="X72" s="4">
        <v>0.160699182</v>
      </c>
      <c r="Y72" s="4">
        <v>0.148957055</v>
      </c>
      <c r="Z72" s="4">
        <v>0.13742331299999999</v>
      </c>
      <c r="AA72" s="4">
        <v>0.15958586199999999</v>
      </c>
      <c r="AB72" s="4">
        <v>0.241342378</v>
      </c>
      <c r="AC72" s="4">
        <v>0.16319018399999999</v>
      </c>
      <c r="AD72" s="4">
        <v>0.15116564399999999</v>
      </c>
      <c r="AE72" s="4">
        <v>0.25570904999999999</v>
      </c>
      <c r="AF72" s="4">
        <v>0.23597406300000001</v>
      </c>
      <c r="AG72" s="4">
        <v>0.241342378</v>
      </c>
      <c r="AH72" s="4">
        <v>0.21992145699999999</v>
      </c>
      <c r="AI72" s="4">
        <v>0.20858895699999999</v>
      </c>
      <c r="AJ72" s="4">
        <v>0.213496933</v>
      </c>
      <c r="AK72" s="4">
        <v>0.41922751600000002</v>
      </c>
      <c r="AL72" s="4">
        <v>0.32337186400000001</v>
      </c>
      <c r="AM72" s="4">
        <v>0.63803681000000001</v>
      </c>
      <c r="AN72" s="4">
        <v>0.69693251499999997</v>
      </c>
      <c r="AO72" s="4">
        <v>1.3693261910000001</v>
      </c>
      <c r="AP72" s="4">
        <v>1.318579081</v>
      </c>
      <c r="AQ72" s="4">
        <v>1.0374866119999999</v>
      </c>
      <c r="AR72" s="4">
        <v>1.2766868979999999</v>
      </c>
      <c r="AS72" s="4">
        <v>4.2625766870000001</v>
      </c>
      <c r="AT72" s="4">
        <v>4.9300613499999999</v>
      </c>
      <c r="AU72" s="4">
        <v>6.6357485199999999</v>
      </c>
      <c r="AV72" s="4">
        <v>6.514519312</v>
      </c>
      <c r="AW72" s="4">
        <v>7.5530167800000001</v>
      </c>
      <c r="AX72" s="4">
        <v>5.9642984649999997</v>
      </c>
      <c r="AY72" s="4">
        <v>11.013496930000001</v>
      </c>
      <c r="AZ72" s="4">
        <v>10.878527610000001</v>
      </c>
      <c r="BA72" s="4">
        <v>13.03270369</v>
      </c>
      <c r="BB72" s="4">
        <v>13.07217367</v>
      </c>
      <c r="BC72" s="4">
        <v>15.0860407</v>
      </c>
      <c r="BD72" s="4">
        <v>15.225276689999999</v>
      </c>
    </row>
    <row r="73" spans="1:56">
      <c r="A73" s="11">
        <v>1.83</v>
      </c>
      <c r="B73" s="4">
        <v>0.27730061299999997</v>
      </c>
      <c r="C73" s="4">
        <v>0.28220858900000001</v>
      </c>
      <c r="D73" s="4">
        <v>0.46997462600000001</v>
      </c>
      <c r="E73" s="4">
        <v>0.50380603300000004</v>
      </c>
      <c r="F73" s="4">
        <v>0.33416636900000002</v>
      </c>
      <c r="G73" s="4">
        <v>0.37343805800000002</v>
      </c>
      <c r="H73" s="4">
        <v>10.39018405</v>
      </c>
      <c r="I73" s="4">
        <v>10.42208589</v>
      </c>
      <c r="J73" s="4">
        <v>13.55990978</v>
      </c>
      <c r="K73" s="4">
        <v>13.520439809999999</v>
      </c>
      <c r="L73" s="4">
        <v>16.339164579999998</v>
      </c>
      <c r="M73" s="4">
        <v>17.699393069999999</v>
      </c>
      <c r="N73" s="7"/>
      <c r="T73" s="4">
        <v>5</v>
      </c>
      <c r="U73" s="4">
        <v>0.214547505</v>
      </c>
      <c r="V73" s="4">
        <v>0.17366788799999999</v>
      </c>
      <c r="Y73" s="4">
        <v>0.151656442</v>
      </c>
      <c r="Z73" s="4">
        <v>0.14478527599999999</v>
      </c>
      <c r="AC73" s="4">
        <v>0.213496933</v>
      </c>
      <c r="AD73" s="4">
        <v>0.20122699399999999</v>
      </c>
      <c r="AE73" s="4">
        <v>0.28954045699999997</v>
      </c>
      <c r="AF73" s="4">
        <v>0.30645615999999998</v>
      </c>
      <c r="AI73" s="4">
        <v>0.41717791399999998</v>
      </c>
      <c r="AJ73" s="4">
        <v>0.41717791399999998</v>
      </c>
      <c r="AK73" s="4">
        <v>0.86185508899999996</v>
      </c>
      <c r="AL73" s="4">
        <v>0.983084297</v>
      </c>
      <c r="AM73" s="4">
        <v>2.851533742</v>
      </c>
      <c r="AN73" s="4">
        <v>2.8245398769999999</v>
      </c>
      <c r="AO73" s="4">
        <v>4.7722018610000001</v>
      </c>
      <c r="AP73" s="4">
        <v>4.4310685090000002</v>
      </c>
      <c r="AS73" s="4">
        <v>9.8306748469999992</v>
      </c>
      <c r="AT73" s="4">
        <v>10.74601227</v>
      </c>
      <c r="AU73" s="4">
        <v>11.814773049999999</v>
      </c>
      <c r="AV73" s="4">
        <v>12.03467719</v>
      </c>
      <c r="AY73" s="4">
        <v>15.570552149999999</v>
      </c>
      <c r="AZ73" s="4">
        <v>15.33496933</v>
      </c>
      <c r="BA73" s="4">
        <v>17.642232870000001</v>
      </c>
      <c r="BB73" s="4">
        <v>17.481533689999999</v>
      </c>
    </row>
    <row r="74" spans="1:56">
      <c r="A74" s="11">
        <v>4.3600000000000003</v>
      </c>
      <c r="B74" s="4">
        <v>1.788957055</v>
      </c>
      <c r="C74" s="4">
        <v>1.8871165640000001</v>
      </c>
      <c r="D74" s="4">
        <v>2.6718353540000002</v>
      </c>
      <c r="E74" s="4">
        <v>2.8607273750000002</v>
      </c>
      <c r="F74" s="4">
        <v>2.2513388079999999</v>
      </c>
      <c r="G74" s="4">
        <v>1.976436987</v>
      </c>
      <c r="H74" s="4">
        <v>18.034355829999999</v>
      </c>
      <c r="I74" s="4">
        <v>18.424539880000001</v>
      </c>
      <c r="J74" s="4">
        <v>18.468283060000001</v>
      </c>
      <c r="K74" s="4">
        <v>20.303636879999999</v>
      </c>
      <c r="L74" s="4">
        <v>26.44983934</v>
      </c>
      <c r="M74" s="4">
        <v>22.83327383</v>
      </c>
      <c r="N74" s="7"/>
      <c r="T74" s="4">
        <v>10</v>
      </c>
      <c r="U74" s="4">
        <v>0.16922527700000001</v>
      </c>
      <c r="V74" s="4">
        <v>0.14958943199999999</v>
      </c>
      <c r="W74" s="4">
        <v>0.182407668</v>
      </c>
      <c r="X74" s="4">
        <v>0.18945587799999999</v>
      </c>
      <c r="Y74" s="4">
        <v>0.152392638</v>
      </c>
      <c r="Z74" s="4">
        <v>0.14282208599999999</v>
      </c>
      <c r="AA74" s="4">
        <v>0.24848268500000001</v>
      </c>
      <c r="AB74" s="4">
        <v>0.36986790400000003</v>
      </c>
      <c r="AC74" s="4">
        <v>0.23067484699999999</v>
      </c>
      <c r="AD74" s="4">
        <v>0.24539877299999999</v>
      </c>
      <c r="AE74" s="4">
        <v>0.526360304</v>
      </c>
      <c r="AF74" s="4">
        <v>0.523541021</v>
      </c>
      <c r="AG74" s="4">
        <v>1.2124241339999999</v>
      </c>
      <c r="AH74" s="4">
        <v>1.048197072</v>
      </c>
      <c r="AI74" s="4">
        <v>0.71901840500000003</v>
      </c>
      <c r="AJ74" s="4">
        <v>0.775460123</v>
      </c>
      <c r="AK74" s="4">
        <v>1.575133916</v>
      </c>
      <c r="AL74" s="4">
        <v>1.896532281</v>
      </c>
      <c r="AM74" s="4">
        <v>4.6331288339999999</v>
      </c>
      <c r="AN74" s="4">
        <v>4.6478527610000002</v>
      </c>
      <c r="AO74" s="4">
        <v>6.8641105160000002</v>
      </c>
      <c r="AP74" s="4">
        <v>5.9591203830000001</v>
      </c>
      <c r="AQ74" s="4">
        <v>8.6847554440000003</v>
      </c>
      <c r="AR74" s="4">
        <v>8.4991074619999996</v>
      </c>
      <c r="AS74" s="4">
        <v>11.81840491</v>
      </c>
      <c r="AT74" s="4">
        <v>12.7607362</v>
      </c>
      <c r="AU74" s="4">
        <v>14.41697209</v>
      </c>
      <c r="AV74" s="4">
        <v>14.02509163</v>
      </c>
      <c r="AW74" s="4">
        <v>19.34523385</v>
      </c>
      <c r="AX74" s="4">
        <v>18.084969650000001</v>
      </c>
      <c r="AY74" s="4">
        <v>18.424539880000001</v>
      </c>
      <c r="AZ74" s="4">
        <v>17.705521470000001</v>
      </c>
      <c r="BA74" s="4">
        <v>19.336622500000001</v>
      </c>
      <c r="BB74" s="4">
        <v>19.39582746</v>
      </c>
      <c r="BC74" s="4">
        <v>26.36772581</v>
      </c>
      <c r="BD74" s="4">
        <v>26.774723309999999</v>
      </c>
    </row>
    <row r="75" spans="1:56">
      <c r="A75" s="11">
        <v>7.74</v>
      </c>
      <c r="B75" s="4">
        <v>6.4711656440000001</v>
      </c>
      <c r="C75" s="4">
        <v>4.6625766869999996</v>
      </c>
      <c r="D75" s="4">
        <v>7.6422328730000002</v>
      </c>
      <c r="E75" s="4">
        <v>8.0031012120000007</v>
      </c>
      <c r="F75" s="4">
        <v>8.7918600500000004</v>
      </c>
      <c r="G75" s="4">
        <v>8.8454123530000004</v>
      </c>
      <c r="H75" s="4">
        <v>22.26993865</v>
      </c>
      <c r="I75" s="4">
        <v>20.88588957</v>
      </c>
      <c r="J75" s="4">
        <v>21.84860445</v>
      </c>
      <c r="K75" s="4">
        <v>23.51198196</v>
      </c>
      <c r="L75" s="4">
        <v>31.394501959999999</v>
      </c>
      <c r="M75" s="4">
        <v>30.355587289999999</v>
      </c>
      <c r="N75" s="7"/>
      <c r="T75" s="4">
        <v>50</v>
      </c>
      <c r="U75" s="4">
        <v>0.14709032499999999</v>
      </c>
      <c r="V75" s="4">
        <v>0.14423420200000001</v>
      </c>
      <c r="AA75" s="4">
        <v>0.66262049300000003</v>
      </c>
      <c r="AB75" s="4">
        <v>0.89825062499999997</v>
      </c>
      <c r="AG75" s="4">
        <v>4.2898964660000001</v>
      </c>
      <c r="AH75" s="4">
        <v>3.8543377369999998</v>
      </c>
      <c r="AQ75" s="4">
        <v>15.557300959999999</v>
      </c>
      <c r="AR75" s="4">
        <v>15.46090682</v>
      </c>
      <c r="AW75" s="4">
        <v>24.953945019999999</v>
      </c>
      <c r="AX75" s="4">
        <v>24.275615850000001</v>
      </c>
      <c r="BC75" s="4">
        <v>30.63762942</v>
      </c>
      <c r="BD75" s="4">
        <v>27.270974649999999</v>
      </c>
    </row>
    <row r="76" spans="1:56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4">
        <v>100</v>
      </c>
      <c r="U76" s="4">
        <v>0.15315958599999999</v>
      </c>
      <c r="V76" s="4">
        <v>0.14958943199999999</v>
      </c>
      <c r="W76" s="4">
        <v>0.18720045099999999</v>
      </c>
      <c r="X76" s="4">
        <v>0.184663096</v>
      </c>
      <c r="Y76" s="4">
        <v>0.14625766900000001</v>
      </c>
      <c r="Z76" s="4">
        <v>0.14208588999999999</v>
      </c>
      <c r="AA76" s="4">
        <v>0.85540878300000001</v>
      </c>
      <c r="AB76" s="4">
        <v>1.1553016780000001</v>
      </c>
      <c r="AC76" s="4">
        <v>0.741104294</v>
      </c>
      <c r="AD76" s="4">
        <v>0.68711656399999999</v>
      </c>
      <c r="AE76" s="4">
        <v>2.10515929</v>
      </c>
      <c r="AF76" s="4">
        <v>1.820411615</v>
      </c>
      <c r="AG76" s="4">
        <v>5.1788646910000002</v>
      </c>
      <c r="AH76" s="4">
        <v>4.6861835059999999</v>
      </c>
      <c r="AI76" s="4">
        <v>3.2932515339999999</v>
      </c>
      <c r="AJ76" s="4">
        <v>3.2220858899999998</v>
      </c>
      <c r="AK76" s="4">
        <v>5.9760360869999998</v>
      </c>
      <c r="AL76" s="4">
        <v>5.4657457010000003</v>
      </c>
      <c r="AM76" s="4">
        <v>10.39018405</v>
      </c>
      <c r="AN76" s="4">
        <v>10.42208589</v>
      </c>
      <c r="AO76" s="4">
        <v>13.55990978</v>
      </c>
      <c r="AP76" s="4">
        <v>13.520439809999999</v>
      </c>
      <c r="AQ76" s="4">
        <v>16.339164579999998</v>
      </c>
      <c r="AR76" s="4">
        <v>17.699393069999999</v>
      </c>
      <c r="AS76" s="4">
        <v>18.034355829999999</v>
      </c>
      <c r="AT76" s="4">
        <v>18.424539880000001</v>
      </c>
      <c r="AU76" s="4">
        <v>18.468283060000001</v>
      </c>
      <c r="AV76" s="4">
        <v>20.303636879999999</v>
      </c>
      <c r="AW76" s="4">
        <v>26.44983934</v>
      </c>
      <c r="AX76" s="4">
        <v>22.83327383</v>
      </c>
      <c r="AY76" s="4">
        <v>22.26993865</v>
      </c>
      <c r="AZ76" s="4">
        <v>20.88588957</v>
      </c>
      <c r="BA76" s="4">
        <v>21.84860445</v>
      </c>
      <c r="BB76" s="4">
        <v>23.51198196</v>
      </c>
      <c r="BC76" s="4">
        <v>31.394501959999999</v>
      </c>
      <c r="BD76" s="4">
        <v>30.355587289999999</v>
      </c>
    </row>
    <row r="77" spans="1:56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4">
        <v>500</v>
      </c>
      <c r="U77" s="4">
        <v>0.14958943199999999</v>
      </c>
      <c r="V77" s="4">
        <v>0.14709032499999999</v>
      </c>
      <c r="AA77" s="4">
        <v>1.2838272049999999</v>
      </c>
      <c r="AB77" s="4">
        <v>1.722956087</v>
      </c>
      <c r="AG77" s="4">
        <v>5.8536237059999996</v>
      </c>
      <c r="AH77" s="4">
        <v>6.1499464479999997</v>
      </c>
      <c r="AQ77" s="4">
        <v>18.934666190000002</v>
      </c>
      <c r="AR77" s="4">
        <v>18.820421280000001</v>
      </c>
      <c r="AW77" s="4">
        <v>26.85683684</v>
      </c>
      <c r="AX77" s="4">
        <v>26.44983934</v>
      </c>
    </row>
    <row r="78" spans="1:56" ht="20.25">
      <c r="A78" s="136" t="s">
        <v>2218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45"/>
      <c r="R78" s="7"/>
      <c r="S78" s="7"/>
    </row>
    <row r="79" spans="1:56" ht="16.5">
      <c r="A79" s="112" t="s">
        <v>1705</v>
      </c>
      <c r="B79" s="244" t="s">
        <v>2106</v>
      </c>
      <c r="C79" s="244"/>
      <c r="D79" s="244"/>
      <c r="E79" s="244"/>
      <c r="F79" s="244"/>
      <c r="G79" s="244"/>
      <c r="H79" s="244"/>
      <c r="I79" s="244"/>
      <c r="J79" s="244"/>
      <c r="T79" s="138" t="s">
        <v>2088</v>
      </c>
      <c r="U79" s="244" t="s">
        <v>1886</v>
      </c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</row>
    <row r="80" spans="1:56" ht="20.25">
      <c r="A80" s="6" t="s">
        <v>1698</v>
      </c>
      <c r="B80" s="258">
        <v>0</v>
      </c>
      <c r="C80" s="258"/>
      <c r="D80" s="258"/>
      <c r="E80" s="258"/>
      <c r="F80" s="258"/>
      <c r="G80" s="258"/>
      <c r="H80" s="259">
        <v>100</v>
      </c>
      <c r="I80" s="259"/>
      <c r="J80" s="259"/>
      <c r="K80" s="259"/>
      <c r="L80" s="259"/>
      <c r="M80" s="259"/>
      <c r="N80" s="135">
        <v>500</v>
      </c>
      <c r="O80" s="135"/>
      <c r="P80" s="135"/>
      <c r="R80" s="45" t="s">
        <v>995</v>
      </c>
      <c r="T80" s="139" t="s">
        <v>1915</v>
      </c>
      <c r="U80" s="4">
        <v>0</v>
      </c>
      <c r="Y80" s="4">
        <v>6.1349689999999997E-3</v>
      </c>
      <c r="AA80" s="4">
        <v>0.111031774</v>
      </c>
      <c r="AC80" s="4">
        <v>0.15607362</v>
      </c>
      <c r="AE80" s="4">
        <v>0.18593177299999999</v>
      </c>
      <c r="AG80" s="4">
        <v>0.459121742</v>
      </c>
      <c r="AI80" s="4">
        <v>0.48834355800000001</v>
      </c>
      <c r="AK80" s="4">
        <v>0.67860163500000004</v>
      </c>
      <c r="AM80" s="4">
        <v>1.4306748469999999</v>
      </c>
      <c r="AO80" s="4">
        <v>1.80208627</v>
      </c>
      <c r="AQ80" s="4">
        <v>2.2638343449999998</v>
      </c>
      <c r="AS80" s="4">
        <v>3.9435582820000001</v>
      </c>
      <c r="AU80" s="4">
        <v>4.2971525230000003</v>
      </c>
      <c r="AW80" s="4">
        <v>4.850410568</v>
      </c>
      <c r="AY80" s="4">
        <v>6.7558282209999998</v>
      </c>
      <c r="BA80" s="4">
        <v>7.5054976040000003</v>
      </c>
      <c r="BC80" s="4">
        <v>8.9650124959999999</v>
      </c>
    </row>
    <row r="81" spans="1:69">
      <c r="A81" s="11">
        <v>0</v>
      </c>
      <c r="B81" s="4">
        <v>0.31988575499999999</v>
      </c>
      <c r="C81" s="4">
        <v>0.31274544799999998</v>
      </c>
      <c r="D81" s="4">
        <v>0.25288976600000002</v>
      </c>
      <c r="E81" s="4">
        <v>0.25007048199999998</v>
      </c>
      <c r="F81" s="4">
        <v>0.23067484699999999</v>
      </c>
      <c r="G81" s="4">
        <v>0.26748466300000001</v>
      </c>
      <c r="H81" s="4">
        <v>0.34130667599999998</v>
      </c>
      <c r="I81" s="4">
        <v>0.33773652300000001</v>
      </c>
      <c r="J81" s="4">
        <v>0.30927544400000001</v>
      </c>
      <c r="K81" s="4">
        <v>0.26416690199999998</v>
      </c>
      <c r="L81" s="4">
        <v>0.255214724</v>
      </c>
      <c r="M81" s="4">
        <v>0.29938650300000003</v>
      </c>
      <c r="T81" s="4">
        <v>0</v>
      </c>
      <c r="U81" s="4">
        <v>0.31988575499999999</v>
      </c>
      <c r="V81" s="4">
        <v>0.31274544799999998</v>
      </c>
      <c r="W81" s="4">
        <v>0.25288976600000002</v>
      </c>
      <c r="X81" s="4">
        <v>0.25007048199999998</v>
      </c>
      <c r="Y81" s="4">
        <v>0.23067484699999999</v>
      </c>
      <c r="Z81" s="4">
        <v>0.26748466300000001</v>
      </c>
      <c r="AA81" s="4">
        <v>0.35201713699999998</v>
      </c>
      <c r="AB81" s="4">
        <v>0.34487683000000002</v>
      </c>
      <c r="AC81" s="4">
        <v>0.16024539900000001</v>
      </c>
      <c r="AD81" s="4">
        <v>0.27484662599999998</v>
      </c>
      <c r="AE81" s="4">
        <v>0.28108260499999999</v>
      </c>
      <c r="AF81" s="4">
        <v>0.30645615999999998</v>
      </c>
      <c r="AG81" s="4">
        <v>0.37700821099999998</v>
      </c>
      <c r="AH81" s="4">
        <v>0.38057836499999997</v>
      </c>
      <c r="AI81" s="4">
        <v>0.24539877299999999</v>
      </c>
      <c r="AJ81" s="4">
        <v>0.27484662599999998</v>
      </c>
      <c r="AK81" s="4">
        <v>0.39385396099999997</v>
      </c>
      <c r="AL81" s="4">
        <v>0.30927544400000001</v>
      </c>
      <c r="AM81" s="4">
        <v>0.44907975500000002</v>
      </c>
      <c r="AN81" s="4">
        <v>0.48834355800000001</v>
      </c>
      <c r="AO81" s="4">
        <v>0.56583027900000005</v>
      </c>
      <c r="AP81" s="4">
        <v>0.72089089399999995</v>
      </c>
      <c r="AQ81" s="4">
        <v>0.67333095300000001</v>
      </c>
      <c r="AR81" s="4">
        <v>0.64476972499999996</v>
      </c>
      <c r="AS81" s="4">
        <v>1.906748466</v>
      </c>
      <c r="AT81" s="4">
        <v>2.044171779</v>
      </c>
      <c r="AU81" s="4">
        <v>2.3645334089999999</v>
      </c>
      <c r="AV81" s="4">
        <v>2.508316888</v>
      </c>
      <c r="AW81" s="4">
        <v>2.2227775790000002</v>
      </c>
      <c r="AX81" s="4">
        <v>2.283470189</v>
      </c>
      <c r="AY81" s="4">
        <v>5.0699386500000001</v>
      </c>
      <c r="AZ81" s="4">
        <v>6.3901840490000001</v>
      </c>
      <c r="BA81" s="4">
        <v>6.1254581339999996</v>
      </c>
      <c r="BB81" s="4">
        <v>6.3171694389999997</v>
      </c>
      <c r="BC81" s="4">
        <v>8.3670117820000005</v>
      </c>
      <c r="BD81" s="4">
        <v>7.9885755090000004</v>
      </c>
    </row>
    <row r="82" spans="1:69">
      <c r="A82" s="11">
        <v>0.15</v>
      </c>
      <c r="B82" s="4">
        <v>0.35201713699999998</v>
      </c>
      <c r="C82" s="4">
        <v>0.34487683000000002</v>
      </c>
      <c r="D82" s="4">
        <v>0.16024539900000001</v>
      </c>
      <c r="E82" s="4">
        <v>0.27484662599999998</v>
      </c>
      <c r="F82" s="4">
        <v>0.28108260499999999</v>
      </c>
      <c r="G82" s="4">
        <v>0.30645615999999998</v>
      </c>
      <c r="H82" s="4">
        <v>1.2052838269999999</v>
      </c>
      <c r="I82" s="4">
        <v>1.180292753</v>
      </c>
      <c r="J82" s="4">
        <v>0.75337423299999995</v>
      </c>
      <c r="K82" s="4">
        <v>1.4527607360000001</v>
      </c>
      <c r="L82" s="4">
        <v>1.8457851709999999</v>
      </c>
      <c r="M82" s="4">
        <v>2.1192557089999999</v>
      </c>
      <c r="T82" s="4">
        <v>0.1</v>
      </c>
      <c r="U82" s="4">
        <v>0.34130667599999998</v>
      </c>
      <c r="V82" s="4">
        <v>0.330596216</v>
      </c>
      <c r="W82" s="4">
        <v>0.28108260499999999</v>
      </c>
      <c r="X82" s="4">
        <v>0.25570904999999999</v>
      </c>
      <c r="Y82" s="4">
        <v>0.23803680999999999</v>
      </c>
      <c r="Z82" s="4">
        <v>0.27730061299999997</v>
      </c>
      <c r="AA82" s="4">
        <v>0.35558729</v>
      </c>
      <c r="AB82" s="4">
        <v>0.31274544799999998</v>
      </c>
      <c r="AC82" s="4">
        <v>0.16392638000000001</v>
      </c>
      <c r="AD82" s="4">
        <v>0.27730061299999997</v>
      </c>
      <c r="AE82" s="4">
        <v>0.31491401200000002</v>
      </c>
      <c r="AF82" s="4">
        <v>0.334648999</v>
      </c>
      <c r="AG82" s="4">
        <v>0.366297751</v>
      </c>
      <c r="AH82" s="4">
        <v>0.394858979</v>
      </c>
      <c r="AI82" s="4">
        <v>0.28711656400000002</v>
      </c>
      <c r="AJ82" s="4">
        <v>0.306748466</v>
      </c>
      <c r="AK82" s="4">
        <v>0.33746828299999998</v>
      </c>
      <c r="AL82" s="4">
        <v>0.35720327000000002</v>
      </c>
      <c r="AM82" s="4">
        <v>0.52269938699999996</v>
      </c>
      <c r="AN82" s="4">
        <v>0.53742331300000001</v>
      </c>
      <c r="AO82" s="4">
        <v>0.67860163500000004</v>
      </c>
      <c r="AP82" s="4">
        <v>0.61939667300000001</v>
      </c>
      <c r="AQ82" s="4">
        <v>0.68047126000000002</v>
      </c>
      <c r="AR82" s="4">
        <v>0.72331310199999999</v>
      </c>
      <c r="AS82" s="4">
        <v>2.0490797550000002</v>
      </c>
      <c r="AT82" s="4">
        <v>2.7116564419999998</v>
      </c>
      <c r="AU82" s="4">
        <v>3.0439808290000001</v>
      </c>
      <c r="AV82" s="4">
        <v>2.6380039470000001</v>
      </c>
      <c r="AW82" s="4">
        <v>2.312031417</v>
      </c>
      <c r="AX82" s="4">
        <v>2.4584077120000001</v>
      </c>
      <c r="AY82" s="4">
        <v>7.1190184050000003</v>
      </c>
      <c r="AZ82" s="4">
        <v>7.0748466260000002</v>
      </c>
      <c r="BA82" s="4">
        <v>6.1254581339999996</v>
      </c>
      <c r="BB82" s="4">
        <v>6.8838455029999999</v>
      </c>
      <c r="BC82" s="4">
        <v>8.8739735809999996</v>
      </c>
      <c r="BD82" s="4">
        <v>8.9560871120000005</v>
      </c>
    </row>
    <row r="83" spans="1:69">
      <c r="A83" s="11">
        <v>0.54</v>
      </c>
      <c r="B83" s="4">
        <v>0.37700821099999998</v>
      </c>
      <c r="C83" s="4">
        <v>0.38057836499999997</v>
      </c>
      <c r="D83" s="4">
        <v>0.24539877299999999</v>
      </c>
      <c r="E83" s="4">
        <v>0.27484662599999998</v>
      </c>
      <c r="F83" s="4">
        <v>0.39385396099999997</v>
      </c>
      <c r="G83" s="4">
        <v>0.30927544400000001</v>
      </c>
      <c r="H83" s="4">
        <v>5.4787575869999996</v>
      </c>
      <c r="I83" s="4">
        <v>5.7250981789999997</v>
      </c>
      <c r="J83" s="4">
        <v>4.7509202449999997</v>
      </c>
      <c r="K83" s="4">
        <v>4.809815951</v>
      </c>
      <c r="L83" s="4">
        <v>4.6848040600000003</v>
      </c>
      <c r="M83" s="4">
        <v>5.0907809420000003</v>
      </c>
      <c r="T83" s="4">
        <v>1</v>
      </c>
      <c r="U83" s="4">
        <v>0.35201713699999998</v>
      </c>
      <c r="V83" s="4">
        <v>0.32345590899999999</v>
      </c>
      <c r="W83" s="4">
        <v>0.30927544400000001</v>
      </c>
      <c r="X83" s="4">
        <v>0.26698618600000001</v>
      </c>
      <c r="Y83" s="4">
        <v>0.28957055199999998</v>
      </c>
      <c r="Z83" s="4">
        <v>0.28466257700000003</v>
      </c>
      <c r="AA83" s="4">
        <v>0.37343805800000002</v>
      </c>
      <c r="AB83" s="4">
        <v>0.37700821099999998</v>
      </c>
      <c r="AC83" s="4">
        <v>0.18650306699999999</v>
      </c>
      <c r="AD83" s="4">
        <v>0.37791411000000003</v>
      </c>
      <c r="AE83" s="4">
        <v>0.348745419</v>
      </c>
      <c r="AF83" s="4">
        <v>0.34028756700000001</v>
      </c>
      <c r="AG83" s="4">
        <v>0.48411281699999997</v>
      </c>
      <c r="AH83" s="4">
        <v>0.49125312399999999</v>
      </c>
      <c r="AI83" s="4">
        <v>0.456441718</v>
      </c>
      <c r="AJ83" s="4">
        <v>0.51779141100000003</v>
      </c>
      <c r="AK83" s="4">
        <v>0.526360304</v>
      </c>
      <c r="AL83" s="4">
        <v>0.405131097</v>
      </c>
      <c r="AM83" s="4">
        <v>1.2907975460000001</v>
      </c>
      <c r="AN83" s="4">
        <v>1.371779141</v>
      </c>
      <c r="AO83" s="4">
        <v>1.2424584160000001</v>
      </c>
      <c r="AP83" s="4">
        <v>1.318579081</v>
      </c>
      <c r="AQ83" s="4">
        <v>1.494466262</v>
      </c>
      <c r="AR83" s="4">
        <v>1.6444127100000001</v>
      </c>
      <c r="AS83" s="4">
        <v>5.8085889570000004</v>
      </c>
      <c r="AT83" s="4">
        <v>5.9533742329999999</v>
      </c>
      <c r="AU83" s="4">
        <v>5.5672399209999996</v>
      </c>
      <c r="AV83" s="4">
        <v>5.265576544</v>
      </c>
      <c r="AW83" s="4">
        <v>6.2106390569999999</v>
      </c>
      <c r="AX83" s="4">
        <v>5.8536237059999996</v>
      </c>
      <c r="AY83" s="4">
        <v>10.9791411</v>
      </c>
      <c r="AZ83" s="4">
        <v>11.28588957</v>
      </c>
      <c r="BA83" s="4">
        <v>10.29235974</v>
      </c>
      <c r="BB83" s="4">
        <v>10.90978292</v>
      </c>
      <c r="BC83" s="4">
        <v>13.96858265</v>
      </c>
      <c r="BD83" s="4">
        <v>13.672259909999999</v>
      </c>
    </row>
    <row r="84" spans="1:69">
      <c r="A84" s="11">
        <v>1.83</v>
      </c>
      <c r="B84" s="4">
        <v>0.44907975500000002</v>
      </c>
      <c r="C84" s="4">
        <v>0.48834355800000001</v>
      </c>
      <c r="D84" s="4">
        <v>0.56583027900000005</v>
      </c>
      <c r="E84" s="4">
        <v>0.72089089399999995</v>
      </c>
      <c r="F84" s="4">
        <v>0.67333095300000001</v>
      </c>
      <c r="G84" s="4">
        <v>0.64476972499999996</v>
      </c>
      <c r="H84" s="4">
        <v>11.18282209</v>
      </c>
      <c r="I84" s="4">
        <v>11.49693252</v>
      </c>
      <c r="J84" s="4">
        <v>11.11277136</v>
      </c>
      <c r="K84" s="4">
        <v>11.389061180000001</v>
      </c>
      <c r="L84" s="4">
        <v>16.442699040000001</v>
      </c>
      <c r="M84" s="4">
        <v>16.13923599</v>
      </c>
      <c r="T84" s="4">
        <v>5</v>
      </c>
      <c r="U84" s="4">
        <v>0.32619114700000001</v>
      </c>
      <c r="V84" s="4">
        <v>0.25288976600000002</v>
      </c>
      <c r="Y84" s="4">
        <v>0.29938650300000003</v>
      </c>
      <c r="Z84" s="4">
        <v>0.34110429399999997</v>
      </c>
      <c r="AC84" s="4">
        <v>0.242944785</v>
      </c>
      <c r="AD84" s="4">
        <v>0.47607361999999998</v>
      </c>
      <c r="AE84" s="4">
        <v>0.48125176200000003</v>
      </c>
      <c r="AF84" s="4">
        <v>0.526360304</v>
      </c>
      <c r="AI84" s="4">
        <v>0.92515337399999997</v>
      </c>
      <c r="AJ84" s="4">
        <v>0.966871166</v>
      </c>
      <c r="AK84" s="4">
        <v>1.3721454749999999</v>
      </c>
      <c r="AL84" s="4">
        <v>0.95489145799999997</v>
      </c>
      <c r="AM84" s="4">
        <v>3.4944785280000001</v>
      </c>
      <c r="AN84" s="4">
        <v>3.8601226990000002</v>
      </c>
      <c r="AO84" s="4">
        <v>4.7581054409999997</v>
      </c>
      <c r="AP84" s="4">
        <v>4.2027065129999999</v>
      </c>
      <c r="AS84" s="4">
        <v>10.26257669</v>
      </c>
      <c r="AT84" s="4">
        <v>10.39018405</v>
      </c>
      <c r="AU84" s="4">
        <v>10.044262760000001</v>
      </c>
      <c r="AV84" s="4">
        <v>10.01325063</v>
      </c>
      <c r="AY84" s="4">
        <v>15.33496933</v>
      </c>
      <c r="AZ84" s="4">
        <v>15.8601227</v>
      </c>
      <c r="BA84" s="4">
        <v>14.59458697</v>
      </c>
      <c r="BB84" s="4">
        <v>15.09360023</v>
      </c>
    </row>
    <row r="85" spans="1:69">
      <c r="A85" s="11">
        <v>4.3600000000000003</v>
      </c>
      <c r="B85" s="4">
        <v>1.906748466</v>
      </c>
      <c r="C85" s="4">
        <v>2.044171779</v>
      </c>
      <c r="D85" s="4">
        <v>2.3645334089999999</v>
      </c>
      <c r="E85" s="4">
        <v>2.508316888</v>
      </c>
      <c r="F85" s="4">
        <v>2.2227775790000002</v>
      </c>
      <c r="G85" s="4">
        <v>2.283470189</v>
      </c>
      <c r="H85" s="4">
        <v>17.815950919999999</v>
      </c>
      <c r="I85" s="4">
        <v>17.7595092</v>
      </c>
      <c r="J85" s="4">
        <v>17.320834510000001</v>
      </c>
      <c r="K85" s="4">
        <v>18.245559629999999</v>
      </c>
      <c r="L85" s="4">
        <v>24.425562299999999</v>
      </c>
      <c r="M85" s="4">
        <v>23.325955019999999</v>
      </c>
      <c r="T85" s="4">
        <v>10</v>
      </c>
      <c r="U85" s="4">
        <v>0.37700821099999998</v>
      </c>
      <c r="V85" s="4">
        <v>0.34130667599999998</v>
      </c>
      <c r="W85" s="4">
        <v>0.28108260499999999</v>
      </c>
      <c r="X85" s="4">
        <v>0.26980546900000002</v>
      </c>
      <c r="Y85" s="4">
        <v>0.32392638000000001</v>
      </c>
      <c r="Z85" s="4">
        <v>0.32638036799999998</v>
      </c>
      <c r="AA85" s="4">
        <v>0.459121742</v>
      </c>
      <c r="AB85" s="4">
        <v>0.55194573400000002</v>
      </c>
      <c r="AC85" s="4">
        <v>0.25030674800000002</v>
      </c>
      <c r="AD85" s="4">
        <v>0.59141104300000003</v>
      </c>
      <c r="AE85" s="4">
        <v>0.61657738900000003</v>
      </c>
      <c r="AF85" s="4">
        <v>0.73780659699999995</v>
      </c>
      <c r="AG85" s="4">
        <v>1.5872902529999999</v>
      </c>
      <c r="AH85" s="4">
        <v>1.540878258</v>
      </c>
      <c r="AI85" s="4">
        <v>1.447852761</v>
      </c>
      <c r="AJ85" s="4">
        <v>1.435582822</v>
      </c>
      <c r="AK85" s="4">
        <v>1.600507471</v>
      </c>
      <c r="AL85" s="4">
        <v>1.5018325349999999</v>
      </c>
      <c r="AM85" s="4">
        <v>5.8797546010000001</v>
      </c>
      <c r="AN85" s="4">
        <v>6.1766871170000002</v>
      </c>
      <c r="AO85" s="4">
        <v>5.8491683109999997</v>
      </c>
      <c r="AP85" s="4">
        <v>5.829433324</v>
      </c>
      <c r="AQ85" s="4">
        <v>8.7668689749999995</v>
      </c>
      <c r="AR85" s="4">
        <v>8.8204212779999995</v>
      </c>
      <c r="AS85" s="4">
        <v>12.8</v>
      </c>
      <c r="AT85" s="4">
        <v>12.68220859</v>
      </c>
      <c r="AU85" s="4">
        <v>12.446292639999999</v>
      </c>
      <c r="AV85" s="4">
        <v>12.22074993</v>
      </c>
      <c r="AW85" s="4">
        <v>17.270974649999999</v>
      </c>
      <c r="AX85" s="4">
        <v>17.006783290000001</v>
      </c>
      <c r="AY85" s="4">
        <v>17.330061350000001</v>
      </c>
      <c r="AZ85" s="4">
        <v>17.869938650000002</v>
      </c>
      <c r="BA85" s="4">
        <v>16.444037210000001</v>
      </c>
      <c r="BB85" s="4">
        <v>16.644206369999999</v>
      </c>
      <c r="BC85" s="4">
        <v>23.686540520000001</v>
      </c>
      <c r="BD85" s="4">
        <v>23.615137449999999</v>
      </c>
    </row>
    <row r="86" spans="1:69">
      <c r="A86" s="11">
        <v>7.74</v>
      </c>
      <c r="B86" s="4">
        <v>5.0699386500000001</v>
      </c>
      <c r="C86" s="4">
        <v>6.3901840490000001</v>
      </c>
      <c r="D86" s="4">
        <v>6.1254581339999996</v>
      </c>
      <c r="E86" s="4">
        <v>6.3171694389999997</v>
      </c>
      <c r="F86" s="4">
        <v>8.3670117820000005</v>
      </c>
      <c r="G86" s="4">
        <v>7.9885755090000004</v>
      </c>
      <c r="H86" s="4">
        <v>18.034355829999999</v>
      </c>
      <c r="I86" s="4">
        <v>19.349693250000001</v>
      </c>
      <c r="J86" s="4">
        <v>19.218212569999999</v>
      </c>
      <c r="K86" s="4">
        <v>21.716098110000001</v>
      </c>
      <c r="L86" s="4">
        <v>30.077115320000001</v>
      </c>
      <c r="T86" s="4">
        <v>50</v>
      </c>
      <c r="U86" s="4">
        <v>0.366297751</v>
      </c>
      <c r="V86" s="4">
        <v>0.34844698299999999</v>
      </c>
      <c r="AA86" s="4">
        <v>0.90182077800000005</v>
      </c>
      <c r="AB86" s="4">
        <v>1.041056765</v>
      </c>
      <c r="AG86" s="4">
        <v>4.1328097110000002</v>
      </c>
      <c r="AH86" s="4">
        <v>4.2898964660000001</v>
      </c>
      <c r="AQ86" s="4">
        <v>13.925740810000001</v>
      </c>
      <c r="AR86" s="4">
        <v>14.49339522</v>
      </c>
      <c r="AW86" s="4">
        <v>23.183148880000001</v>
      </c>
      <c r="AX86" s="4">
        <v>23.25455195</v>
      </c>
      <c r="BC86" s="4">
        <v>28.995358800000002</v>
      </c>
      <c r="BD86" s="4">
        <v>26.938950370000001</v>
      </c>
    </row>
    <row r="87" spans="1:69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4">
        <v>100</v>
      </c>
      <c r="U87" s="4">
        <v>0.34130667599999998</v>
      </c>
      <c r="V87" s="4">
        <v>0.33773652300000001</v>
      </c>
      <c r="W87" s="4">
        <v>0.30927544400000001</v>
      </c>
      <c r="X87" s="4">
        <v>0.26416690199999998</v>
      </c>
      <c r="Y87" s="4">
        <v>0.255214724</v>
      </c>
      <c r="Z87" s="4">
        <v>0.29938650300000003</v>
      </c>
      <c r="AA87" s="4">
        <v>1.2052838269999999</v>
      </c>
      <c r="AB87" s="4">
        <v>1.180292753</v>
      </c>
      <c r="AC87" s="4">
        <v>0.75337423299999995</v>
      </c>
      <c r="AD87" s="4">
        <v>1.4527607360000001</v>
      </c>
      <c r="AE87" s="4">
        <v>1.8457851709999999</v>
      </c>
      <c r="AF87" s="4">
        <v>2.1192557089999999</v>
      </c>
      <c r="AG87" s="4">
        <v>5.4787575869999996</v>
      </c>
      <c r="AH87" s="4">
        <v>5.7250981789999997</v>
      </c>
      <c r="AI87" s="4">
        <v>4.7509202449999997</v>
      </c>
      <c r="AJ87" s="4">
        <v>4.809815951</v>
      </c>
      <c r="AK87" s="4">
        <v>4.6848040600000003</v>
      </c>
      <c r="AL87" s="4">
        <v>5.0907809420000003</v>
      </c>
      <c r="AM87" s="4">
        <v>11.18282209</v>
      </c>
      <c r="AN87" s="4">
        <v>11.49693252</v>
      </c>
      <c r="AO87" s="4">
        <v>11.11277136</v>
      </c>
      <c r="AP87" s="4">
        <v>11.389061180000001</v>
      </c>
      <c r="AQ87" s="4">
        <v>16.442699040000001</v>
      </c>
      <c r="AR87" s="4">
        <v>16.13923599</v>
      </c>
      <c r="AS87" s="4">
        <v>17.815950919999999</v>
      </c>
      <c r="AT87" s="4">
        <v>17.7595092</v>
      </c>
      <c r="AU87" s="4">
        <v>17.320834510000001</v>
      </c>
      <c r="AV87" s="4">
        <v>18.245559629999999</v>
      </c>
      <c r="AW87" s="4">
        <v>24.425562299999999</v>
      </c>
      <c r="AX87" s="4">
        <v>23.325955019999999</v>
      </c>
      <c r="AY87" s="4">
        <v>18.034355829999999</v>
      </c>
      <c r="AZ87" s="4">
        <v>19.349693250000001</v>
      </c>
      <c r="BA87" s="4">
        <v>19.218212569999999</v>
      </c>
      <c r="BB87" s="4">
        <v>21.716098110000001</v>
      </c>
      <c r="BC87" s="4">
        <v>30.077115320000001</v>
      </c>
    </row>
    <row r="88" spans="1:69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4">
        <v>500</v>
      </c>
      <c r="U88" s="4">
        <v>0.38057836499999997</v>
      </c>
      <c r="V88" s="4">
        <v>0.35201713699999998</v>
      </c>
      <c r="AA88" s="4">
        <v>1.8657622279999999</v>
      </c>
      <c r="AB88" s="4">
        <v>1.869332381</v>
      </c>
      <c r="AG88" s="4">
        <v>6.988932524</v>
      </c>
      <c r="AH88" s="4">
        <v>7.1424491249999997</v>
      </c>
      <c r="AQ88" s="4">
        <v>17.917172440000002</v>
      </c>
      <c r="AR88" s="4">
        <v>17.699393069999999</v>
      </c>
      <c r="AW88" s="4">
        <v>26.128525530000001</v>
      </c>
      <c r="AX88" s="4">
        <v>26.44983934</v>
      </c>
      <c r="BC88" s="4">
        <v>30.823277399999998</v>
      </c>
    </row>
    <row r="89" spans="1:69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69" ht="16.5">
      <c r="A90" s="112" t="s">
        <v>1706</v>
      </c>
      <c r="B90" s="244" t="s">
        <v>2105</v>
      </c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63" t="s">
        <v>1947</v>
      </c>
      <c r="U90" s="263" t="s">
        <v>1947</v>
      </c>
      <c r="V90" s="263" t="s">
        <v>1947</v>
      </c>
      <c r="W90" s="263" t="s">
        <v>1947</v>
      </c>
      <c r="X90" s="263" t="s">
        <v>1947</v>
      </c>
      <c r="Y90" s="263" t="s">
        <v>1947</v>
      </c>
      <c r="Z90" s="263" t="s">
        <v>1947</v>
      </c>
      <c r="AA90" s="263" t="s">
        <v>1947</v>
      </c>
      <c r="AB90" s="263" t="s">
        <v>1947</v>
      </c>
      <c r="AC90" s="263" t="s">
        <v>1947</v>
      </c>
      <c r="AD90" s="263" t="s">
        <v>1947</v>
      </c>
      <c r="AE90" s="263" t="s">
        <v>1947</v>
      </c>
      <c r="AF90" s="263" t="s">
        <v>1947</v>
      </c>
      <c r="AG90" s="263" t="s">
        <v>1947</v>
      </c>
      <c r="AH90" s="263" t="s">
        <v>1947</v>
      </c>
      <c r="AI90" s="263" t="s">
        <v>1947</v>
      </c>
      <c r="AJ90" s="263" t="s">
        <v>1947</v>
      </c>
      <c r="AK90" s="263" t="s">
        <v>1947</v>
      </c>
      <c r="AL90" s="263" t="s">
        <v>1947</v>
      </c>
      <c r="AM90" s="263" t="s">
        <v>1947</v>
      </c>
      <c r="AN90" s="263" t="s">
        <v>1947</v>
      </c>
      <c r="AO90" s="263" t="s">
        <v>1947</v>
      </c>
      <c r="AP90" s="263" t="s">
        <v>1947</v>
      </c>
      <c r="AQ90" s="263" t="s">
        <v>1947</v>
      </c>
      <c r="AR90" s="263" t="s">
        <v>1947</v>
      </c>
      <c r="AS90" s="263" t="s">
        <v>1947</v>
      </c>
      <c r="AT90" s="263" t="s">
        <v>1947</v>
      </c>
      <c r="AU90" s="263" t="s">
        <v>1947</v>
      </c>
      <c r="AV90" s="263" t="s">
        <v>1947</v>
      </c>
      <c r="AW90" s="263" t="s">
        <v>1947</v>
      </c>
      <c r="AX90" s="263" t="s">
        <v>1947</v>
      </c>
      <c r="AY90" s="263" t="s">
        <v>1947</v>
      </c>
      <c r="AZ90" s="263" t="s">
        <v>1947</v>
      </c>
      <c r="BA90" s="263" t="s">
        <v>1947</v>
      </c>
      <c r="BB90" s="263" t="s">
        <v>1947</v>
      </c>
      <c r="BC90" s="263" t="s">
        <v>1947</v>
      </c>
      <c r="BD90" s="263" t="s">
        <v>1947</v>
      </c>
      <c r="BE90" s="263" t="s">
        <v>1947</v>
      </c>
      <c r="BF90" s="263" t="s">
        <v>1947</v>
      </c>
      <c r="BG90" s="263" t="s">
        <v>1947</v>
      </c>
      <c r="BH90" s="263" t="s">
        <v>1947</v>
      </c>
      <c r="BI90" s="263" t="s">
        <v>1947</v>
      </c>
      <c r="BJ90" s="263" t="s">
        <v>1947</v>
      </c>
      <c r="BK90" s="263" t="s">
        <v>1947</v>
      </c>
      <c r="BL90" s="263" t="s">
        <v>1947</v>
      </c>
      <c r="BM90" s="263" t="s">
        <v>1947</v>
      </c>
      <c r="BN90" s="263" t="s">
        <v>1947</v>
      </c>
      <c r="BO90" s="263" t="s">
        <v>1947</v>
      </c>
      <c r="BP90" s="263" t="s">
        <v>1947</v>
      </c>
    </row>
    <row r="91" spans="1:69" ht="15">
      <c r="A91" s="6" t="s">
        <v>1698</v>
      </c>
      <c r="B91" s="258">
        <v>0</v>
      </c>
      <c r="C91" s="258"/>
      <c r="D91" s="258"/>
      <c r="E91" s="258"/>
      <c r="F91" s="258"/>
      <c r="G91" s="258"/>
      <c r="H91" s="259">
        <v>100</v>
      </c>
      <c r="I91" s="259"/>
      <c r="J91" s="259"/>
      <c r="K91" s="259"/>
      <c r="L91" s="259"/>
      <c r="M91" s="259"/>
      <c r="N91" s="260">
        <v>1000</v>
      </c>
      <c r="O91" s="260"/>
      <c r="P91" s="260"/>
      <c r="Q91" s="260"/>
      <c r="R91" s="260"/>
      <c r="S91" s="260"/>
      <c r="T91" s="138" t="s">
        <v>2088</v>
      </c>
      <c r="U91" s="266">
        <v>0</v>
      </c>
      <c r="V91" s="265"/>
      <c r="W91" s="265"/>
      <c r="X91" s="265"/>
      <c r="Y91" s="265"/>
      <c r="Z91" s="265"/>
      <c r="AA91" s="265"/>
      <c r="AB91" s="265"/>
      <c r="AC91" s="266">
        <v>0.15070375</v>
      </c>
      <c r="AD91" s="265"/>
      <c r="AE91" s="265"/>
      <c r="AF91" s="265"/>
      <c r="AG91" s="265"/>
      <c r="AH91" s="265"/>
      <c r="AI91" s="265"/>
      <c r="AJ91" s="265"/>
      <c r="AK91" s="266">
        <v>0.59355175000000004</v>
      </c>
      <c r="AL91" s="265"/>
      <c r="AM91" s="265"/>
      <c r="AN91" s="265"/>
      <c r="AO91" s="265"/>
      <c r="AP91" s="265"/>
      <c r="AQ91" s="265"/>
      <c r="AR91" s="265"/>
      <c r="AS91" s="266">
        <v>1.98875775</v>
      </c>
      <c r="AT91" s="265"/>
      <c r="AU91" s="265"/>
      <c r="AV91" s="265"/>
      <c r="AW91" s="265"/>
      <c r="AX91" s="265"/>
      <c r="AY91" s="265"/>
      <c r="AZ91" s="265"/>
      <c r="BA91" s="266">
        <v>4.23116775</v>
      </c>
      <c r="BB91" s="265"/>
      <c r="BC91" s="265"/>
      <c r="BD91" s="265"/>
      <c r="BE91" s="265"/>
      <c r="BF91" s="265"/>
      <c r="BG91" s="265"/>
      <c r="BH91" s="265"/>
      <c r="BI91" s="266">
        <v>7.9073742500000002</v>
      </c>
      <c r="BJ91" s="265"/>
      <c r="BK91" s="265"/>
      <c r="BL91" s="265"/>
      <c r="BM91" s="265"/>
      <c r="BN91" s="265"/>
      <c r="BO91" s="265"/>
      <c r="BP91" s="265"/>
    </row>
    <row r="92" spans="1:69" ht="17.25">
      <c r="A92" s="11">
        <v>0</v>
      </c>
      <c r="B92" s="120" t="s">
        <v>964</v>
      </c>
      <c r="C92" s="7">
        <v>2.1991E-2</v>
      </c>
      <c r="D92" s="7">
        <v>1.8651999999999998E-2</v>
      </c>
      <c r="E92" s="7">
        <v>1.1896E-2</v>
      </c>
      <c r="F92" s="7">
        <v>1.8991000000000001E-2</v>
      </c>
      <c r="G92" s="7">
        <v>7.0860000000000003E-3</v>
      </c>
      <c r="H92" s="120" t="s">
        <v>982</v>
      </c>
      <c r="I92" s="7">
        <v>3.3854000000000002E-2</v>
      </c>
      <c r="J92" s="7">
        <v>3.2162999999999997E-2</v>
      </c>
      <c r="K92" s="7">
        <v>2.1295000000000001E-2</v>
      </c>
      <c r="L92" s="7">
        <v>2.5226999999999999E-2</v>
      </c>
      <c r="M92" s="7">
        <v>2.4943E-2</v>
      </c>
      <c r="N92" s="120" t="s">
        <v>990</v>
      </c>
      <c r="O92" s="7">
        <v>3.0960999999999999E-2</v>
      </c>
      <c r="P92" s="7">
        <v>1.9827000000000001E-2</v>
      </c>
      <c r="Q92" s="7">
        <v>1.7183E-2</v>
      </c>
      <c r="R92" s="7">
        <v>3.2313000000000001E-2</v>
      </c>
      <c r="S92" s="7">
        <v>2.6644000000000001E-2</v>
      </c>
      <c r="T92" s="139" t="s">
        <v>1915</v>
      </c>
      <c r="U92" s="262"/>
      <c r="V92" s="262"/>
      <c r="W92" s="262" t="s">
        <v>1917</v>
      </c>
      <c r="X92" s="262" t="s">
        <v>1893</v>
      </c>
      <c r="Y92" s="262" t="s">
        <v>1919</v>
      </c>
      <c r="Z92" s="262" t="s">
        <v>1894</v>
      </c>
      <c r="AA92" s="262" t="s">
        <v>1921</v>
      </c>
      <c r="AB92" s="262" t="s">
        <v>1895</v>
      </c>
      <c r="AC92" s="262"/>
      <c r="AD92" s="262"/>
      <c r="AE92" s="262" t="s">
        <v>1922</v>
      </c>
      <c r="AF92" s="262" t="s">
        <v>1896</v>
      </c>
      <c r="AG92" s="262" t="s">
        <v>1924</v>
      </c>
      <c r="AH92" s="262" t="s">
        <v>1897</v>
      </c>
      <c r="AI92" s="262" t="s">
        <v>1926</v>
      </c>
      <c r="AJ92" s="262" t="s">
        <v>1898</v>
      </c>
      <c r="AK92" s="262"/>
      <c r="AL92" s="262"/>
      <c r="AM92" s="262" t="s">
        <v>1927</v>
      </c>
      <c r="AN92" s="262" t="s">
        <v>1899</v>
      </c>
      <c r="AO92" s="262" t="s">
        <v>1929</v>
      </c>
      <c r="AP92" s="262" t="s">
        <v>1900</v>
      </c>
      <c r="AQ92" s="262" t="s">
        <v>1931</v>
      </c>
      <c r="AR92" s="262" t="s">
        <v>1901</v>
      </c>
      <c r="AS92" s="262"/>
      <c r="AT92" s="262"/>
      <c r="AU92" s="262" t="s">
        <v>1932</v>
      </c>
      <c r="AV92" s="262" t="s">
        <v>1902</v>
      </c>
      <c r="AW92" s="262" t="s">
        <v>1934</v>
      </c>
      <c r="AX92" s="262" t="s">
        <v>1903</v>
      </c>
      <c r="AY92" s="262" t="s">
        <v>1936</v>
      </c>
      <c r="AZ92" s="262" t="s">
        <v>1904</v>
      </c>
      <c r="BA92" s="262"/>
      <c r="BB92" s="262"/>
      <c r="BC92" s="262" t="s">
        <v>1937</v>
      </c>
      <c r="BD92" s="262" t="s">
        <v>1905</v>
      </c>
      <c r="BE92" s="262" t="s">
        <v>1939</v>
      </c>
      <c r="BF92" s="262" t="s">
        <v>1906</v>
      </c>
      <c r="BG92" s="262" t="s">
        <v>1941</v>
      </c>
      <c r="BH92" s="262" t="s">
        <v>1907</v>
      </c>
      <c r="BI92" s="262"/>
      <c r="BJ92" s="262"/>
      <c r="BK92" s="262" t="s">
        <v>1942</v>
      </c>
      <c r="BL92" s="262" t="s">
        <v>1908</v>
      </c>
      <c r="BM92" s="262" t="s">
        <v>1944</v>
      </c>
      <c r="BN92" s="262" t="s">
        <v>1909</v>
      </c>
      <c r="BO92" s="262" t="s">
        <v>1946</v>
      </c>
      <c r="BP92" s="262" t="s">
        <v>1910</v>
      </c>
      <c r="BQ92" s="8"/>
    </row>
    <row r="93" spans="1:69">
      <c r="A93" s="11">
        <v>0.15</v>
      </c>
      <c r="B93" s="7">
        <v>2.3438000000000001E-2</v>
      </c>
      <c r="C93" s="7">
        <v>2.9513999999999999E-2</v>
      </c>
      <c r="D93" s="7">
        <v>2.3938999999999998E-2</v>
      </c>
      <c r="E93" s="7">
        <v>-4.5500000000000002E-3</v>
      </c>
      <c r="F93" s="7">
        <v>3.1462999999999998E-2</v>
      </c>
      <c r="G93" s="7">
        <v>3.1462999999999998E-2</v>
      </c>
      <c r="H93" s="7">
        <v>0.20138900000000001</v>
      </c>
      <c r="I93" s="7">
        <v>0.22743099999999999</v>
      </c>
      <c r="J93" s="7">
        <v>0.31267400000000001</v>
      </c>
      <c r="K93" s="7">
        <v>0.40079300000000001</v>
      </c>
      <c r="L93" s="7">
        <v>0.40192699999999998</v>
      </c>
      <c r="M93" s="7">
        <v>0.85827699999999996</v>
      </c>
      <c r="N93" s="7">
        <v>0.40104200000000001</v>
      </c>
      <c r="O93" s="7">
        <v>0.43286999999999998</v>
      </c>
      <c r="P93" s="7">
        <v>0.62109000000000003</v>
      </c>
      <c r="Q93" s="7">
        <v>0.66808599999999996</v>
      </c>
      <c r="R93" s="7">
        <v>0.48696099999999998</v>
      </c>
      <c r="S93" s="7">
        <v>0.47278900000000001</v>
      </c>
      <c r="T93" s="4">
        <v>0</v>
      </c>
      <c r="W93" s="137" t="s">
        <v>964</v>
      </c>
      <c r="X93" s="4">
        <v>2.1991E-2</v>
      </c>
      <c r="Y93" s="4">
        <v>1.8651999999999998E-2</v>
      </c>
      <c r="Z93" s="4">
        <v>1.1896E-2</v>
      </c>
      <c r="AA93" s="4">
        <v>1.8991000000000001E-2</v>
      </c>
      <c r="AB93" s="4">
        <v>7.0860000000000003E-3</v>
      </c>
      <c r="AE93" s="4">
        <v>2.3438000000000001E-2</v>
      </c>
      <c r="AF93" s="4">
        <v>2.9513999999999999E-2</v>
      </c>
      <c r="AG93" s="4">
        <v>2.3938999999999998E-2</v>
      </c>
      <c r="AH93" s="211" t="s">
        <v>3473</v>
      </c>
      <c r="AI93" s="4">
        <v>3.1462999999999998E-2</v>
      </c>
      <c r="AJ93" s="4">
        <v>3.1462999999999998E-2</v>
      </c>
      <c r="AM93" s="137" t="s">
        <v>965</v>
      </c>
      <c r="AN93" s="4">
        <v>5.8160000000000003E-2</v>
      </c>
      <c r="AO93" s="4">
        <v>4.3325000000000002E-2</v>
      </c>
      <c r="AP93" s="4">
        <v>5.1548999999999998E-2</v>
      </c>
      <c r="AQ93" s="4">
        <v>5.2720999999999997E-2</v>
      </c>
      <c r="AR93" s="4">
        <v>6.7743999999999999E-2</v>
      </c>
      <c r="AU93" s="4">
        <v>0.31134299999999998</v>
      </c>
      <c r="AV93" s="137" t="s">
        <v>966</v>
      </c>
      <c r="AW93" s="4">
        <v>0.333235</v>
      </c>
      <c r="AX93" s="4">
        <v>0.34792200000000001</v>
      </c>
      <c r="AY93" s="4">
        <v>0.128968</v>
      </c>
      <c r="AZ93" s="4">
        <v>0.31972800000000001</v>
      </c>
      <c r="BC93" s="4">
        <v>2.4612270000000001</v>
      </c>
      <c r="BD93" s="4">
        <v>2.550926</v>
      </c>
      <c r="BE93" s="4">
        <v>2.2454100000000001</v>
      </c>
      <c r="BF93" s="4">
        <v>2.2747830000000002</v>
      </c>
      <c r="BG93" s="4">
        <v>0.246032</v>
      </c>
      <c r="BH93" s="4">
        <v>0.45294800000000002</v>
      </c>
      <c r="BK93" s="4">
        <v>6.6278940000000004</v>
      </c>
      <c r="BL93" s="4">
        <v>7.0966440000000004</v>
      </c>
      <c r="BM93" s="4">
        <v>5.8905859999999999</v>
      </c>
      <c r="BN93" s="4">
        <v>5.6409159999999998</v>
      </c>
      <c r="BO93" s="4">
        <v>6.6831069999999997</v>
      </c>
      <c r="BP93" s="4">
        <v>8.5595239999999997</v>
      </c>
    </row>
    <row r="94" spans="1:69">
      <c r="A94" s="11">
        <v>0.49</v>
      </c>
      <c r="B94" s="120" t="s">
        <v>965</v>
      </c>
      <c r="C94" s="7">
        <v>5.8160000000000003E-2</v>
      </c>
      <c r="D94" s="7">
        <v>4.3325000000000002E-2</v>
      </c>
      <c r="E94" s="7">
        <v>5.1548999999999998E-2</v>
      </c>
      <c r="F94" s="7">
        <v>5.2720999999999997E-2</v>
      </c>
      <c r="G94" s="7">
        <v>6.7743999999999999E-2</v>
      </c>
      <c r="H94" s="120" t="s">
        <v>983</v>
      </c>
      <c r="I94" s="7">
        <v>1.4398150000000001</v>
      </c>
      <c r="J94" s="7">
        <v>1.8870610000000001</v>
      </c>
      <c r="K94" s="7">
        <v>1.7225729999999999</v>
      </c>
      <c r="L94" s="7">
        <v>1.5272110000000001</v>
      </c>
      <c r="M94" s="7">
        <v>1.6916100000000001</v>
      </c>
      <c r="N94" s="120" t="s">
        <v>991</v>
      </c>
      <c r="O94" s="7">
        <v>2.6666669999999999</v>
      </c>
      <c r="P94" s="7">
        <v>2.6595680000000002</v>
      </c>
      <c r="Q94" s="7">
        <v>2.6272579999999999</v>
      </c>
      <c r="R94" s="7">
        <v>2.7715420000000002</v>
      </c>
      <c r="S94" s="7">
        <v>2.9727890000000001</v>
      </c>
      <c r="T94" s="4">
        <v>0.1</v>
      </c>
      <c r="W94" s="137" t="s">
        <v>967</v>
      </c>
      <c r="X94" s="4">
        <v>2.2568999999999999E-2</v>
      </c>
      <c r="Y94" s="211" t="s">
        <v>3464</v>
      </c>
      <c r="Z94" s="4">
        <v>1.6008000000000001E-2</v>
      </c>
      <c r="AA94" s="211" t="s">
        <v>3471</v>
      </c>
      <c r="AB94" s="211" t="s">
        <v>3472</v>
      </c>
      <c r="AE94" s="4">
        <v>2.0254999999999999E-2</v>
      </c>
      <c r="AF94" s="4">
        <v>2.1991E-2</v>
      </c>
      <c r="AG94" s="4">
        <v>1.9827000000000001E-2</v>
      </c>
      <c r="AH94" s="4">
        <v>1.2777E-2</v>
      </c>
      <c r="AI94" s="4">
        <v>3.3730000000000003E-2</v>
      </c>
      <c r="AJ94" s="4">
        <v>4.2234000000000001E-2</v>
      </c>
      <c r="AM94" s="137" t="s">
        <v>968</v>
      </c>
      <c r="AN94" s="4">
        <v>6.7998000000000003E-2</v>
      </c>
      <c r="AO94" s="4">
        <v>3.0695E-2</v>
      </c>
      <c r="AP94" s="4">
        <v>3.6276000000000003E-2</v>
      </c>
      <c r="AQ94" s="4">
        <v>6.0090999999999999E-2</v>
      </c>
      <c r="AR94" s="4">
        <v>5.2720999999999997E-2</v>
      </c>
      <c r="AU94" s="137" t="s">
        <v>933</v>
      </c>
      <c r="AV94" s="137" t="s">
        <v>969</v>
      </c>
      <c r="AW94" s="4">
        <v>0.336173</v>
      </c>
      <c r="AX94" s="4">
        <v>0.32736100000000001</v>
      </c>
      <c r="AY94" s="4">
        <v>0.158163</v>
      </c>
      <c r="AZ94" s="4">
        <v>0.26020399999999999</v>
      </c>
      <c r="BC94" s="4">
        <v>2.9241899999999998</v>
      </c>
      <c r="BD94" s="4">
        <v>2.71875</v>
      </c>
      <c r="BE94" s="4">
        <v>2.4098989999999998</v>
      </c>
      <c r="BF94" s="4">
        <v>2.3717139999999999</v>
      </c>
      <c r="BG94" s="4">
        <v>0.98866200000000004</v>
      </c>
      <c r="BH94" s="4">
        <v>1.2409300000000001</v>
      </c>
      <c r="BK94" s="4">
        <v>7.3425929999999999</v>
      </c>
      <c r="BL94" s="4">
        <v>7.2962959999999999</v>
      </c>
      <c r="BM94" s="4">
        <v>5.8200909999999997</v>
      </c>
      <c r="BN94" s="4">
        <v>5.8553389999999998</v>
      </c>
      <c r="BO94" s="4">
        <v>6.7851470000000003</v>
      </c>
      <c r="BP94" s="4">
        <v>8.5056689999999993</v>
      </c>
    </row>
    <row r="95" spans="1:69">
      <c r="A95" s="11">
        <v>1.78</v>
      </c>
      <c r="B95" s="7">
        <v>0.31134299999999998</v>
      </c>
      <c r="C95" s="120" t="s">
        <v>966</v>
      </c>
      <c r="D95" s="7">
        <v>0.333235</v>
      </c>
      <c r="E95" s="7">
        <v>0.34792200000000001</v>
      </c>
      <c r="F95" s="7">
        <v>0.128968</v>
      </c>
      <c r="G95" s="7">
        <v>0.31972800000000001</v>
      </c>
      <c r="H95" s="7">
        <v>7.0503470000000004</v>
      </c>
      <c r="I95" s="120" t="s">
        <v>984</v>
      </c>
      <c r="J95" s="7">
        <v>6.9450729999999998</v>
      </c>
      <c r="K95" s="7">
        <v>7.1859299999999999</v>
      </c>
      <c r="L95" s="7">
        <v>1.4024939999999999</v>
      </c>
      <c r="M95" s="7">
        <v>3.7182539999999999</v>
      </c>
      <c r="N95" s="7">
        <v>9.8165510000000005</v>
      </c>
      <c r="O95" s="120" t="s">
        <v>992</v>
      </c>
      <c r="P95" s="7">
        <v>9.4329560000000008</v>
      </c>
      <c r="Q95" s="7">
        <v>9.9704800000000002</v>
      </c>
      <c r="R95" s="7">
        <v>2.4087299999999998</v>
      </c>
      <c r="S95" s="7">
        <v>7.6326530000000004</v>
      </c>
      <c r="T95" s="4">
        <v>1</v>
      </c>
      <c r="W95" s="137" t="s">
        <v>970</v>
      </c>
      <c r="X95" s="4">
        <v>2.1701000000000002E-2</v>
      </c>
      <c r="Y95" s="4">
        <v>2.5701000000000002E-2</v>
      </c>
      <c r="Z95" s="211" t="s">
        <v>3415</v>
      </c>
      <c r="AA95" s="4">
        <v>2.9762E-2</v>
      </c>
      <c r="AB95" s="4">
        <v>3.4009999999999999E-3</v>
      </c>
      <c r="AE95" s="4">
        <v>2.1122999999999999E-2</v>
      </c>
      <c r="AF95" s="4">
        <v>2.8646000000000001E-2</v>
      </c>
      <c r="AG95" s="4">
        <v>3.6863E-2</v>
      </c>
      <c r="AH95" s="4">
        <v>3.7157000000000003E-2</v>
      </c>
      <c r="AI95" s="4">
        <v>2.9194999999999999E-2</v>
      </c>
      <c r="AJ95" s="4">
        <v>4.1667000000000003E-2</v>
      </c>
      <c r="AM95" s="137" t="s">
        <v>971</v>
      </c>
      <c r="AN95" s="4">
        <v>6.6262000000000001E-2</v>
      </c>
      <c r="AO95" s="4">
        <v>4.9493000000000002E-2</v>
      </c>
      <c r="AP95" s="4">
        <v>5.6249E-2</v>
      </c>
      <c r="AQ95" s="4">
        <v>7.7663999999999997E-2</v>
      </c>
      <c r="AR95" s="4">
        <v>7.3980000000000004E-2</v>
      </c>
      <c r="AU95" s="4">
        <v>0.46469899999999997</v>
      </c>
      <c r="AV95" s="137" t="s">
        <v>972</v>
      </c>
      <c r="AW95" s="4">
        <v>0.43604100000000001</v>
      </c>
      <c r="AX95" s="4">
        <v>0.374357</v>
      </c>
      <c r="AY95" s="4">
        <v>0.30839</v>
      </c>
      <c r="AZ95" s="4">
        <v>0.41610000000000003</v>
      </c>
      <c r="BC95" s="4">
        <v>3.340856</v>
      </c>
      <c r="BD95" s="4">
        <v>3.6938659999999999</v>
      </c>
      <c r="BE95" s="4">
        <v>2.9444849999999998</v>
      </c>
      <c r="BF95" s="4">
        <v>2.6948159999999999</v>
      </c>
      <c r="BG95" s="4">
        <v>0.25453500000000001</v>
      </c>
      <c r="BH95" s="4">
        <v>0.76473899999999995</v>
      </c>
      <c r="BK95" s="4">
        <v>8.2077550000000006</v>
      </c>
      <c r="BL95" s="4">
        <v>8.0572920000000003</v>
      </c>
      <c r="BM95" s="4">
        <v>7.2975469999999998</v>
      </c>
      <c r="BN95" s="4">
        <v>6.9891319999999997</v>
      </c>
      <c r="BO95" s="4">
        <v>7.2414969999999999</v>
      </c>
      <c r="BP95" s="4">
        <v>8.2987529999999996</v>
      </c>
    </row>
    <row r="96" spans="1:69">
      <c r="A96" s="11">
        <v>4.67</v>
      </c>
      <c r="B96" s="7">
        <v>2.4612270000000001</v>
      </c>
      <c r="C96" s="7">
        <v>2.550926</v>
      </c>
      <c r="D96" s="7">
        <v>2.2454100000000001</v>
      </c>
      <c r="E96" s="7">
        <v>2.2747830000000002</v>
      </c>
      <c r="F96" s="7">
        <v>0.246032</v>
      </c>
      <c r="G96" s="7">
        <v>0.45294800000000002</v>
      </c>
      <c r="H96" s="7">
        <v>15.528359999999999</v>
      </c>
      <c r="I96" s="7">
        <v>15.864000000000001</v>
      </c>
      <c r="J96" s="120" t="s">
        <v>985</v>
      </c>
      <c r="K96" s="120" t="s">
        <v>986</v>
      </c>
      <c r="L96" s="7">
        <v>2.695011</v>
      </c>
      <c r="M96" s="7">
        <v>3.647392</v>
      </c>
      <c r="N96" s="7">
        <v>20.215859999999999</v>
      </c>
      <c r="O96" s="7">
        <v>22.09375</v>
      </c>
      <c r="P96" s="7">
        <v>17.936409999999999</v>
      </c>
      <c r="Q96" s="7">
        <v>18.215450000000001</v>
      </c>
      <c r="R96" s="7">
        <v>9.0753970000000006</v>
      </c>
      <c r="S96" s="7">
        <v>13.96485</v>
      </c>
      <c r="T96" s="4">
        <v>10</v>
      </c>
      <c r="W96" s="137" t="s">
        <v>973</v>
      </c>
      <c r="X96" s="4">
        <v>2.1991E-2</v>
      </c>
      <c r="Y96" s="4">
        <v>3.4806999999999998E-2</v>
      </c>
      <c r="Z96" s="4">
        <v>2.3057999999999999E-2</v>
      </c>
      <c r="AA96" s="4">
        <v>2.1541999999999999E-2</v>
      </c>
      <c r="AB96" s="4">
        <v>2.2391999999999999E-2</v>
      </c>
      <c r="AE96" s="4">
        <v>3.9641000000000003E-2</v>
      </c>
      <c r="AF96" s="4">
        <v>4.3692000000000002E-2</v>
      </c>
      <c r="AG96" s="4">
        <v>7.9453999999999997E-2</v>
      </c>
      <c r="AH96" s="4">
        <v>9.0027999999999997E-2</v>
      </c>
      <c r="AI96" s="4">
        <v>7.3980000000000004E-2</v>
      </c>
      <c r="AJ96" s="4">
        <v>7.5112999999999999E-2</v>
      </c>
      <c r="AM96" s="137" t="s">
        <v>974</v>
      </c>
      <c r="AN96" s="4">
        <v>0.195602</v>
      </c>
      <c r="AO96" s="4">
        <v>0.32148599999999999</v>
      </c>
      <c r="AP96" s="4">
        <v>0.34204699999999999</v>
      </c>
      <c r="AQ96" s="4">
        <v>0.27721099999999999</v>
      </c>
      <c r="AR96" s="4">
        <v>0.29988700000000001</v>
      </c>
      <c r="AU96" s="137" t="s">
        <v>975</v>
      </c>
      <c r="AV96" s="137" t="s">
        <v>976</v>
      </c>
      <c r="AW96" s="4">
        <v>3.0120429999999998</v>
      </c>
      <c r="AX96" s="4">
        <v>2.6948159999999999</v>
      </c>
      <c r="AY96" s="4">
        <v>0.58049899999999999</v>
      </c>
      <c r="AZ96" s="4">
        <v>1.340136</v>
      </c>
      <c r="BC96" s="4">
        <v>6.9635420000000003</v>
      </c>
      <c r="BD96" s="4">
        <v>7.0300929999999999</v>
      </c>
      <c r="BE96" s="4">
        <v>6.4075490000000004</v>
      </c>
      <c r="BF96" s="4">
        <v>6.5279780000000001</v>
      </c>
      <c r="BG96" s="4">
        <v>1.3486389999999999</v>
      </c>
      <c r="BH96" s="4">
        <v>2.176304</v>
      </c>
      <c r="BK96" s="4">
        <v>12.331020000000001</v>
      </c>
      <c r="BL96" s="4">
        <v>12.872109999999999</v>
      </c>
      <c r="BM96" s="137" t="s">
        <v>977</v>
      </c>
      <c r="BN96" s="137" t="s">
        <v>978</v>
      </c>
      <c r="BO96" s="4">
        <v>13.45748</v>
      </c>
      <c r="BP96" s="4">
        <v>14.531750000000001</v>
      </c>
    </row>
    <row r="97" spans="1:68">
      <c r="A97" s="11">
        <v>8.15</v>
      </c>
      <c r="B97" s="7">
        <v>6.6278940000000004</v>
      </c>
      <c r="C97" s="7">
        <v>7.0966440000000004</v>
      </c>
      <c r="D97" s="7">
        <v>5.8905859999999999</v>
      </c>
      <c r="E97" s="7">
        <v>5.6409159999999998</v>
      </c>
      <c r="F97" s="7">
        <v>6.6831069999999997</v>
      </c>
      <c r="G97" s="7">
        <v>8.5595239999999997</v>
      </c>
      <c r="H97" s="7">
        <v>24.220490000000002</v>
      </c>
      <c r="I97" s="7">
        <v>25.126159999999999</v>
      </c>
      <c r="J97" s="7">
        <v>20.71508</v>
      </c>
      <c r="K97" s="7">
        <v>19.0702</v>
      </c>
      <c r="L97" s="7">
        <v>20.93197</v>
      </c>
      <c r="M97" s="7">
        <v>26.821999999999999</v>
      </c>
      <c r="N97" s="120" t="s">
        <v>993</v>
      </c>
      <c r="O97" s="120" t="s">
        <v>994</v>
      </c>
      <c r="P97" s="7">
        <v>50.287709999999997</v>
      </c>
      <c r="Q97" s="7">
        <v>52.003079999999997</v>
      </c>
      <c r="R97" s="7">
        <v>59.177439999999997</v>
      </c>
      <c r="S97" s="7">
        <v>58.103169999999999</v>
      </c>
      <c r="T97" s="4">
        <v>50</v>
      </c>
      <c r="W97" s="137" t="s">
        <v>979</v>
      </c>
      <c r="X97" s="4">
        <v>2.8067000000000002E-2</v>
      </c>
      <c r="Y97" s="4">
        <v>2.7899999999999999E-3</v>
      </c>
      <c r="Z97" s="4">
        <v>1.6302000000000001E-2</v>
      </c>
      <c r="AA97" s="4">
        <v>2.2391999999999999E-2</v>
      </c>
      <c r="AB97" s="4">
        <v>4.535E-3</v>
      </c>
      <c r="AE97" s="4">
        <v>0.121528</v>
      </c>
      <c r="AF97" s="4">
        <v>0.124421</v>
      </c>
      <c r="AG97" s="4">
        <v>0.245117</v>
      </c>
      <c r="AH97" s="4">
        <v>0.31854900000000003</v>
      </c>
      <c r="AI97" s="4">
        <v>0.158163</v>
      </c>
      <c r="AJ97" s="4">
        <v>0.18934200000000001</v>
      </c>
      <c r="AM97" s="137" t="s">
        <v>980</v>
      </c>
      <c r="AN97" s="4">
        <v>0.86400500000000002</v>
      </c>
      <c r="AO97" s="4">
        <v>1.431781</v>
      </c>
      <c r="AP97" s="4">
        <v>1.3289759999999999</v>
      </c>
      <c r="AQ97" s="4">
        <v>1.090703</v>
      </c>
      <c r="AR97" s="4">
        <v>1.0765309999999999</v>
      </c>
      <c r="AU97" s="4">
        <v>4.7789349999999997</v>
      </c>
      <c r="AV97" s="137" t="s">
        <v>981</v>
      </c>
      <c r="AW97" s="4">
        <v>7.5736530000000002</v>
      </c>
      <c r="AX97" s="4">
        <v>6.7335880000000001</v>
      </c>
      <c r="AY97" s="4">
        <v>1.589569</v>
      </c>
      <c r="AZ97" s="4">
        <v>3.4688210000000002</v>
      </c>
      <c r="BC97" s="4">
        <v>11.92014</v>
      </c>
      <c r="BD97" s="4">
        <v>12.834490000000001</v>
      </c>
      <c r="BE97" s="4">
        <v>11.48906</v>
      </c>
      <c r="BF97" s="4">
        <v>10.572620000000001</v>
      </c>
      <c r="BG97" s="4">
        <v>3.7295919999999998</v>
      </c>
      <c r="BH97" s="4">
        <v>3.8259639999999999</v>
      </c>
      <c r="BK97" s="4">
        <v>17.828700000000001</v>
      </c>
      <c r="BL97" s="4">
        <v>18.103590000000001</v>
      </c>
      <c r="BM97" s="4">
        <v>17.61037</v>
      </c>
      <c r="BN97" s="4">
        <v>16.97298</v>
      </c>
      <c r="BO97" s="4">
        <v>18.803290000000001</v>
      </c>
      <c r="BP97" s="4">
        <v>21.32029</v>
      </c>
    </row>
    <row r="98" spans="1:68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4">
        <v>100</v>
      </c>
      <c r="W98" s="137" t="s">
        <v>982</v>
      </c>
      <c r="X98" s="4">
        <v>3.3854000000000002E-2</v>
      </c>
      <c r="Y98" s="4">
        <v>3.2162999999999997E-2</v>
      </c>
      <c r="Z98" s="4">
        <v>2.1295000000000001E-2</v>
      </c>
      <c r="AA98" s="4">
        <v>2.5226999999999999E-2</v>
      </c>
      <c r="AB98" s="4">
        <v>2.4943E-2</v>
      </c>
      <c r="AE98" s="4">
        <v>0.20138900000000001</v>
      </c>
      <c r="AF98" s="4">
        <v>0.22743099999999999</v>
      </c>
      <c r="AG98" s="4">
        <v>0.31267400000000001</v>
      </c>
      <c r="AH98" s="4">
        <v>0.40079300000000001</v>
      </c>
      <c r="AI98" s="4">
        <v>0.40192699999999998</v>
      </c>
      <c r="AJ98" s="4">
        <v>0.85827699999999996</v>
      </c>
      <c r="AM98" s="137" t="s">
        <v>983</v>
      </c>
      <c r="AN98" s="4">
        <v>1.4398150000000001</v>
      </c>
      <c r="AO98" s="4">
        <v>1.8870610000000001</v>
      </c>
      <c r="AP98" s="4">
        <v>1.7225729999999999</v>
      </c>
      <c r="AQ98" s="4">
        <v>1.5272110000000001</v>
      </c>
      <c r="AR98" s="4">
        <v>1.6916100000000001</v>
      </c>
      <c r="AU98" s="4">
        <v>7.0503470000000004</v>
      </c>
      <c r="AV98" s="137" t="s">
        <v>984</v>
      </c>
      <c r="AW98" s="4">
        <v>6.9450729999999998</v>
      </c>
      <c r="AX98" s="4">
        <v>7.1859299999999999</v>
      </c>
      <c r="AY98" s="4">
        <v>1.4024939999999999</v>
      </c>
      <c r="AZ98" s="4">
        <v>3.7182539999999999</v>
      </c>
      <c r="BC98" s="4">
        <v>15.528359999999999</v>
      </c>
      <c r="BD98" s="4">
        <v>15.864000000000001</v>
      </c>
      <c r="BE98" s="137" t="s">
        <v>985</v>
      </c>
      <c r="BF98" s="137" t="s">
        <v>986</v>
      </c>
      <c r="BG98" s="4">
        <v>2.695011</v>
      </c>
      <c r="BH98" s="4">
        <v>3.647392</v>
      </c>
      <c r="BK98" s="4">
        <v>24.220490000000002</v>
      </c>
      <c r="BL98" s="4">
        <v>25.126159999999999</v>
      </c>
      <c r="BM98" s="4">
        <v>20.71508</v>
      </c>
      <c r="BN98" s="4">
        <v>19.0702</v>
      </c>
      <c r="BO98" s="4">
        <v>20.93197</v>
      </c>
      <c r="BP98" s="4">
        <v>26.821999999999999</v>
      </c>
    </row>
    <row r="99" spans="1:68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4">
        <v>500</v>
      </c>
      <c r="W99" s="137" t="s">
        <v>987</v>
      </c>
      <c r="X99" s="4">
        <v>2.4015999999999999E-2</v>
      </c>
      <c r="Y99" s="4">
        <v>2.247E-2</v>
      </c>
      <c r="Z99" s="4">
        <v>1.7183E-2</v>
      </c>
      <c r="AA99" s="4">
        <v>3.5146999999999998E-2</v>
      </c>
      <c r="AB99" s="4">
        <v>2.8344999999999999E-2</v>
      </c>
      <c r="AE99" s="4">
        <v>0.36631900000000001</v>
      </c>
      <c r="AF99" s="4">
        <v>0.37210599999999999</v>
      </c>
      <c r="AG99" s="4">
        <v>0.58584199999999997</v>
      </c>
      <c r="AH99" s="4">
        <v>0.62990199999999996</v>
      </c>
      <c r="AI99" s="4">
        <v>0.48129300000000003</v>
      </c>
      <c r="AJ99" s="4">
        <v>0.45011299999999999</v>
      </c>
      <c r="AM99" s="137" t="s">
        <v>988</v>
      </c>
      <c r="AN99" s="4">
        <v>2.4699070000000001</v>
      </c>
      <c r="AO99" s="4">
        <v>2.5450140000000001</v>
      </c>
      <c r="AP99" s="4">
        <v>2.6096339999999998</v>
      </c>
      <c r="AQ99" s="4">
        <v>2.9897960000000001</v>
      </c>
      <c r="AR99" s="4">
        <v>3.037982</v>
      </c>
      <c r="AU99" s="4">
        <v>9.4027779999999996</v>
      </c>
      <c r="AV99" s="137" t="s">
        <v>989</v>
      </c>
      <c r="AW99" s="4">
        <v>9.2038480000000007</v>
      </c>
      <c r="AX99" s="4">
        <v>9.6091940000000005</v>
      </c>
      <c r="AY99" s="4">
        <v>5.5975060000000001</v>
      </c>
      <c r="AZ99" s="4">
        <v>8.6927439999999994</v>
      </c>
      <c r="BC99" s="4">
        <v>18.497109999999999</v>
      </c>
      <c r="BD99" s="4">
        <v>19.969909999999999</v>
      </c>
      <c r="BE99" s="4">
        <v>16.46189</v>
      </c>
      <c r="BF99" s="4">
        <v>15.671760000000001</v>
      </c>
      <c r="BG99" s="4">
        <v>10.883789999999999</v>
      </c>
      <c r="BH99" s="4">
        <v>13.96485</v>
      </c>
      <c r="BK99" s="4">
        <v>47.750579999999999</v>
      </c>
      <c r="BL99" s="4">
        <v>54.119210000000002</v>
      </c>
      <c r="BM99" s="4">
        <v>46.166690000000003</v>
      </c>
      <c r="BN99" s="4">
        <v>45.464680000000001</v>
      </c>
      <c r="BO99" s="4">
        <v>23.301590000000001</v>
      </c>
      <c r="BP99" s="4">
        <v>36.527209999999997</v>
      </c>
    </row>
    <row r="100" spans="1:68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4">
        <v>1000</v>
      </c>
      <c r="W100" s="137" t="s">
        <v>990</v>
      </c>
      <c r="X100" s="4">
        <v>3.0960999999999999E-2</v>
      </c>
      <c r="Y100" s="4">
        <v>1.9827000000000001E-2</v>
      </c>
      <c r="Z100" s="4">
        <v>1.7183E-2</v>
      </c>
      <c r="AA100" s="4">
        <v>3.2313000000000001E-2</v>
      </c>
      <c r="AB100" s="4">
        <v>2.6644000000000001E-2</v>
      </c>
      <c r="AE100" s="4">
        <v>0.40104200000000001</v>
      </c>
      <c r="AF100" s="4">
        <v>0.43286999999999998</v>
      </c>
      <c r="AG100" s="4">
        <v>0.62109000000000003</v>
      </c>
      <c r="AH100" s="4">
        <v>0.66808599999999996</v>
      </c>
      <c r="AI100" s="4">
        <v>0.48696099999999998</v>
      </c>
      <c r="AJ100" s="4">
        <v>0.47278900000000001</v>
      </c>
      <c r="AM100" s="137" t="s">
        <v>991</v>
      </c>
      <c r="AN100" s="4">
        <v>2.6666669999999999</v>
      </c>
      <c r="AO100" s="4">
        <v>2.6595680000000002</v>
      </c>
      <c r="AP100" s="4">
        <v>2.6272579999999999</v>
      </c>
      <c r="AQ100" s="4">
        <v>2.7715420000000002</v>
      </c>
      <c r="AR100" s="4">
        <v>2.9727890000000001</v>
      </c>
      <c r="AU100" s="4">
        <v>9.8165510000000005</v>
      </c>
      <c r="AV100" s="137" t="s">
        <v>992</v>
      </c>
      <c r="AW100" s="4">
        <v>9.4329560000000008</v>
      </c>
      <c r="AX100" s="4">
        <v>9.9704800000000002</v>
      </c>
      <c r="AY100" s="4">
        <v>2.4087299999999998</v>
      </c>
      <c r="AZ100" s="4">
        <v>7.6326530000000004</v>
      </c>
      <c r="BC100" s="4">
        <v>20.215859999999999</v>
      </c>
      <c r="BD100" s="4">
        <v>22.09375</v>
      </c>
      <c r="BE100" s="4">
        <v>17.936409999999999</v>
      </c>
      <c r="BF100" s="4">
        <v>18.215450000000001</v>
      </c>
      <c r="BG100" s="4">
        <v>9.0753970000000006</v>
      </c>
      <c r="BH100" s="4">
        <v>13.96485</v>
      </c>
      <c r="BK100" s="137" t="s">
        <v>993</v>
      </c>
      <c r="BL100" s="137" t="s">
        <v>994</v>
      </c>
      <c r="BM100" s="4">
        <v>50.287709999999997</v>
      </c>
      <c r="BN100" s="4">
        <v>52.003079999999997</v>
      </c>
      <c r="BO100" s="4">
        <v>59.177439999999997</v>
      </c>
      <c r="BP100" s="4">
        <v>58.103169999999999</v>
      </c>
    </row>
    <row r="101" spans="1:68" ht="16.5">
      <c r="A101" s="112" t="s">
        <v>1707</v>
      </c>
      <c r="B101" s="244" t="s">
        <v>2104</v>
      </c>
      <c r="C101" s="244"/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63" t="s">
        <v>1948</v>
      </c>
      <c r="U101" s="263" t="s">
        <v>1948</v>
      </c>
      <c r="V101" s="263" t="s">
        <v>1948</v>
      </c>
      <c r="W101" s="263" t="s">
        <v>1948</v>
      </c>
      <c r="X101" s="263" t="s">
        <v>1948</v>
      </c>
      <c r="Y101" s="263" t="s">
        <v>1948</v>
      </c>
      <c r="Z101" s="263" t="s">
        <v>1948</v>
      </c>
      <c r="AA101" s="263" t="s">
        <v>1948</v>
      </c>
      <c r="AB101" s="263" t="s">
        <v>1948</v>
      </c>
      <c r="AC101" s="263" t="s">
        <v>1948</v>
      </c>
      <c r="AD101" s="263" t="s">
        <v>1948</v>
      </c>
      <c r="AE101" s="263" t="s">
        <v>1948</v>
      </c>
      <c r="AF101" s="263" t="s">
        <v>1948</v>
      </c>
      <c r="AG101" s="263" t="s">
        <v>1948</v>
      </c>
      <c r="AH101" s="263" t="s">
        <v>1948</v>
      </c>
      <c r="AI101" s="263" t="s">
        <v>1948</v>
      </c>
      <c r="AJ101" s="263" t="s">
        <v>1948</v>
      </c>
      <c r="AK101" s="263" t="s">
        <v>1948</v>
      </c>
      <c r="AL101" s="263" t="s">
        <v>1948</v>
      </c>
      <c r="AM101" s="263" t="s">
        <v>1948</v>
      </c>
      <c r="AN101" s="263" t="s">
        <v>1948</v>
      </c>
      <c r="AO101" s="263" t="s">
        <v>1948</v>
      </c>
      <c r="AP101" s="263" t="s">
        <v>1948</v>
      </c>
      <c r="AQ101" s="263" t="s">
        <v>1948</v>
      </c>
      <c r="AR101" s="263" t="s">
        <v>1948</v>
      </c>
      <c r="AS101" s="263" t="s">
        <v>1948</v>
      </c>
      <c r="AT101" s="263" t="s">
        <v>1948</v>
      </c>
      <c r="AU101" s="263" t="s">
        <v>1948</v>
      </c>
      <c r="AV101" s="263" t="s">
        <v>1948</v>
      </c>
      <c r="AW101" s="263" t="s">
        <v>1948</v>
      </c>
      <c r="AX101" s="263" t="s">
        <v>1948</v>
      </c>
      <c r="AY101" s="263" t="s">
        <v>1948</v>
      </c>
      <c r="AZ101" s="263" t="s">
        <v>1948</v>
      </c>
      <c r="BA101" s="263" t="s">
        <v>1948</v>
      </c>
      <c r="BB101" s="263" t="s">
        <v>1948</v>
      </c>
      <c r="BC101" s="263" t="s">
        <v>1948</v>
      </c>
      <c r="BD101" s="263" t="s">
        <v>1948</v>
      </c>
      <c r="BE101" s="263" t="s">
        <v>1948</v>
      </c>
      <c r="BF101" s="263" t="s">
        <v>1948</v>
      </c>
      <c r="BG101" s="263" t="s">
        <v>1948</v>
      </c>
      <c r="BH101" s="263" t="s">
        <v>1948</v>
      </c>
      <c r="BI101" s="263" t="s">
        <v>1948</v>
      </c>
      <c r="BJ101" s="263" t="s">
        <v>1948</v>
      </c>
      <c r="BK101" s="263" t="s">
        <v>1948</v>
      </c>
      <c r="BL101" s="263" t="s">
        <v>1948</v>
      </c>
      <c r="BM101" s="263" t="s">
        <v>1948</v>
      </c>
      <c r="BN101" s="263" t="s">
        <v>1948</v>
      </c>
      <c r="BO101" s="263" t="s">
        <v>1948</v>
      </c>
      <c r="BP101" s="263" t="s">
        <v>1948</v>
      </c>
    </row>
    <row r="102" spans="1:68" ht="15">
      <c r="A102" s="6" t="s">
        <v>1698</v>
      </c>
      <c r="B102" s="133">
        <v>0</v>
      </c>
      <c r="C102" s="133"/>
      <c r="D102" s="133"/>
      <c r="E102" s="133"/>
      <c r="F102" s="133"/>
      <c r="G102" s="133"/>
      <c r="H102" s="134">
        <v>100</v>
      </c>
      <c r="I102" s="134"/>
      <c r="J102" s="134"/>
      <c r="K102" s="134"/>
      <c r="L102" s="134"/>
      <c r="M102" s="134"/>
      <c r="N102" s="135">
        <v>1000</v>
      </c>
      <c r="O102" s="135"/>
      <c r="P102" s="135"/>
      <c r="Q102" s="135"/>
      <c r="R102" s="135"/>
      <c r="S102" s="135"/>
      <c r="T102" s="138" t="s">
        <v>2088</v>
      </c>
      <c r="U102" s="266">
        <v>0</v>
      </c>
      <c r="V102" s="265"/>
      <c r="W102" s="265"/>
      <c r="X102" s="265"/>
      <c r="Y102" s="265"/>
      <c r="Z102" s="265"/>
      <c r="AA102" s="265"/>
      <c r="AB102" s="265"/>
      <c r="AC102" s="266">
        <v>0.15003675</v>
      </c>
      <c r="AD102" s="265"/>
      <c r="AE102" s="265"/>
      <c r="AF102" s="265"/>
      <c r="AG102" s="265"/>
      <c r="AH102" s="265"/>
      <c r="AI102" s="265"/>
      <c r="AJ102" s="265"/>
      <c r="AK102" s="266">
        <v>0.52</v>
      </c>
      <c r="AL102" s="265"/>
      <c r="AM102" s="265"/>
      <c r="AN102" s="265"/>
      <c r="AO102" s="265"/>
      <c r="AP102" s="265"/>
      <c r="AQ102" s="265"/>
      <c r="AR102" s="265"/>
      <c r="AS102" s="266">
        <v>1.77</v>
      </c>
      <c r="AT102" s="265"/>
      <c r="AU102" s="265"/>
      <c r="AV102" s="265"/>
      <c r="AW102" s="265"/>
      <c r="AX102" s="265"/>
      <c r="AY102" s="265"/>
      <c r="AZ102" s="265"/>
      <c r="BA102" s="266">
        <v>4.8600000000000003</v>
      </c>
      <c r="BB102" s="265"/>
      <c r="BC102" s="265"/>
      <c r="BD102" s="265"/>
      <c r="BE102" s="265"/>
      <c r="BF102" s="265"/>
      <c r="BG102" s="265"/>
      <c r="BH102" s="265"/>
      <c r="BI102" s="266">
        <v>8.1199999999999992</v>
      </c>
      <c r="BJ102" s="265"/>
      <c r="BK102" s="265"/>
      <c r="BL102" s="265"/>
      <c r="BM102" s="265"/>
      <c r="BN102" s="265"/>
      <c r="BO102" s="265"/>
      <c r="BP102" s="265"/>
    </row>
    <row r="103" spans="1:68" ht="17.25">
      <c r="A103" s="11">
        <v>0</v>
      </c>
      <c r="B103" s="7">
        <v>3.8773000000000002E-2</v>
      </c>
      <c r="C103" s="7">
        <v>3.2406999999999998E-2</v>
      </c>
      <c r="D103" s="7">
        <v>2.1422E-2</v>
      </c>
      <c r="E103" s="7">
        <v>2.4695000000000002E-2</v>
      </c>
      <c r="F103" s="7">
        <v>1.3873999999999999E-2</v>
      </c>
      <c r="G103" s="7">
        <v>1.5963000000000001E-2</v>
      </c>
      <c r="H103" s="7">
        <v>3.6748000000000003E-2</v>
      </c>
      <c r="I103" s="7">
        <v>3.8773000000000002E-2</v>
      </c>
      <c r="J103" s="7">
        <v>2.0826999999999998E-2</v>
      </c>
      <c r="K103" s="7">
        <v>2.648E-2</v>
      </c>
      <c r="L103" s="7">
        <v>2.5808999999999999E-2</v>
      </c>
      <c r="M103" s="7">
        <v>1.6858000000000001E-2</v>
      </c>
      <c r="N103" s="7">
        <v>2.0254999999999999E-2</v>
      </c>
      <c r="O103" s="7">
        <v>2.6331E-2</v>
      </c>
      <c r="P103" s="7">
        <v>2.5588E-2</v>
      </c>
      <c r="Q103" s="7">
        <v>2.1422E-2</v>
      </c>
      <c r="R103" s="7">
        <v>1.4173E-2</v>
      </c>
      <c r="S103" s="7">
        <v>1.7454999999999998E-2</v>
      </c>
      <c r="T103" s="139" t="s">
        <v>1915</v>
      </c>
      <c r="U103" s="262"/>
      <c r="V103" s="262"/>
      <c r="W103" s="262" t="s">
        <v>1917</v>
      </c>
      <c r="X103" s="262" t="s">
        <v>1893</v>
      </c>
      <c r="Y103" s="262" t="s">
        <v>1919</v>
      </c>
      <c r="Z103" s="262" t="s">
        <v>1894</v>
      </c>
      <c r="AA103" s="262" t="s">
        <v>1921</v>
      </c>
      <c r="AB103" s="262" t="s">
        <v>1895</v>
      </c>
      <c r="AC103" s="262"/>
      <c r="AD103" s="262"/>
      <c r="AE103" s="262" t="s">
        <v>1922</v>
      </c>
      <c r="AF103" s="262" t="s">
        <v>1896</v>
      </c>
      <c r="AG103" s="262" t="s">
        <v>1976</v>
      </c>
      <c r="AH103" s="262" t="s">
        <v>1949</v>
      </c>
      <c r="AI103" s="262" t="s">
        <v>1975</v>
      </c>
      <c r="AJ103" s="262" t="s">
        <v>1950</v>
      </c>
      <c r="AK103" s="262"/>
      <c r="AL103" s="262"/>
      <c r="AM103" s="262" t="s">
        <v>1927</v>
      </c>
      <c r="AN103" s="262" t="s">
        <v>1899</v>
      </c>
      <c r="AO103" s="262" t="s">
        <v>1973</v>
      </c>
      <c r="AP103" s="262" t="s">
        <v>1951</v>
      </c>
      <c r="AQ103" s="262" t="s">
        <v>1972</v>
      </c>
      <c r="AR103" s="262" t="s">
        <v>1952</v>
      </c>
      <c r="AS103" s="262"/>
      <c r="AT103" s="262"/>
      <c r="AU103" s="262" t="s">
        <v>1932</v>
      </c>
      <c r="AV103" s="262" t="s">
        <v>1902</v>
      </c>
      <c r="AW103" s="262" t="s">
        <v>1970</v>
      </c>
      <c r="AX103" s="262" t="s">
        <v>1953</v>
      </c>
      <c r="AY103" s="262" t="s">
        <v>1969</v>
      </c>
      <c r="AZ103" s="262" t="s">
        <v>1954</v>
      </c>
      <c r="BA103" s="262"/>
      <c r="BB103" s="262"/>
      <c r="BC103" s="262" t="s">
        <v>1937</v>
      </c>
      <c r="BD103" s="262" t="s">
        <v>1905</v>
      </c>
      <c r="BE103" s="262" t="s">
        <v>1967</v>
      </c>
      <c r="BF103" s="262" t="s">
        <v>1955</v>
      </c>
      <c r="BG103" s="262" t="s">
        <v>1966</v>
      </c>
      <c r="BH103" s="262" t="s">
        <v>1956</v>
      </c>
      <c r="BI103" s="262"/>
      <c r="BJ103" s="262"/>
      <c r="BK103" s="262" t="s">
        <v>1942</v>
      </c>
      <c r="BL103" s="262" t="s">
        <v>1908</v>
      </c>
      <c r="BM103" s="262" t="s">
        <v>1964</v>
      </c>
      <c r="BN103" s="262" t="s">
        <v>1957</v>
      </c>
      <c r="BO103" s="262" t="s">
        <v>1963</v>
      </c>
      <c r="BP103" s="262" t="s">
        <v>1958</v>
      </c>
    </row>
    <row r="104" spans="1:68">
      <c r="A104" s="11">
        <v>0.15</v>
      </c>
      <c r="B104" s="7">
        <v>3.125E-2</v>
      </c>
      <c r="C104" s="7">
        <v>2.8934999999999999E-2</v>
      </c>
      <c r="D104" s="7">
        <v>2.4695000000000002E-2</v>
      </c>
      <c r="E104" s="7">
        <v>3.1836000000000003E-2</v>
      </c>
      <c r="F104" s="7">
        <v>2.5808999999999999E-2</v>
      </c>
      <c r="G104" s="7">
        <v>2.9389999999999999E-2</v>
      </c>
      <c r="H104" s="7">
        <v>9.2592999999999995E-2</v>
      </c>
      <c r="I104" s="7">
        <v>0.104745</v>
      </c>
      <c r="J104" s="7">
        <v>7.3192999999999994E-2</v>
      </c>
      <c r="K104" s="7">
        <v>6.9324999999999998E-2</v>
      </c>
      <c r="L104" s="7">
        <v>6.9669999999999996E-2</v>
      </c>
      <c r="M104" s="7">
        <v>8.3097000000000004E-2</v>
      </c>
      <c r="N104" s="7">
        <v>0.31713000000000002</v>
      </c>
      <c r="O104" s="7">
        <v>0.36342600000000003</v>
      </c>
      <c r="P104" s="7">
        <v>0.18030299999999999</v>
      </c>
      <c r="Q104" s="7">
        <v>0.18922900000000001</v>
      </c>
      <c r="R104" s="7">
        <v>0.263017</v>
      </c>
      <c r="S104" s="7">
        <v>0.26600000000000001</v>
      </c>
      <c r="T104" s="4">
        <v>0</v>
      </c>
      <c r="W104" s="4">
        <v>3.8773000000000002E-2</v>
      </c>
      <c r="X104" s="4">
        <v>3.2406999999999998E-2</v>
      </c>
      <c r="Y104" s="4">
        <v>2.1422E-2</v>
      </c>
      <c r="Z104" s="4">
        <v>2.4695000000000002E-2</v>
      </c>
      <c r="AA104" s="4">
        <v>1.3873999999999999E-2</v>
      </c>
      <c r="AB104" s="4">
        <v>1.5963000000000001E-2</v>
      </c>
      <c r="AE104" s="4">
        <v>3.125E-2</v>
      </c>
      <c r="AF104" s="4">
        <v>2.8934999999999999E-2</v>
      </c>
      <c r="AG104" s="4">
        <v>2.4695000000000002E-2</v>
      </c>
      <c r="AH104" s="4">
        <v>3.1836000000000003E-2</v>
      </c>
      <c r="AI104" s="4">
        <v>2.5808999999999999E-2</v>
      </c>
      <c r="AJ104" s="4">
        <v>2.9389999999999999E-2</v>
      </c>
      <c r="AM104" s="4">
        <v>2.1122999999999999E-2</v>
      </c>
      <c r="AN104" s="4">
        <v>2.8646000000000001E-2</v>
      </c>
      <c r="AO104" s="4">
        <v>2.7968E-2</v>
      </c>
      <c r="AP104" s="4">
        <v>3.2728E-2</v>
      </c>
      <c r="AQ104" s="4">
        <v>2.8792999999999999E-2</v>
      </c>
      <c r="AR104" s="4">
        <v>3.0582999999999999E-2</v>
      </c>
      <c r="AU104" s="4">
        <v>3.3274999999999999E-2</v>
      </c>
      <c r="AV104" s="4">
        <v>3.6748000000000003E-2</v>
      </c>
      <c r="AW104" s="4">
        <v>3.3322999999999998E-2</v>
      </c>
      <c r="AX104" s="4">
        <v>3.5704E-2</v>
      </c>
      <c r="AY104" s="4">
        <v>4.3413E-2</v>
      </c>
      <c r="AZ104" s="4">
        <v>3.4761E-2</v>
      </c>
      <c r="BC104" s="4">
        <v>9.5197000000000004E-2</v>
      </c>
      <c r="BD104" s="4">
        <v>8.8541999999999996E-2</v>
      </c>
      <c r="BE104" s="4">
        <v>0.120202</v>
      </c>
      <c r="BF104" s="4">
        <v>0.127938</v>
      </c>
      <c r="BG104" s="4">
        <v>0.12964300000000001</v>
      </c>
      <c r="BH104" s="4">
        <v>0.133522</v>
      </c>
      <c r="BK104" s="4">
        <v>0.46759299999999998</v>
      </c>
      <c r="BL104" s="4">
        <v>0.45023099999999999</v>
      </c>
      <c r="BM104" s="4">
        <v>0.52841400000000005</v>
      </c>
      <c r="BN104" s="4">
        <v>0.56411800000000001</v>
      </c>
      <c r="BO104" s="4">
        <v>0.40623599999999999</v>
      </c>
      <c r="BP104" s="4">
        <v>0.37639899999999998</v>
      </c>
    </row>
    <row r="105" spans="1:68">
      <c r="A105" s="11">
        <v>0.52</v>
      </c>
      <c r="B105" s="7">
        <v>2.1122999999999999E-2</v>
      </c>
      <c r="C105" s="7">
        <v>2.8646000000000001E-2</v>
      </c>
      <c r="D105" s="7">
        <v>2.7968E-2</v>
      </c>
      <c r="E105" s="7">
        <v>3.2728E-2</v>
      </c>
      <c r="F105" s="7">
        <v>2.8792999999999999E-2</v>
      </c>
      <c r="G105" s="7">
        <v>3.0582999999999999E-2</v>
      </c>
      <c r="H105" s="7">
        <v>0.57465299999999997</v>
      </c>
      <c r="I105" s="7">
        <v>0.62094899999999997</v>
      </c>
      <c r="J105" s="7">
        <v>0.39155000000000001</v>
      </c>
      <c r="K105" s="7">
        <v>0.42130299999999998</v>
      </c>
      <c r="L105" s="7">
        <v>0.373415</v>
      </c>
      <c r="M105" s="7">
        <v>0.47187800000000002</v>
      </c>
      <c r="N105" s="7">
        <v>2.0358800000000001</v>
      </c>
      <c r="O105" s="7">
        <v>2.6493060000000002</v>
      </c>
      <c r="P105" s="7">
        <v>1.6382030000000001</v>
      </c>
      <c r="Q105" s="7">
        <v>1.6441539999999999</v>
      </c>
      <c r="R105" s="7">
        <v>2.1159180000000002</v>
      </c>
      <c r="S105" s="7">
        <v>2.2501859999999998</v>
      </c>
      <c r="T105" s="4">
        <v>0.1</v>
      </c>
      <c r="W105" s="4">
        <v>3.3274999999999999E-2</v>
      </c>
      <c r="X105" s="4">
        <v>2.6620000000000001E-2</v>
      </c>
      <c r="Y105" s="4">
        <v>2.886E-2</v>
      </c>
      <c r="Z105" s="4">
        <v>1.7852E-2</v>
      </c>
      <c r="AA105" s="4">
        <v>2.0438999999999999E-2</v>
      </c>
      <c r="AB105" s="4">
        <v>2.1631999999999998E-2</v>
      </c>
      <c r="AE105" s="4">
        <v>1.7361000000000001E-2</v>
      </c>
      <c r="AF105" s="4">
        <v>1.6493000000000001E-2</v>
      </c>
      <c r="AG105" s="4">
        <v>2.5588E-2</v>
      </c>
      <c r="AH105" s="4">
        <v>2.41E-2</v>
      </c>
      <c r="AI105" s="4">
        <v>3.4164E-2</v>
      </c>
      <c r="AJ105" s="4">
        <v>4.5502000000000001E-2</v>
      </c>
      <c r="AM105" s="4">
        <v>2.2859000000000001E-2</v>
      </c>
      <c r="AN105" s="4">
        <v>2.1991E-2</v>
      </c>
      <c r="AO105" s="4">
        <v>2.4695000000000002E-2</v>
      </c>
      <c r="AP105" s="4">
        <v>3.0646E-2</v>
      </c>
      <c r="AQ105" s="4">
        <v>2.5808999999999999E-2</v>
      </c>
      <c r="AR105" s="4">
        <v>3.1477999999999999E-2</v>
      </c>
      <c r="AU105" s="4">
        <v>2.6331E-2</v>
      </c>
      <c r="AV105" s="4">
        <v>3.125E-2</v>
      </c>
      <c r="AW105" s="4">
        <v>2.7373000000000001E-2</v>
      </c>
      <c r="AX105" s="4">
        <v>3.0646E-2</v>
      </c>
      <c r="AY105" s="4">
        <v>4.9978000000000002E-2</v>
      </c>
      <c r="AZ105" s="4">
        <v>3.9535000000000001E-2</v>
      </c>
      <c r="BC105" s="4">
        <v>8.9120000000000005E-2</v>
      </c>
      <c r="BD105" s="4">
        <v>0.10069400000000001</v>
      </c>
      <c r="BE105" s="4">
        <v>8.6284E-2</v>
      </c>
      <c r="BF105" s="4">
        <v>0.111276</v>
      </c>
      <c r="BG105" s="4">
        <v>0.12665999999999999</v>
      </c>
      <c r="BH105" s="4">
        <v>0.13292599999999999</v>
      </c>
      <c r="BK105" s="4">
        <v>0.41840300000000002</v>
      </c>
      <c r="BL105" s="4">
        <v>0.43576399999999998</v>
      </c>
      <c r="BM105" s="4">
        <v>0.46295700000000001</v>
      </c>
      <c r="BN105" s="4">
        <v>0.52543899999999999</v>
      </c>
      <c r="BO105" s="4">
        <v>0.40921999999999997</v>
      </c>
      <c r="BP105" s="4">
        <v>0.40026899999999999</v>
      </c>
    </row>
    <row r="106" spans="1:68">
      <c r="A106" s="11">
        <v>1.77</v>
      </c>
      <c r="B106" s="7">
        <v>3.3274999999999999E-2</v>
      </c>
      <c r="C106" s="7">
        <v>3.6748000000000003E-2</v>
      </c>
      <c r="D106" s="7">
        <v>3.3322999999999998E-2</v>
      </c>
      <c r="E106" s="7">
        <v>3.5704E-2</v>
      </c>
      <c r="F106" s="7">
        <v>4.3413E-2</v>
      </c>
      <c r="G106" s="7">
        <v>3.4761E-2</v>
      </c>
      <c r="H106" s="7">
        <v>4.9612270000000001</v>
      </c>
      <c r="I106" s="7">
        <v>4.8252309999999996</v>
      </c>
      <c r="J106" s="7">
        <v>4.3635820000000001</v>
      </c>
      <c r="K106" s="7">
        <v>4.4320139999999997</v>
      </c>
      <c r="L106" s="7">
        <v>4.9385349999999999</v>
      </c>
      <c r="M106" s="7">
        <v>4.5685510000000003</v>
      </c>
      <c r="N106" s="7">
        <v>9.2870369999999998</v>
      </c>
      <c r="O106" s="7">
        <v>8.8674769999999992</v>
      </c>
      <c r="P106" s="7">
        <v>8.5706629999999997</v>
      </c>
      <c r="Q106" s="7">
        <v>8.758108</v>
      </c>
      <c r="R106" s="7">
        <v>9.3813220000000008</v>
      </c>
      <c r="S106" s="7">
        <v>9.4678500000000003</v>
      </c>
      <c r="T106" s="4">
        <v>1</v>
      </c>
      <c r="W106" s="4">
        <v>3.3854000000000002E-2</v>
      </c>
      <c r="X106" s="4">
        <v>3.2406999999999998E-2</v>
      </c>
      <c r="Y106" s="4">
        <v>2.2315000000000002E-2</v>
      </c>
      <c r="Z106" s="4">
        <v>2.0826999999999998E-2</v>
      </c>
      <c r="AA106" s="4">
        <v>1.7454999999999998E-2</v>
      </c>
      <c r="AB106" s="4">
        <v>2.8494999999999999E-2</v>
      </c>
      <c r="AE106" s="4">
        <v>2.1122999999999999E-2</v>
      </c>
      <c r="AF106" s="4">
        <v>1.8519000000000001E-2</v>
      </c>
      <c r="AG106" s="4">
        <v>3.7191000000000002E-2</v>
      </c>
      <c r="AH106" s="4">
        <v>3.1241000000000001E-2</v>
      </c>
      <c r="AI106" s="4">
        <v>4.1922000000000001E-2</v>
      </c>
      <c r="AJ106" s="4">
        <v>4.4010000000000001E-2</v>
      </c>
      <c r="AM106" s="4">
        <v>2.1122999999999999E-2</v>
      </c>
      <c r="AN106" s="4">
        <v>1.7649999999999999E-2</v>
      </c>
      <c r="AO106" s="4">
        <v>3.6298999999999998E-2</v>
      </c>
      <c r="AP106" s="4">
        <v>3.7191000000000002E-2</v>
      </c>
      <c r="AQ106" s="4">
        <v>4.0430000000000001E-2</v>
      </c>
      <c r="AR106" s="4">
        <v>4.4309000000000001E-2</v>
      </c>
      <c r="AU106" s="4">
        <v>3.6748000000000003E-2</v>
      </c>
      <c r="AV106" s="4">
        <v>3.6169E-2</v>
      </c>
      <c r="AW106" s="4">
        <v>4.1952000000000003E-2</v>
      </c>
      <c r="AX106" s="4">
        <v>4.5522E-2</v>
      </c>
      <c r="AY106" s="4">
        <v>5.7735000000000002E-2</v>
      </c>
      <c r="AZ106" s="4">
        <v>5.8332000000000002E-2</v>
      </c>
      <c r="BC106" s="4">
        <v>0.121528</v>
      </c>
      <c r="BD106" s="4">
        <v>0.13946800000000001</v>
      </c>
      <c r="BE106" s="4">
        <v>0.15709600000000001</v>
      </c>
      <c r="BF106" s="4">
        <v>0.17732800000000001</v>
      </c>
      <c r="BG106" s="4">
        <v>0.19737399999999999</v>
      </c>
      <c r="BH106" s="4">
        <v>0.16634299999999999</v>
      </c>
      <c r="BK106" s="4">
        <v>0.64988400000000002</v>
      </c>
      <c r="BL106" s="4">
        <v>0.65277799999999997</v>
      </c>
      <c r="BM106" s="4">
        <v>0.68610499999999996</v>
      </c>
      <c r="BN106" s="4">
        <v>0.74263599999999996</v>
      </c>
      <c r="BO106" s="4">
        <v>0.65686999999999995</v>
      </c>
      <c r="BP106" s="4">
        <v>0.55243900000000001</v>
      </c>
    </row>
    <row r="107" spans="1:68">
      <c r="A107" s="11">
        <v>4.8600000000000003</v>
      </c>
      <c r="B107" s="7">
        <v>9.5197000000000004E-2</v>
      </c>
      <c r="C107" s="7">
        <v>8.8541999999999996E-2</v>
      </c>
      <c r="D107" s="7">
        <v>0.120202</v>
      </c>
      <c r="E107" s="7">
        <v>0.127938</v>
      </c>
      <c r="F107" s="7">
        <v>0.12964300000000001</v>
      </c>
      <c r="G107" s="7">
        <v>0.133522</v>
      </c>
      <c r="H107" s="120" t="s">
        <v>793</v>
      </c>
      <c r="I107" s="120" t="s">
        <v>794</v>
      </c>
      <c r="J107" s="7">
        <v>12.48616</v>
      </c>
      <c r="K107" s="7">
        <v>12.524839999999999</v>
      </c>
      <c r="L107" s="7">
        <v>13.78532</v>
      </c>
      <c r="M107" s="7">
        <v>13.61525</v>
      </c>
      <c r="N107" s="7">
        <v>16.309609999999999</v>
      </c>
      <c r="O107" s="7">
        <v>17.449649999999998</v>
      </c>
      <c r="P107" s="7">
        <v>18.728349999999999</v>
      </c>
      <c r="Q107" s="7">
        <v>18.844390000000001</v>
      </c>
      <c r="R107" s="7">
        <v>17.246459999999999</v>
      </c>
      <c r="S107" s="7">
        <v>17.676120000000001</v>
      </c>
      <c r="T107" s="4">
        <v>10</v>
      </c>
      <c r="W107" s="4">
        <v>2.7199000000000001E-2</v>
      </c>
      <c r="X107" s="4">
        <v>2.5752000000000001E-2</v>
      </c>
      <c r="Y107" s="4">
        <v>3.3322999999999998E-2</v>
      </c>
      <c r="Z107" s="4">
        <v>2.9753000000000002E-2</v>
      </c>
      <c r="AA107" s="4">
        <v>2.76E-2</v>
      </c>
      <c r="AB107" s="4">
        <v>2.8792999999999999E-2</v>
      </c>
      <c r="AE107" s="4">
        <v>1.7361000000000001E-2</v>
      </c>
      <c r="AF107" s="4">
        <v>1.4756999999999999E-2</v>
      </c>
      <c r="AG107" s="4">
        <v>3.1836000000000003E-2</v>
      </c>
      <c r="AH107" s="4">
        <v>3.6595999999999997E-2</v>
      </c>
      <c r="AI107" s="4">
        <v>4.5502000000000001E-2</v>
      </c>
      <c r="AJ107" s="4">
        <v>4.5502000000000001E-2</v>
      </c>
      <c r="AM107" s="4">
        <v>3.125E-2</v>
      </c>
      <c r="AN107" s="4">
        <v>3.2406999999999998E-2</v>
      </c>
      <c r="AO107" s="4">
        <v>5.9804000000000003E-2</v>
      </c>
      <c r="AP107" s="4">
        <v>6.2184000000000003E-2</v>
      </c>
      <c r="AQ107" s="4">
        <v>5.7735000000000002E-2</v>
      </c>
      <c r="AR107" s="4">
        <v>5.5647000000000002E-2</v>
      </c>
      <c r="AU107" s="4">
        <v>0.146701</v>
      </c>
      <c r="AV107" s="4">
        <v>0.14583299999999999</v>
      </c>
      <c r="AW107" s="4">
        <v>0.201131</v>
      </c>
      <c r="AX107" s="4">
        <v>0.198155</v>
      </c>
      <c r="AY107" s="4">
        <v>0.221244</v>
      </c>
      <c r="AZ107" s="4">
        <v>0.21826000000000001</v>
      </c>
      <c r="BC107" s="4">
        <v>0.98263900000000004</v>
      </c>
      <c r="BD107" s="4">
        <v>1.6799770000000001</v>
      </c>
      <c r="BE107" s="4">
        <v>2.6468310000000002</v>
      </c>
      <c r="BF107" s="4">
        <v>2.7866710000000001</v>
      </c>
      <c r="BG107" s="4">
        <v>2.9692669999999999</v>
      </c>
      <c r="BH107" s="4">
        <v>2.6828289999999999</v>
      </c>
      <c r="BK107" s="4">
        <v>5.6209490000000004</v>
      </c>
      <c r="BL107" s="4">
        <v>5.6556709999999999</v>
      </c>
      <c r="BM107" s="4">
        <v>6.2290979999999996</v>
      </c>
      <c r="BN107" s="4">
        <v>6.1695919999999997</v>
      </c>
      <c r="BO107" s="4">
        <v>5.3234370000000002</v>
      </c>
      <c r="BP107" s="4">
        <v>5.8784130000000001</v>
      </c>
    </row>
    <row r="108" spans="1:68">
      <c r="A108" s="11">
        <v>8.15</v>
      </c>
      <c r="B108" s="7">
        <v>0.46759299999999998</v>
      </c>
      <c r="C108" s="7">
        <v>0.45023099999999999</v>
      </c>
      <c r="D108" s="7">
        <v>0.52841400000000005</v>
      </c>
      <c r="E108" s="7">
        <v>0.56411800000000001</v>
      </c>
      <c r="F108" s="7">
        <v>0.40623599999999999</v>
      </c>
      <c r="G108" s="7">
        <v>0.37639899999999998</v>
      </c>
      <c r="H108" s="7">
        <v>17.99363</v>
      </c>
      <c r="I108" s="7">
        <v>17.66377</v>
      </c>
      <c r="J108" s="7">
        <v>18.276109999999999</v>
      </c>
      <c r="K108" s="7">
        <v>18.844390000000001</v>
      </c>
      <c r="L108" s="7">
        <v>17.783529999999999</v>
      </c>
      <c r="M108" s="7">
        <v>16.470680000000002</v>
      </c>
      <c r="N108" s="120" t="s">
        <v>795</v>
      </c>
      <c r="O108" s="120" t="s">
        <v>796</v>
      </c>
      <c r="P108" s="120" t="s">
        <v>797</v>
      </c>
      <c r="Q108" s="120" t="s">
        <v>798</v>
      </c>
      <c r="R108" s="120" t="s">
        <v>799</v>
      </c>
      <c r="S108" s="120" t="s">
        <v>800</v>
      </c>
      <c r="T108" s="4">
        <v>50</v>
      </c>
      <c r="W108" s="4">
        <v>3.1829000000000003E-2</v>
      </c>
      <c r="X108" s="4">
        <v>1.9965E-2</v>
      </c>
      <c r="Y108" s="4">
        <v>1.5472E-2</v>
      </c>
      <c r="Z108" s="4">
        <v>2.5588E-2</v>
      </c>
      <c r="AA108" s="4">
        <v>2.7002999999999999E-2</v>
      </c>
      <c r="AB108" s="4">
        <v>3.2374E-2</v>
      </c>
      <c r="AE108" s="4">
        <v>4.4270999999999998E-2</v>
      </c>
      <c r="AF108" s="4">
        <v>5.3240999999999997E-2</v>
      </c>
      <c r="AG108" s="4">
        <v>5.6530999999999998E-2</v>
      </c>
      <c r="AH108" s="4">
        <v>5.2663000000000001E-2</v>
      </c>
      <c r="AI108" s="4">
        <v>5.6840000000000002E-2</v>
      </c>
      <c r="AJ108" s="4">
        <v>5.5348000000000001E-2</v>
      </c>
      <c r="AM108" s="4">
        <v>0.16290499999999999</v>
      </c>
      <c r="AN108" s="4">
        <v>0.19270799999999999</v>
      </c>
      <c r="AO108" s="4">
        <v>0.21005699999999999</v>
      </c>
      <c r="AP108" s="4">
        <v>0.201131</v>
      </c>
      <c r="AQ108" s="4">
        <v>0.17499600000000001</v>
      </c>
      <c r="AR108" s="4">
        <v>0.17052100000000001</v>
      </c>
      <c r="AU108" s="4">
        <v>2.0503469999999999</v>
      </c>
      <c r="AV108" s="4">
        <v>2.4525459999999999</v>
      </c>
      <c r="AW108" s="4">
        <v>2.3522759999999998</v>
      </c>
      <c r="AX108" s="4">
        <v>2.108301</v>
      </c>
      <c r="AY108" s="4">
        <v>2.5008210000000002</v>
      </c>
      <c r="AZ108" s="4">
        <v>2.3993730000000002</v>
      </c>
      <c r="BC108" s="4">
        <v>7.0966440000000004</v>
      </c>
      <c r="BD108" s="4">
        <v>8.03125</v>
      </c>
      <c r="BE108" s="4">
        <v>8.8681940000000008</v>
      </c>
      <c r="BF108" s="4">
        <v>9.373996</v>
      </c>
      <c r="BG108" s="4">
        <v>10.16605</v>
      </c>
      <c r="BH108" s="4">
        <v>9.4678500000000003</v>
      </c>
      <c r="BK108" s="4">
        <v>13.071759999999999</v>
      </c>
      <c r="BL108" s="4">
        <v>12.75637</v>
      </c>
      <c r="BM108" s="4">
        <v>13.947039999999999</v>
      </c>
      <c r="BN108" s="4">
        <v>14.03332</v>
      </c>
      <c r="BO108" s="4">
        <v>12.884230000000001</v>
      </c>
      <c r="BP108" s="4">
        <v>14.88334</v>
      </c>
    </row>
    <row r="109" spans="1:68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4">
        <v>100</v>
      </c>
      <c r="W109" s="4">
        <v>3.6748000000000003E-2</v>
      </c>
      <c r="X109" s="4">
        <v>3.8773000000000002E-2</v>
      </c>
      <c r="Y109" s="4">
        <v>2.0826999999999998E-2</v>
      </c>
      <c r="Z109" s="4">
        <v>2.648E-2</v>
      </c>
      <c r="AA109" s="4">
        <v>2.5808999999999999E-2</v>
      </c>
      <c r="AB109" s="4">
        <v>1.6858000000000001E-2</v>
      </c>
      <c r="AE109" s="4">
        <v>9.2592999999999995E-2</v>
      </c>
      <c r="AF109" s="4">
        <v>0.104745</v>
      </c>
      <c r="AG109" s="4">
        <v>7.3192999999999994E-2</v>
      </c>
      <c r="AH109" s="4">
        <v>6.9324999999999998E-2</v>
      </c>
      <c r="AI109" s="4">
        <v>6.9669999999999996E-2</v>
      </c>
      <c r="AJ109" s="4">
        <v>8.3097000000000004E-2</v>
      </c>
      <c r="AM109" s="4">
        <v>0.57465299999999997</v>
      </c>
      <c r="AN109" s="4">
        <v>0.62094899999999997</v>
      </c>
      <c r="AO109" s="4">
        <v>0.39155000000000001</v>
      </c>
      <c r="AP109" s="4">
        <v>0.42130299999999998</v>
      </c>
      <c r="AQ109" s="4">
        <v>0.373415</v>
      </c>
      <c r="AR109" s="4">
        <v>0.47187800000000002</v>
      </c>
      <c r="AU109" s="4">
        <v>4.9612270000000001</v>
      </c>
      <c r="AV109" s="4">
        <v>4.8252309999999996</v>
      </c>
      <c r="AW109" s="4">
        <v>4.3635820000000001</v>
      </c>
      <c r="AX109" s="4">
        <v>4.4320139999999997</v>
      </c>
      <c r="AY109" s="4">
        <v>4.9385349999999999</v>
      </c>
      <c r="AZ109" s="4">
        <v>4.5685510000000003</v>
      </c>
      <c r="BC109" s="137" t="s">
        <v>793</v>
      </c>
      <c r="BD109" s="137" t="s">
        <v>794</v>
      </c>
      <c r="BE109" s="4">
        <v>12.48616</v>
      </c>
      <c r="BF109" s="4">
        <v>12.524839999999999</v>
      </c>
      <c r="BG109" s="4">
        <v>13.78532</v>
      </c>
      <c r="BH109" s="4">
        <v>13.61525</v>
      </c>
      <c r="BK109" s="4">
        <v>17.99363</v>
      </c>
      <c r="BL109" s="4">
        <v>17.66377</v>
      </c>
      <c r="BM109" s="4">
        <v>18.276109999999999</v>
      </c>
      <c r="BN109" s="4">
        <v>18.844390000000001</v>
      </c>
      <c r="BO109" s="4">
        <v>17.783529999999999</v>
      </c>
      <c r="BP109" s="4">
        <v>16.470680000000002</v>
      </c>
    </row>
    <row r="110" spans="1:68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4">
        <v>500</v>
      </c>
      <c r="W110" s="4">
        <v>2.8646000000000001E-2</v>
      </c>
      <c r="X110" s="4">
        <v>2.4015999999999999E-2</v>
      </c>
      <c r="Y110" s="4">
        <v>2.1422E-2</v>
      </c>
      <c r="Z110" s="4">
        <v>2.5884999999999998E-2</v>
      </c>
      <c r="AA110" s="4">
        <v>1.7156000000000001E-2</v>
      </c>
      <c r="AB110" s="4">
        <v>1.7454999999999998E-2</v>
      </c>
      <c r="AE110" s="4">
        <v>0.241898</v>
      </c>
      <c r="AF110" s="4">
        <v>0.273727</v>
      </c>
      <c r="AG110" s="4">
        <v>0.154418</v>
      </c>
      <c r="AH110" s="4">
        <v>0.15174099999999999</v>
      </c>
      <c r="AI110" s="4">
        <v>0.17141600000000001</v>
      </c>
      <c r="AJ110" s="4">
        <v>0.17231099999999999</v>
      </c>
      <c r="AM110" s="4">
        <v>4.6747690000000004</v>
      </c>
      <c r="AN110" s="4">
        <v>2.0677080000000001</v>
      </c>
      <c r="AO110" s="4">
        <v>1.322821</v>
      </c>
      <c r="AP110" s="4">
        <v>1.3674500000000001</v>
      </c>
      <c r="AQ110" s="4">
        <v>1.3192600000000001</v>
      </c>
      <c r="AR110" s="4">
        <v>1.6653739999999999</v>
      </c>
      <c r="AU110" s="4">
        <v>8.1556709999999999</v>
      </c>
      <c r="AV110" s="4">
        <v>7.9328700000000003</v>
      </c>
      <c r="AW110" s="4">
        <v>7.502529</v>
      </c>
      <c r="AX110" s="4">
        <v>7.785183</v>
      </c>
      <c r="AY110" s="4">
        <v>8.2654040000000002</v>
      </c>
      <c r="AZ110" s="4">
        <v>8.2415339999999997</v>
      </c>
      <c r="BC110" s="4">
        <v>15.768520000000001</v>
      </c>
      <c r="BD110" s="4">
        <v>16.410879999999999</v>
      </c>
      <c r="BE110" s="4">
        <v>18.10652</v>
      </c>
      <c r="BF110" s="4">
        <v>17.7227</v>
      </c>
      <c r="BG110" s="4">
        <v>16.369240000000001</v>
      </c>
      <c r="BH110" s="4">
        <v>15.73072</v>
      </c>
      <c r="BK110" s="4">
        <v>22.09375</v>
      </c>
      <c r="BL110" s="4">
        <v>22.782409999999999</v>
      </c>
      <c r="BM110" s="4">
        <v>24.52722</v>
      </c>
      <c r="BN110" s="4">
        <v>25.759</v>
      </c>
      <c r="BO110" s="4">
        <v>21.7698</v>
      </c>
      <c r="BP110" s="4">
        <v>20.856780000000001</v>
      </c>
    </row>
    <row r="111" spans="1:68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4">
        <v>1000</v>
      </c>
      <c r="W111" s="4">
        <v>2.0254999999999999E-2</v>
      </c>
      <c r="X111" s="4">
        <v>2.6331E-2</v>
      </c>
      <c r="Y111" s="4">
        <v>2.5588E-2</v>
      </c>
      <c r="Z111" s="4">
        <v>2.1422E-2</v>
      </c>
      <c r="AA111" s="4">
        <v>1.4173E-2</v>
      </c>
      <c r="AB111" s="4">
        <v>1.7454999999999998E-2</v>
      </c>
      <c r="AE111" s="4">
        <v>0.31713000000000002</v>
      </c>
      <c r="AF111" s="4">
        <v>0.36342600000000003</v>
      </c>
      <c r="AG111" s="4">
        <v>0.18030299999999999</v>
      </c>
      <c r="AH111" s="4">
        <v>0.18922900000000001</v>
      </c>
      <c r="AI111" s="4">
        <v>0.263017</v>
      </c>
      <c r="AJ111" s="4">
        <v>0.26600000000000001</v>
      </c>
      <c r="AM111" s="4">
        <v>2.0358800000000001</v>
      </c>
      <c r="AN111" s="4">
        <v>2.6493060000000002</v>
      </c>
      <c r="AO111" s="4">
        <v>1.6382030000000001</v>
      </c>
      <c r="AP111" s="4">
        <v>1.6441539999999999</v>
      </c>
      <c r="AQ111" s="4">
        <v>2.1159180000000002</v>
      </c>
      <c r="AR111" s="4">
        <v>2.2501859999999998</v>
      </c>
      <c r="AU111" s="4">
        <v>9.2870369999999998</v>
      </c>
      <c r="AV111" s="4">
        <v>8.8674769999999992</v>
      </c>
      <c r="AW111" s="4">
        <v>8.5706629999999997</v>
      </c>
      <c r="AX111" s="4">
        <v>8.758108</v>
      </c>
      <c r="AY111" s="4">
        <v>9.3813220000000008</v>
      </c>
      <c r="AZ111" s="4">
        <v>9.4678500000000003</v>
      </c>
      <c r="BC111" s="4">
        <v>16.309609999999999</v>
      </c>
      <c r="BD111" s="4">
        <v>17.449649999999998</v>
      </c>
      <c r="BE111" s="4">
        <v>18.728349999999999</v>
      </c>
      <c r="BF111" s="4">
        <v>18.844390000000001</v>
      </c>
      <c r="BG111" s="4">
        <v>17.246459999999999</v>
      </c>
      <c r="BH111" s="4">
        <v>17.676120000000001</v>
      </c>
      <c r="BK111" s="4">
        <v>20.34028</v>
      </c>
      <c r="BL111" s="4">
        <v>21.691549999999999</v>
      </c>
      <c r="BM111" s="4">
        <v>27.133590000000002</v>
      </c>
      <c r="BN111" s="4">
        <v>26.803329999999999</v>
      </c>
      <c r="BO111" s="4">
        <v>24.380579999999998</v>
      </c>
      <c r="BP111" s="4">
        <v>22.241240000000001</v>
      </c>
    </row>
    <row r="112" spans="1:68" ht="16.5">
      <c r="A112" s="112" t="s">
        <v>1708</v>
      </c>
      <c r="B112" s="244" t="s">
        <v>2103</v>
      </c>
      <c r="C112" s="244"/>
      <c r="D112" s="244"/>
      <c r="E112" s="244"/>
      <c r="F112" s="244"/>
      <c r="G112" s="244"/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63" t="s">
        <v>1959</v>
      </c>
      <c r="U112" s="263" t="s">
        <v>1959</v>
      </c>
      <c r="V112" s="263" t="s">
        <v>1959</v>
      </c>
      <c r="W112" s="263" t="s">
        <v>1959</v>
      </c>
      <c r="X112" s="263" t="s">
        <v>1959</v>
      </c>
      <c r="Y112" s="263" t="s">
        <v>1959</v>
      </c>
      <c r="Z112" s="263" t="s">
        <v>1959</v>
      </c>
      <c r="AA112" s="263" t="s">
        <v>1959</v>
      </c>
      <c r="AB112" s="263" t="s">
        <v>1959</v>
      </c>
      <c r="AC112" s="263" t="s">
        <v>1959</v>
      </c>
      <c r="AD112" s="263" t="s">
        <v>1959</v>
      </c>
      <c r="AE112" s="263" t="s">
        <v>1959</v>
      </c>
      <c r="AF112" s="263" t="s">
        <v>1959</v>
      </c>
      <c r="AG112" s="263" t="s">
        <v>1959</v>
      </c>
      <c r="AH112" s="263" t="s">
        <v>1959</v>
      </c>
      <c r="AI112" s="263" t="s">
        <v>1959</v>
      </c>
      <c r="AJ112" s="263" t="s">
        <v>1959</v>
      </c>
      <c r="AK112" s="263" t="s">
        <v>1959</v>
      </c>
      <c r="AL112" s="263" t="s">
        <v>1959</v>
      </c>
      <c r="AM112" s="263" t="s">
        <v>1959</v>
      </c>
      <c r="AN112" s="263" t="s">
        <v>1959</v>
      </c>
      <c r="AO112" s="263" t="s">
        <v>1959</v>
      </c>
      <c r="AP112" s="263" t="s">
        <v>1959</v>
      </c>
      <c r="AQ112" s="263" t="s">
        <v>1959</v>
      </c>
      <c r="AR112" s="263" t="s">
        <v>1959</v>
      </c>
      <c r="AS112" s="263" t="s">
        <v>1959</v>
      </c>
      <c r="AT112" s="263" t="s">
        <v>1959</v>
      </c>
      <c r="AU112" s="263" t="s">
        <v>1959</v>
      </c>
      <c r="AV112" s="263" t="s">
        <v>1959</v>
      </c>
      <c r="AW112" s="263" t="s">
        <v>1959</v>
      </c>
      <c r="AX112" s="263" t="s">
        <v>1959</v>
      </c>
      <c r="AY112" s="263" t="s">
        <v>1959</v>
      </c>
      <c r="AZ112" s="263" t="s">
        <v>1959</v>
      </c>
      <c r="BA112" s="263" t="s">
        <v>1959</v>
      </c>
      <c r="BB112" s="263" t="s">
        <v>1959</v>
      </c>
      <c r="BC112" s="263" t="s">
        <v>1959</v>
      </c>
      <c r="BD112" s="263" t="s">
        <v>1959</v>
      </c>
      <c r="BE112" s="263" t="s">
        <v>1959</v>
      </c>
      <c r="BF112" s="263" t="s">
        <v>1959</v>
      </c>
      <c r="BG112" s="263" t="s">
        <v>1959</v>
      </c>
      <c r="BH112" s="263" t="s">
        <v>1959</v>
      </c>
      <c r="BI112" s="263" t="s">
        <v>1959</v>
      </c>
      <c r="BJ112" s="263" t="s">
        <v>1959</v>
      </c>
      <c r="BK112" s="263" t="s">
        <v>1959</v>
      </c>
      <c r="BL112" s="263" t="s">
        <v>1959</v>
      </c>
      <c r="BM112" s="263" t="s">
        <v>1959</v>
      </c>
      <c r="BN112" s="263" t="s">
        <v>1959</v>
      </c>
      <c r="BO112" s="263" t="s">
        <v>1959</v>
      </c>
      <c r="BP112" s="263" t="s">
        <v>1959</v>
      </c>
    </row>
    <row r="113" spans="1:68">
      <c r="A113" s="6" t="s">
        <v>1698</v>
      </c>
      <c r="B113" s="133">
        <v>0</v>
      </c>
      <c r="C113" s="133"/>
      <c r="D113" s="133"/>
      <c r="E113" s="133"/>
      <c r="F113" s="133"/>
      <c r="G113" s="133"/>
      <c r="H113" s="134">
        <v>100</v>
      </c>
      <c r="I113" s="134"/>
      <c r="J113" s="134"/>
      <c r="K113" s="134"/>
      <c r="L113" s="134"/>
      <c r="M113" s="134"/>
      <c r="N113" s="135">
        <v>1000</v>
      </c>
      <c r="O113" s="135"/>
      <c r="P113" s="135"/>
      <c r="Q113" s="135"/>
      <c r="R113" s="135"/>
      <c r="S113" s="135"/>
      <c r="T113" s="138" t="s">
        <v>2088</v>
      </c>
      <c r="U113" s="264">
        <v>7.1199999999999996E-4</v>
      </c>
      <c r="V113" s="265"/>
      <c r="W113" s="265"/>
      <c r="X113" s="265"/>
      <c r="Y113" s="265"/>
      <c r="Z113" s="265"/>
      <c r="AA113" s="265"/>
      <c r="AB113" s="265"/>
      <c r="AC113" s="264">
        <v>0.13</v>
      </c>
      <c r="AD113" s="265"/>
      <c r="AE113" s="265"/>
      <c r="AF113" s="265"/>
      <c r="AG113" s="265"/>
      <c r="AH113" s="265"/>
      <c r="AI113" s="265"/>
      <c r="AJ113" s="265"/>
      <c r="AK113" s="264">
        <v>0.48</v>
      </c>
      <c r="AL113" s="265"/>
      <c r="AM113" s="265"/>
      <c r="AN113" s="265"/>
      <c r="AO113" s="265"/>
      <c r="AP113" s="265"/>
      <c r="AQ113" s="265"/>
      <c r="AR113" s="265"/>
      <c r="AS113" s="264">
        <v>1.58</v>
      </c>
      <c r="AT113" s="265"/>
      <c r="AU113" s="265"/>
      <c r="AV113" s="265"/>
      <c r="AW113" s="265"/>
      <c r="AX113" s="265"/>
      <c r="AY113" s="265"/>
      <c r="AZ113" s="265"/>
      <c r="BA113" s="264">
        <v>4.3499999999999996</v>
      </c>
      <c r="BB113" s="265"/>
      <c r="BC113" s="265"/>
      <c r="BD113" s="265"/>
      <c r="BE113" s="265"/>
      <c r="BF113" s="265"/>
      <c r="BG113" s="265"/>
      <c r="BH113" s="265"/>
      <c r="BI113" s="264">
        <v>7.78</v>
      </c>
      <c r="BJ113" s="265"/>
      <c r="BK113" s="265"/>
      <c r="BL113" s="265"/>
      <c r="BM113" s="265"/>
      <c r="BN113" s="265"/>
      <c r="BO113" s="265"/>
      <c r="BP113" s="265"/>
    </row>
    <row r="114" spans="1:68" ht="16.5" customHeight="1">
      <c r="A114" s="11">
        <v>0</v>
      </c>
      <c r="B114" s="120" t="s">
        <v>801</v>
      </c>
      <c r="C114" s="120" t="s">
        <v>802</v>
      </c>
      <c r="D114" s="120" t="s">
        <v>803</v>
      </c>
      <c r="E114" s="120" t="s">
        <v>804</v>
      </c>
      <c r="F114" s="120" t="s">
        <v>805</v>
      </c>
      <c r="G114" s="120" t="s">
        <v>806</v>
      </c>
      <c r="H114" s="120" t="s">
        <v>822</v>
      </c>
      <c r="I114" s="120" t="s">
        <v>823</v>
      </c>
      <c r="J114" s="120" t="s">
        <v>824</v>
      </c>
      <c r="K114" s="120" t="s">
        <v>808</v>
      </c>
      <c r="L114" s="7">
        <v>8.2050000000000005E-3</v>
      </c>
      <c r="M114" s="120" t="s">
        <v>825</v>
      </c>
      <c r="N114" s="120" t="s">
        <v>829</v>
      </c>
      <c r="O114" s="120" t="s">
        <v>830</v>
      </c>
      <c r="P114" s="120" t="s">
        <v>803</v>
      </c>
      <c r="Q114" s="120" t="s">
        <v>824</v>
      </c>
      <c r="R114" s="7">
        <v>7.012E-3</v>
      </c>
      <c r="S114" s="7">
        <v>7.6090000000000003E-3</v>
      </c>
      <c r="T114" s="139" t="s">
        <v>1915</v>
      </c>
      <c r="U114" s="261"/>
      <c r="V114" s="261"/>
      <c r="W114" s="261" t="s">
        <v>1916</v>
      </c>
      <c r="X114" s="261" t="s">
        <v>1916</v>
      </c>
      <c r="Y114" s="261" t="s">
        <v>1918</v>
      </c>
      <c r="Z114" s="261" t="s">
        <v>1918</v>
      </c>
      <c r="AA114" s="261" t="s">
        <v>1920</v>
      </c>
      <c r="AB114" s="261" t="s">
        <v>1920</v>
      </c>
      <c r="AC114" s="261"/>
      <c r="AD114" s="261"/>
      <c r="AE114" s="261" t="s">
        <v>1977</v>
      </c>
      <c r="AF114" s="261" t="s">
        <v>1977</v>
      </c>
      <c r="AG114" s="261" t="s">
        <v>1978</v>
      </c>
      <c r="AH114" s="261" t="s">
        <v>1978</v>
      </c>
      <c r="AI114" s="261" t="s">
        <v>1974</v>
      </c>
      <c r="AJ114" s="261" t="s">
        <v>1974</v>
      </c>
      <c r="AK114" s="261"/>
      <c r="AL114" s="261"/>
      <c r="AM114" s="261" t="s">
        <v>1979</v>
      </c>
      <c r="AN114" s="261" t="s">
        <v>1979</v>
      </c>
      <c r="AO114" s="261" t="s">
        <v>1980</v>
      </c>
      <c r="AP114" s="261" t="s">
        <v>1980</v>
      </c>
      <c r="AQ114" s="261" t="s">
        <v>1971</v>
      </c>
      <c r="AR114" s="261" t="s">
        <v>1971</v>
      </c>
      <c r="AS114" s="261"/>
      <c r="AT114" s="261"/>
      <c r="AU114" s="261" t="s">
        <v>1981</v>
      </c>
      <c r="AV114" s="261" t="s">
        <v>1981</v>
      </c>
      <c r="AW114" s="261" t="s">
        <v>1982</v>
      </c>
      <c r="AX114" s="261" t="s">
        <v>1982</v>
      </c>
      <c r="AY114" s="261" t="s">
        <v>1968</v>
      </c>
      <c r="AZ114" s="261" t="s">
        <v>1968</v>
      </c>
      <c r="BA114" s="261"/>
      <c r="BB114" s="261"/>
      <c r="BC114" s="261" t="s">
        <v>1983</v>
      </c>
      <c r="BD114" s="261" t="s">
        <v>1983</v>
      </c>
      <c r="BE114" s="261" t="s">
        <v>1984</v>
      </c>
      <c r="BF114" s="261" t="s">
        <v>1984</v>
      </c>
      <c r="BG114" s="261" t="s">
        <v>1965</v>
      </c>
      <c r="BH114" s="261" t="s">
        <v>1965</v>
      </c>
      <c r="BI114" s="261"/>
      <c r="BJ114" s="261"/>
      <c r="BK114" s="261" t="s">
        <v>1985</v>
      </c>
      <c r="BL114" s="261" t="s">
        <v>1985</v>
      </c>
      <c r="BM114" s="261" t="s">
        <v>1986</v>
      </c>
      <c r="BN114" s="261" t="s">
        <v>1986</v>
      </c>
      <c r="BO114" s="261" t="s">
        <v>1962</v>
      </c>
      <c r="BP114" s="261" t="s">
        <v>1962</v>
      </c>
    </row>
    <row r="115" spans="1:68">
      <c r="A115" s="11">
        <v>0.13</v>
      </c>
      <c r="B115" s="7">
        <v>4.8650000000000004E-3</v>
      </c>
      <c r="C115" s="7">
        <v>5.6759999999999996E-3</v>
      </c>
      <c r="D115" s="120" t="s">
        <v>807</v>
      </c>
      <c r="E115" s="120" t="s">
        <v>808</v>
      </c>
      <c r="F115" s="7">
        <v>1.0293999999999999E-2</v>
      </c>
      <c r="G115" s="7">
        <v>1.1487000000000001E-2</v>
      </c>
      <c r="H115" s="7">
        <v>0.16891900000000001</v>
      </c>
      <c r="I115" s="7">
        <v>0.166216</v>
      </c>
      <c r="J115" s="7">
        <v>0.19517999999999999</v>
      </c>
      <c r="K115" s="7">
        <v>0.20410600000000001</v>
      </c>
      <c r="L115" s="7">
        <v>0.23019500000000001</v>
      </c>
      <c r="M115" s="7">
        <v>0.25406499999999999</v>
      </c>
      <c r="N115" s="7">
        <v>0.74459500000000001</v>
      </c>
      <c r="O115" s="7">
        <v>0.77432400000000001</v>
      </c>
      <c r="P115" s="7">
        <v>0.629575</v>
      </c>
      <c r="Q115" s="7">
        <v>0.63254999999999995</v>
      </c>
      <c r="R115" s="7">
        <v>0.90750399999999998</v>
      </c>
      <c r="S115" s="7">
        <v>0.93435800000000002</v>
      </c>
      <c r="T115" s="132">
        <v>0</v>
      </c>
      <c r="U115" s="132"/>
      <c r="V115" s="132"/>
      <c r="W115" s="212" t="s">
        <v>801</v>
      </c>
      <c r="X115" s="212" t="s">
        <v>802</v>
      </c>
      <c r="Y115" s="212" t="s">
        <v>803</v>
      </c>
      <c r="Z115" s="212" t="s">
        <v>804</v>
      </c>
      <c r="AA115" s="132">
        <v>7.4600000000000003E-4</v>
      </c>
      <c r="AB115" s="213" t="s">
        <v>3474</v>
      </c>
      <c r="AC115" s="132"/>
      <c r="AD115" s="132"/>
      <c r="AE115" s="132">
        <v>4.8650000000000004E-3</v>
      </c>
      <c r="AF115" s="132">
        <v>5.6759999999999996E-3</v>
      </c>
      <c r="AG115" s="132" t="s">
        <v>807</v>
      </c>
      <c r="AH115" s="132" t="s">
        <v>808</v>
      </c>
      <c r="AI115" s="132">
        <v>1.0293999999999999E-2</v>
      </c>
      <c r="AJ115" s="132">
        <v>1.1487000000000001E-2</v>
      </c>
      <c r="AK115" s="132"/>
      <c r="AL115" s="132"/>
      <c r="AM115" s="132">
        <v>8.9189999999999998E-3</v>
      </c>
      <c r="AN115" s="132">
        <v>1.1351E-2</v>
      </c>
      <c r="AO115" s="132">
        <v>8.3309999999999999E-3</v>
      </c>
      <c r="AP115" s="132">
        <v>4.463E-3</v>
      </c>
      <c r="AQ115" s="132">
        <v>1.2681E-2</v>
      </c>
      <c r="AR115" s="132">
        <v>1.2681E-2</v>
      </c>
      <c r="AS115" s="132"/>
      <c r="AT115" s="132"/>
      <c r="AU115" s="132">
        <v>1.7297E-2</v>
      </c>
      <c r="AV115" s="132">
        <v>1.8377999999999999E-2</v>
      </c>
      <c r="AW115" s="132">
        <v>2.053E-2</v>
      </c>
      <c r="AX115" s="132">
        <v>2.7373000000000001E-2</v>
      </c>
      <c r="AY115" s="132">
        <v>4.2518E-2</v>
      </c>
      <c r="AZ115" s="132">
        <v>3.8043E-2</v>
      </c>
      <c r="BA115" s="132"/>
      <c r="BB115" s="132"/>
      <c r="BC115" s="132">
        <v>0.114324</v>
      </c>
      <c r="BD115" s="132">
        <v>0.11</v>
      </c>
      <c r="BE115" s="132">
        <v>0.17732800000000001</v>
      </c>
      <c r="BF115" s="132">
        <v>0.186254</v>
      </c>
      <c r="BG115" s="132">
        <v>0.221244</v>
      </c>
      <c r="BH115" s="132">
        <v>0.23616300000000001</v>
      </c>
      <c r="BI115" s="132"/>
      <c r="BJ115" s="132"/>
      <c r="BK115" s="132">
        <v>0.80675699999999995</v>
      </c>
      <c r="BL115" s="132">
        <v>0.82837799999999995</v>
      </c>
      <c r="BM115" s="132">
        <v>0.68015499999999995</v>
      </c>
      <c r="BN115" s="132">
        <v>0.65635200000000005</v>
      </c>
      <c r="BO115" s="132">
        <v>0.72848000000000002</v>
      </c>
      <c r="BP115" s="132">
        <v>0.76428499999999999</v>
      </c>
    </row>
    <row r="116" spans="1:68">
      <c r="A116" s="11">
        <v>0.48</v>
      </c>
      <c r="B116" s="7">
        <v>8.9189999999999998E-3</v>
      </c>
      <c r="C116" s="7">
        <v>1.1351E-2</v>
      </c>
      <c r="D116" s="7">
        <v>8.3309999999999999E-3</v>
      </c>
      <c r="E116" s="120" t="s">
        <v>809</v>
      </c>
      <c r="F116" s="7">
        <v>1.2681E-2</v>
      </c>
      <c r="G116" s="7">
        <v>1.2681E-2</v>
      </c>
      <c r="H116" s="7">
        <v>1.5013510000000001</v>
      </c>
      <c r="I116" s="7">
        <v>1.4040539999999999</v>
      </c>
      <c r="J116" s="7">
        <v>1.667956</v>
      </c>
      <c r="K116" s="7">
        <v>1.757215</v>
      </c>
      <c r="L116" s="7">
        <v>1.8831869999999999</v>
      </c>
      <c r="M116" s="7">
        <v>1.8652839999999999</v>
      </c>
      <c r="N116" s="7">
        <v>3.6094590000000002</v>
      </c>
      <c r="O116" s="7">
        <v>3.844595</v>
      </c>
      <c r="P116" s="7">
        <v>3.7744719999999998</v>
      </c>
      <c r="Q116" s="7">
        <v>3.8607559999999999</v>
      </c>
      <c r="R116" s="7">
        <v>4.3716249999999999</v>
      </c>
      <c r="S116" s="7">
        <v>4.4283159999999997</v>
      </c>
      <c r="T116" s="132">
        <v>0.1</v>
      </c>
      <c r="U116" s="132"/>
      <c r="V116" s="132"/>
      <c r="W116" s="212" t="s">
        <v>810</v>
      </c>
      <c r="X116" s="212" t="s">
        <v>811</v>
      </c>
      <c r="Y116" s="212" t="s">
        <v>812</v>
      </c>
      <c r="Z116" s="212" t="s">
        <v>813</v>
      </c>
      <c r="AA116" s="132">
        <v>5.2220000000000001E-3</v>
      </c>
      <c r="AB116" s="132">
        <v>4.9230000000000003E-3</v>
      </c>
      <c r="AC116" s="132"/>
      <c r="AD116" s="132"/>
      <c r="AE116" s="132">
        <v>5.4050000000000001E-3</v>
      </c>
      <c r="AF116" s="132">
        <v>1.0809999999999999E-3</v>
      </c>
      <c r="AG116" s="132" t="s">
        <v>814</v>
      </c>
      <c r="AH116" s="132" t="s">
        <v>803</v>
      </c>
      <c r="AI116" s="132">
        <v>1.1786E-2</v>
      </c>
      <c r="AJ116" s="132">
        <v>1.2978999999999999E-2</v>
      </c>
      <c r="AK116" s="132"/>
      <c r="AL116" s="132"/>
      <c r="AM116" s="132">
        <v>1.1351E-2</v>
      </c>
      <c r="AN116" s="132">
        <v>1.622E-3</v>
      </c>
      <c r="AO116" s="132">
        <v>2.9750000000000002E-3</v>
      </c>
      <c r="AP116" s="132">
        <v>2.3800000000000002E-3</v>
      </c>
      <c r="AQ116" s="132">
        <v>1.5963000000000001E-2</v>
      </c>
      <c r="AR116" s="132">
        <v>1.2978999999999999E-2</v>
      </c>
      <c r="AS116" s="132"/>
      <c r="AT116" s="132"/>
      <c r="AU116" s="132">
        <v>1.351E-3</v>
      </c>
      <c r="AV116" s="132">
        <v>1.4324E-2</v>
      </c>
      <c r="AW116" s="132">
        <v>1.5472E-2</v>
      </c>
      <c r="AX116" s="132">
        <v>1.6364E-2</v>
      </c>
      <c r="AY116" s="132">
        <v>3.6252E-2</v>
      </c>
      <c r="AZ116" s="132">
        <v>3.6551E-2</v>
      </c>
      <c r="BA116" s="132"/>
      <c r="BB116" s="132"/>
      <c r="BC116" s="132">
        <v>0.11594599999999999</v>
      </c>
      <c r="BD116" s="132">
        <v>0.111622</v>
      </c>
      <c r="BE116" s="132">
        <v>0.168402</v>
      </c>
      <c r="BF116" s="132">
        <v>0.153526</v>
      </c>
      <c r="BG116" s="132">
        <v>0.227212</v>
      </c>
      <c r="BH116" s="132">
        <v>0.227212</v>
      </c>
      <c r="BI116" s="132"/>
      <c r="BJ116" s="132"/>
      <c r="BK116" s="132">
        <v>0.89594600000000002</v>
      </c>
      <c r="BL116" s="132">
        <v>0.86621599999999999</v>
      </c>
      <c r="BM116" s="132">
        <v>0.71288300000000004</v>
      </c>
      <c r="BN116" s="132">
        <v>0.706932</v>
      </c>
      <c r="BO116" s="132">
        <v>0.70460999999999996</v>
      </c>
      <c r="BP116" s="132">
        <v>0.74041500000000005</v>
      </c>
    </row>
    <row r="117" spans="1:68">
      <c r="A117" s="11">
        <v>1.58</v>
      </c>
      <c r="B117" s="7">
        <v>1.7297E-2</v>
      </c>
      <c r="C117" s="7">
        <v>1.8377999999999999E-2</v>
      </c>
      <c r="D117" s="7">
        <v>2.053E-2</v>
      </c>
      <c r="E117" s="7">
        <v>2.7373000000000001E-2</v>
      </c>
      <c r="F117" s="7">
        <v>4.2518E-2</v>
      </c>
      <c r="G117" s="7">
        <v>3.8043E-2</v>
      </c>
      <c r="H117" s="7">
        <v>6.2986490000000002</v>
      </c>
      <c r="I117" s="7">
        <v>5.7905410000000002</v>
      </c>
      <c r="J117" s="7">
        <v>6.6069620000000002</v>
      </c>
      <c r="K117" s="7">
        <v>6.8568879999999996</v>
      </c>
      <c r="L117" s="7">
        <v>7.3493959999999996</v>
      </c>
      <c r="M117" s="7">
        <v>7.1912580000000004</v>
      </c>
      <c r="N117" s="7">
        <v>11.022970000000001</v>
      </c>
      <c r="O117" s="7">
        <v>10.990539999999999</v>
      </c>
      <c r="P117" s="7">
        <v>10.21898</v>
      </c>
      <c r="Q117" s="7">
        <v>10.21898</v>
      </c>
      <c r="R117" s="7">
        <v>10.74489</v>
      </c>
      <c r="S117" s="7">
        <v>11.046250000000001</v>
      </c>
      <c r="T117" s="132">
        <v>1</v>
      </c>
      <c r="U117" s="132"/>
      <c r="V117" s="132"/>
      <c r="W117" s="212" t="s">
        <v>810</v>
      </c>
      <c r="X117" s="212" t="s">
        <v>815</v>
      </c>
      <c r="Y117" s="212" t="s">
        <v>816</v>
      </c>
      <c r="Z117" s="212" t="s">
        <v>817</v>
      </c>
      <c r="AA117" s="132">
        <v>1.2383E-2</v>
      </c>
      <c r="AB117" s="132">
        <v>7.012E-3</v>
      </c>
      <c r="AC117" s="132"/>
      <c r="AD117" s="132"/>
      <c r="AE117" s="132">
        <v>6.2160000000000002E-3</v>
      </c>
      <c r="AF117" s="132">
        <v>5.6759999999999996E-3</v>
      </c>
      <c r="AG117" s="132" t="s">
        <v>818</v>
      </c>
      <c r="AH117" s="132" t="s">
        <v>819</v>
      </c>
      <c r="AI117" s="132">
        <v>1.2383E-2</v>
      </c>
      <c r="AJ117" s="132">
        <v>1.5365999999999999E-2</v>
      </c>
      <c r="AK117" s="132"/>
      <c r="AL117" s="132"/>
      <c r="AM117" s="132">
        <v>2.9729999999999999E-3</v>
      </c>
      <c r="AN117" s="132">
        <v>4.5950000000000001E-3</v>
      </c>
      <c r="AO117" s="132">
        <v>9.5209999999999999E-3</v>
      </c>
      <c r="AP117" s="132">
        <v>2.3800000000000002E-3</v>
      </c>
      <c r="AQ117" s="132">
        <v>2.0438999999999999E-2</v>
      </c>
      <c r="AR117" s="132">
        <v>2.1035000000000002E-2</v>
      </c>
      <c r="AS117" s="132"/>
      <c r="AT117" s="132"/>
      <c r="AU117" s="132">
        <v>3.3514000000000002E-2</v>
      </c>
      <c r="AV117" s="132">
        <v>3.2973000000000002E-2</v>
      </c>
      <c r="AW117" s="132">
        <v>4.0167000000000001E-2</v>
      </c>
      <c r="AX117" s="132">
        <v>4.8794999999999998E-2</v>
      </c>
      <c r="AY117" s="132">
        <v>6.7879999999999996E-2</v>
      </c>
      <c r="AZ117" s="132">
        <v>6.7879999999999996E-2</v>
      </c>
      <c r="BA117" s="132"/>
      <c r="BB117" s="132"/>
      <c r="BC117" s="132">
        <v>0.23108100000000001</v>
      </c>
      <c r="BD117" s="132">
        <v>0.23108100000000001</v>
      </c>
      <c r="BE117" s="132">
        <v>0.37667400000000001</v>
      </c>
      <c r="BF117" s="132">
        <v>0.39452500000000001</v>
      </c>
      <c r="BG117" s="132">
        <v>0.48082900000000001</v>
      </c>
      <c r="BH117" s="132">
        <v>0.43905699999999998</v>
      </c>
      <c r="BI117" s="132"/>
      <c r="BJ117" s="132"/>
      <c r="BK117" s="132">
        <v>1.236486</v>
      </c>
      <c r="BL117" s="132">
        <v>1.65</v>
      </c>
      <c r="BM117" s="132">
        <v>1.3525739999999999</v>
      </c>
      <c r="BN117" s="132">
        <v>1.3674500000000001</v>
      </c>
      <c r="BO117" s="132">
        <v>1.2745040000000001</v>
      </c>
      <c r="BP117" s="132">
        <v>1.2924059999999999</v>
      </c>
    </row>
    <row r="118" spans="1:68">
      <c r="A118" s="11">
        <v>4.3499999999999996</v>
      </c>
      <c r="B118" s="7">
        <v>0.114324</v>
      </c>
      <c r="C118" s="7">
        <v>0.11</v>
      </c>
      <c r="D118" s="7">
        <v>0.17732800000000001</v>
      </c>
      <c r="E118" s="7">
        <v>0.186254</v>
      </c>
      <c r="F118" s="7">
        <v>0.221244</v>
      </c>
      <c r="G118" s="7">
        <v>0.23616300000000001</v>
      </c>
      <c r="H118" s="7">
        <v>12.70135</v>
      </c>
      <c r="I118" s="7">
        <v>12.20135</v>
      </c>
      <c r="J118" s="7">
        <v>14.559950000000001</v>
      </c>
      <c r="K118" s="7">
        <v>13.441240000000001</v>
      </c>
      <c r="L118" s="7">
        <v>12.923019999999999</v>
      </c>
      <c r="M118" s="7">
        <v>12.96181</v>
      </c>
      <c r="N118" s="7">
        <v>16.69595</v>
      </c>
      <c r="O118" s="7">
        <v>16.747299999999999</v>
      </c>
      <c r="P118" s="7">
        <v>17.187149999999999</v>
      </c>
      <c r="Q118" s="7">
        <v>17.02946</v>
      </c>
      <c r="R118" s="7">
        <v>17.565719999999999</v>
      </c>
      <c r="S118" s="7">
        <v>16.023119999999999</v>
      </c>
      <c r="T118" s="132">
        <v>10</v>
      </c>
      <c r="U118" s="132"/>
      <c r="V118" s="132"/>
      <c r="W118" s="212" t="s">
        <v>810</v>
      </c>
      <c r="X118" s="212" t="s">
        <v>820</v>
      </c>
      <c r="Y118" s="212" t="s">
        <v>816</v>
      </c>
      <c r="Z118" s="212" t="s">
        <v>804</v>
      </c>
      <c r="AA118" s="132">
        <v>1.1786E-2</v>
      </c>
      <c r="AB118" s="132">
        <v>6.7130000000000002E-3</v>
      </c>
      <c r="AC118" s="132"/>
      <c r="AD118" s="132"/>
      <c r="AE118" s="132">
        <v>1.2973E-2</v>
      </c>
      <c r="AF118" s="132">
        <v>9.7300000000000008E-3</v>
      </c>
      <c r="AG118" s="132">
        <v>1.4281E-2</v>
      </c>
      <c r="AH118" s="132">
        <v>1.4281E-2</v>
      </c>
      <c r="AI118" s="132">
        <v>3.5357E-2</v>
      </c>
      <c r="AJ118" s="132">
        <v>3.1179999999999999E-2</v>
      </c>
      <c r="AK118" s="132"/>
      <c r="AL118" s="132"/>
      <c r="AM118" s="132">
        <v>6.1892000000000003E-2</v>
      </c>
      <c r="AN118" s="132">
        <v>6.0810999999999997E-2</v>
      </c>
      <c r="AO118" s="132">
        <v>0.115144</v>
      </c>
      <c r="AP118" s="132">
        <v>0.13269900000000001</v>
      </c>
      <c r="AQ118" s="132">
        <v>0.12069199999999999</v>
      </c>
      <c r="AR118" s="132">
        <v>0.14307</v>
      </c>
      <c r="AS118" s="132"/>
      <c r="AT118" s="132"/>
      <c r="AU118" s="132">
        <v>0.58243199999999995</v>
      </c>
      <c r="AV118" s="132">
        <v>0.59054099999999998</v>
      </c>
      <c r="AW118" s="132">
        <v>1.1859569999999999</v>
      </c>
      <c r="AX118" s="132">
        <v>1.1681049999999999</v>
      </c>
      <c r="AY118" s="132">
        <v>1.510219</v>
      </c>
      <c r="AZ118" s="132">
        <v>1.4087719999999999</v>
      </c>
      <c r="BA118" s="132"/>
      <c r="BB118" s="132"/>
      <c r="BC118" s="132">
        <v>3.97973</v>
      </c>
      <c r="BD118" s="132">
        <v>3.868919</v>
      </c>
      <c r="BE118" s="132">
        <v>4.6164829999999997</v>
      </c>
      <c r="BF118" s="132">
        <v>4.2802740000000004</v>
      </c>
      <c r="BG118" s="132">
        <v>5.8247049999999998</v>
      </c>
      <c r="BH118" s="132">
        <v>4.4551689999999997</v>
      </c>
      <c r="BI118" s="132"/>
      <c r="BJ118" s="132"/>
      <c r="BK118" s="132">
        <v>7.8256759999999996</v>
      </c>
      <c r="BL118" s="132">
        <v>9.5067570000000003</v>
      </c>
      <c r="BM118" s="132">
        <v>7.502529</v>
      </c>
      <c r="BN118" s="132">
        <v>7.785183</v>
      </c>
      <c r="BO118" s="132">
        <v>7.4180219999999997</v>
      </c>
      <c r="BP118" s="132">
        <v>7.8178429999999999</v>
      </c>
    </row>
    <row r="119" spans="1:68">
      <c r="A119" s="11">
        <v>7.78</v>
      </c>
      <c r="B119" s="7">
        <v>0.80675699999999995</v>
      </c>
      <c r="C119" s="7">
        <v>0.82837799999999995</v>
      </c>
      <c r="D119" s="7">
        <v>0.68015499999999995</v>
      </c>
      <c r="E119" s="7">
        <v>0.65635200000000005</v>
      </c>
      <c r="F119" s="7">
        <v>0.72848000000000002</v>
      </c>
      <c r="G119" s="7">
        <v>0.76428499999999999</v>
      </c>
      <c r="H119" s="7">
        <v>17.971620000000001</v>
      </c>
      <c r="I119" s="7">
        <v>18.931080000000001</v>
      </c>
      <c r="J119" s="7">
        <v>16.41357</v>
      </c>
      <c r="K119" s="7">
        <v>15.821479999999999</v>
      </c>
      <c r="L119" s="7">
        <v>15.778460000000001</v>
      </c>
      <c r="M119" s="7">
        <v>16.220050000000001</v>
      </c>
      <c r="N119" s="7">
        <v>21.077030000000001</v>
      </c>
      <c r="O119" s="7">
        <v>19.944590000000002</v>
      </c>
      <c r="P119" s="7">
        <v>19.853020000000001</v>
      </c>
      <c r="Q119" s="7">
        <v>17.7227</v>
      </c>
      <c r="R119" s="7">
        <v>19.317170000000001</v>
      </c>
      <c r="S119" s="7">
        <v>18.508579999999998</v>
      </c>
      <c r="T119" s="132">
        <v>50</v>
      </c>
      <c r="U119" s="132"/>
      <c r="V119" s="132"/>
      <c r="W119" s="212" t="s">
        <v>820</v>
      </c>
      <c r="X119" s="212" t="s">
        <v>821</v>
      </c>
      <c r="Y119" s="212" t="s">
        <v>804</v>
      </c>
      <c r="Z119" s="212" t="s">
        <v>804</v>
      </c>
      <c r="AA119" s="132">
        <v>9.1000000000000004E-3</v>
      </c>
      <c r="AB119" s="132">
        <v>3.7299999999999998E-3</v>
      </c>
      <c r="AC119" s="132"/>
      <c r="AD119" s="132"/>
      <c r="AE119" s="132">
        <v>8.0541000000000001E-2</v>
      </c>
      <c r="AF119" s="132">
        <v>8.8108000000000006E-2</v>
      </c>
      <c r="AG119" s="132">
        <v>9.3127000000000001E-2</v>
      </c>
      <c r="AH119" s="132">
        <v>8.5689000000000001E-2</v>
      </c>
      <c r="AI119" s="132">
        <v>0.114426</v>
      </c>
      <c r="AJ119" s="132">
        <v>0.11562</v>
      </c>
      <c r="AK119" s="132"/>
      <c r="AL119" s="132"/>
      <c r="AM119" s="132">
        <v>0.58783799999999997</v>
      </c>
      <c r="AN119" s="132">
        <v>0.68243200000000004</v>
      </c>
      <c r="AO119" s="132">
        <v>0.97173500000000002</v>
      </c>
      <c r="AP119" s="132">
        <v>1.105623</v>
      </c>
      <c r="AQ119" s="132">
        <v>1.011935</v>
      </c>
      <c r="AR119" s="132">
        <v>1.0298369999999999</v>
      </c>
      <c r="AS119" s="132"/>
      <c r="AT119" s="132"/>
      <c r="AU119" s="132">
        <v>3.598649</v>
      </c>
      <c r="AV119" s="132">
        <v>3.7121620000000002</v>
      </c>
      <c r="AW119" s="132">
        <v>5.446593</v>
      </c>
      <c r="AX119" s="132">
        <v>5.1490629999999999</v>
      </c>
      <c r="AY119" s="132">
        <v>5.5770549999999997</v>
      </c>
      <c r="AZ119" s="132">
        <v>5.9530060000000002</v>
      </c>
      <c r="BA119" s="132"/>
      <c r="BB119" s="132"/>
      <c r="BC119" s="132">
        <v>9.274324</v>
      </c>
      <c r="BD119" s="132">
        <v>9.3905410000000007</v>
      </c>
      <c r="BE119" s="132">
        <v>10.00179</v>
      </c>
      <c r="BF119" s="132">
        <v>10.09402</v>
      </c>
      <c r="BG119" s="132">
        <v>11.42817</v>
      </c>
      <c r="BH119" s="132">
        <v>9.8855740000000001</v>
      </c>
      <c r="BI119" s="132"/>
      <c r="BJ119" s="132"/>
      <c r="BK119" s="132">
        <v>16.390540000000001</v>
      </c>
      <c r="BL119" s="132">
        <v>17.374320000000001</v>
      </c>
      <c r="BM119" s="132">
        <v>13.52455</v>
      </c>
      <c r="BN119" s="132">
        <v>13.5662</v>
      </c>
      <c r="BO119" s="132">
        <v>13.743550000000001</v>
      </c>
      <c r="BP119" s="132">
        <v>13.284050000000001</v>
      </c>
    </row>
    <row r="120" spans="1:68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32">
        <v>100</v>
      </c>
      <c r="U120" s="132"/>
      <c r="V120" s="132"/>
      <c r="W120" s="212" t="s">
        <v>822</v>
      </c>
      <c r="X120" s="212" t="s">
        <v>823</v>
      </c>
      <c r="Y120" s="212" t="s">
        <v>824</v>
      </c>
      <c r="Z120" s="212" t="s">
        <v>808</v>
      </c>
      <c r="AA120" s="132">
        <v>8.2050000000000005E-3</v>
      </c>
      <c r="AB120" s="132">
        <v>4.9230000000000003E-3</v>
      </c>
      <c r="AC120" s="132"/>
      <c r="AD120" s="132"/>
      <c r="AE120" s="132">
        <v>0.16891900000000001</v>
      </c>
      <c r="AF120" s="132">
        <v>0.166216</v>
      </c>
      <c r="AG120" s="132">
        <v>0.19517999999999999</v>
      </c>
      <c r="AH120" s="132">
        <v>0.20410600000000001</v>
      </c>
      <c r="AI120" s="132">
        <v>0.23019500000000001</v>
      </c>
      <c r="AJ120" s="132">
        <v>0.25406499999999999</v>
      </c>
      <c r="AK120" s="132"/>
      <c r="AL120" s="132"/>
      <c r="AM120" s="132">
        <v>1.5013510000000001</v>
      </c>
      <c r="AN120" s="132">
        <v>1.4040539999999999</v>
      </c>
      <c r="AO120" s="132">
        <v>1.667956</v>
      </c>
      <c r="AP120" s="132">
        <v>1.757215</v>
      </c>
      <c r="AQ120" s="132">
        <v>1.8831869999999999</v>
      </c>
      <c r="AR120" s="132">
        <v>1.8652839999999999</v>
      </c>
      <c r="AS120" s="132"/>
      <c r="AT120" s="132"/>
      <c r="AU120" s="132">
        <v>6.2986490000000002</v>
      </c>
      <c r="AV120" s="132">
        <v>5.7905410000000002</v>
      </c>
      <c r="AW120" s="132">
        <v>6.6069620000000002</v>
      </c>
      <c r="AX120" s="132">
        <v>6.8568879999999996</v>
      </c>
      <c r="AY120" s="132">
        <v>7.3493959999999996</v>
      </c>
      <c r="AZ120" s="132">
        <v>7.1912580000000004</v>
      </c>
      <c r="BA120" s="132"/>
      <c r="BB120" s="132"/>
      <c r="BC120" s="132">
        <v>12.70135</v>
      </c>
      <c r="BD120" s="132">
        <v>12.20135</v>
      </c>
      <c r="BE120" s="132">
        <v>14.559950000000001</v>
      </c>
      <c r="BF120" s="132">
        <v>13.441240000000001</v>
      </c>
      <c r="BG120" s="132">
        <v>12.923019999999999</v>
      </c>
      <c r="BH120" s="132">
        <v>12.96181</v>
      </c>
      <c r="BI120" s="132"/>
      <c r="BJ120" s="132"/>
      <c r="BK120" s="132">
        <v>17.971620000000001</v>
      </c>
      <c r="BL120" s="132">
        <v>18.931080000000001</v>
      </c>
      <c r="BM120" s="132">
        <v>16.41357</v>
      </c>
      <c r="BN120" s="132">
        <v>15.821479999999999</v>
      </c>
      <c r="BO120" s="132">
        <v>15.778460000000001</v>
      </c>
      <c r="BP120" s="132">
        <v>16.220050000000001</v>
      </c>
    </row>
    <row r="121" spans="1:68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32">
        <v>500</v>
      </c>
      <c r="U121" s="132"/>
      <c r="V121" s="132"/>
      <c r="W121" s="212" t="s">
        <v>826</v>
      </c>
      <c r="X121" s="212" t="s">
        <v>827</v>
      </c>
      <c r="Y121" s="212" t="s">
        <v>828</v>
      </c>
      <c r="Z121" s="212" t="s">
        <v>808</v>
      </c>
      <c r="AA121" s="132">
        <v>7.9070000000000008E-3</v>
      </c>
      <c r="AB121" s="132">
        <v>4.6249999999999998E-3</v>
      </c>
      <c r="AC121" s="132"/>
      <c r="AD121" s="132"/>
      <c r="AE121" s="132">
        <v>0.54729700000000003</v>
      </c>
      <c r="AF121" s="132">
        <v>0.60135099999999997</v>
      </c>
      <c r="AG121" s="132">
        <v>0.51948799999999995</v>
      </c>
      <c r="AH121" s="132">
        <v>0.59684599999999999</v>
      </c>
      <c r="AI121" s="132">
        <v>0.71654499999999999</v>
      </c>
      <c r="AJ121" s="132">
        <v>0.74041500000000005</v>
      </c>
      <c r="AK121" s="132"/>
      <c r="AL121" s="132"/>
      <c r="AM121" s="132">
        <v>3.1121620000000001</v>
      </c>
      <c r="AN121" s="132">
        <v>3.2932429999999999</v>
      </c>
      <c r="AO121" s="132">
        <v>3.2746209999999998</v>
      </c>
      <c r="AP121" s="132">
        <v>3.512645</v>
      </c>
      <c r="AQ121" s="132">
        <v>3.8435030000000001</v>
      </c>
      <c r="AR121" s="132">
        <v>3.7718929999999999</v>
      </c>
      <c r="AS121" s="132"/>
      <c r="AT121" s="132"/>
      <c r="AU121" s="132">
        <v>9.6851350000000007</v>
      </c>
      <c r="AV121" s="132">
        <v>9.7445950000000003</v>
      </c>
      <c r="AW121" s="132">
        <v>9.1181199999999993</v>
      </c>
      <c r="AX121" s="132">
        <v>9.2311809999999994</v>
      </c>
      <c r="AY121" s="132">
        <v>10.16605</v>
      </c>
      <c r="AZ121" s="132">
        <v>10.35402</v>
      </c>
      <c r="BA121" s="132"/>
      <c r="BB121" s="132"/>
      <c r="BC121" s="132">
        <v>16.593240000000002</v>
      </c>
      <c r="BD121" s="132">
        <v>16.9527</v>
      </c>
      <c r="BE121" s="132">
        <v>16.41357</v>
      </c>
      <c r="BF121" s="132">
        <v>16.925319999999999</v>
      </c>
      <c r="BG121" s="132">
        <v>16.369240000000001</v>
      </c>
      <c r="BH121" s="132">
        <v>16.3215</v>
      </c>
      <c r="BI121" s="132"/>
      <c r="BJ121" s="132"/>
      <c r="BK121" s="132">
        <v>20.755410000000001</v>
      </c>
      <c r="BL121" s="132">
        <v>21.46622</v>
      </c>
      <c r="BM121" s="132">
        <v>19.490030000000001</v>
      </c>
      <c r="BN121" s="132">
        <v>18.615290000000002</v>
      </c>
      <c r="BO121" s="132">
        <v>19.317170000000001</v>
      </c>
      <c r="BP121" s="132">
        <v>18.621960000000001</v>
      </c>
    </row>
    <row r="122" spans="1:68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32">
        <v>1000</v>
      </c>
      <c r="U122" s="132"/>
      <c r="V122" s="132"/>
      <c r="W122" s="212" t="s">
        <v>829</v>
      </c>
      <c r="X122" s="212" t="s">
        <v>830</v>
      </c>
      <c r="Y122" s="212" t="s">
        <v>803</v>
      </c>
      <c r="Z122" s="212" t="s">
        <v>824</v>
      </c>
      <c r="AA122" s="132">
        <v>7.012E-3</v>
      </c>
      <c r="AB122" s="132">
        <v>7.6090000000000003E-3</v>
      </c>
      <c r="AC122" s="132"/>
      <c r="AD122" s="132"/>
      <c r="AE122" s="132">
        <v>0.74459500000000001</v>
      </c>
      <c r="AF122" s="132">
        <v>0.77432400000000001</v>
      </c>
      <c r="AG122" s="132">
        <v>0.629575</v>
      </c>
      <c r="AH122" s="132">
        <v>0.63254999999999995</v>
      </c>
      <c r="AI122" s="132">
        <v>0.90750399999999998</v>
      </c>
      <c r="AJ122" s="132">
        <v>0.93435800000000002</v>
      </c>
      <c r="AK122" s="132"/>
      <c r="AL122" s="132"/>
      <c r="AM122" s="132">
        <v>3.6094590000000002</v>
      </c>
      <c r="AN122" s="132">
        <v>3.844595</v>
      </c>
      <c r="AO122" s="132">
        <v>3.7744719999999998</v>
      </c>
      <c r="AP122" s="132">
        <v>3.8607559999999999</v>
      </c>
      <c r="AQ122" s="132">
        <v>4.3716249999999999</v>
      </c>
      <c r="AR122" s="132">
        <v>4.4283159999999997</v>
      </c>
      <c r="AS122" s="132"/>
      <c r="AT122" s="132"/>
      <c r="AU122" s="132">
        <v>11.022970000000001</v>
      </c>
      <c r="AV122" s="132">
        <v>10.990539999999999</v>
      </c>
      <c r="AW122" s="132">
        <v>10.21898</v>
      </c>
      <c r="AX122" s="132">
        <v>10.21898</v>
      </c>
      <c r="AY122" s="132">
        <v>10.74489</v>
      </c>
      <c r="AZ122" s="132">
        <v>11.046250000000001</v>
      </c>
      <c r="BA122" s="132"/>
      <c r="BB122" s="132"/>
      <c r="BC122" s="132">
        <v>16.69595</v>
      </c>
      <c r="BD122" s="132">
        <v>16.747299999999999</v>
      </c>
      <c r="BE122" s="132">
        <v>17.187149999999999</v>
      </c>
      <c r="BF122" s="132">
        <v>17.02946</v>
      </c>
      <c r="BG122" s="132">
        <v>17.565719999999999</v>
      </c>
      <c r="BH122" s="132">
        <v>16.023119999999999</v>
      </c>
      <c r="BI122" s="132"/>
      <c r="BJ122" s="132"/>
      <c r="BK122" s="132">
        <v>21.077030000000001</v>
      </c>
      <c r="BL122" s="132">
        <v>19.944590000000002</v>
      </c>
      <c r="BM122" s="132">
        <v>19.853020000000001</v>
      </c>
      <c r="BN122" s="132">
        <v>17.7227</v>
      </c>
      <c r="BO122" s="132">
        <v>19.317170000000001</v>
      </c>
      <c r="BP122" s="132">
        <v>18.508579999999998</v>
      </c>
    </row>
    <row r="123" spans="1:68" ht="16.5">
      <c r="A123" s="112" t="s">
        <v>1709</v>
      </c>
      <c r="B123" s="244" t="s">
        <v>2102</v>
      </c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63" t="s">
        <v>1960</v>
      </c>
      <c r="U123" s="263" t="s">
        <v>1960</v>
      </c>
      <c r="V123" s="263" t="s">
        <v>1960</v>
      </c>
      <c r="W123" s="263" t="s">
        <v>1960</v>
      </c>
      <c r="X123" s="263" t="s">
        <v>1960</v>
      </c>
      <c r="Y123" s="263" t="s">
        <v>1960</v>
      </c>
      <c r="Z123" s="263" t="s">
        <v>1960</v>
      </c>
      <c r="AA123" s="263" t="s">
        <v>1960</v>
      </c>
      <c r="AB123" s="263" t="s">
        <v>1960</v>
      </c>
      <c r="AC123" s="263" t="s">
        <v>1960</v>
      </c>
      <c r="AD123" s="263" t="s">
        <v>1960</v>
      </c>
      <c r="AE123" s="263" t="s">
        <v>1960</v>
      </c>
      <c r="AF123" s="263" t="s">
        <v>1960</v>
      </c>
      <c r="AG123" s="263" t="s">
        <v>1960</v>
      </c>
      <c r="AH123" s="263" t="s">
        <v>1960</v>
      </c>
      <c r="AI123" s="263" t="s">
        <v>1960</v>
      </c>
      <c r="AJ123" s="263" t="s">
        <v>1960</v>
      </c>
      <c r="AK123" s="263" t="s">
        <v>1960</v>
      </c>
      <c r="AL123" s="263" t="s">
        <v>1960</v>
      </c>
      <c r="AM123" s="263" t="s">
        <v>1960</v>
      </c>
      <c r="AN123" s="263" t="s">
        <v>1960</v>
      </c>
      <c r="AO123" s="263" t="s">
        <v>1960</v>
      </c>
      <c r="AP123" s="263" t="s">
        <v>1960</v>
      </c>
      <c r="AQ123" s="263" t="s">
        <v>1960</v>
      </c>
      <c r="AR123" s="263" t="s">
        <v>1960</v>
      </c>
      <c r="AS123" s="263" t="s">
        <v>1960</v>
      </c>
      <c r="AT123" s="263" t="s">
        <v>1960</v>
      </c>
      <c r="AU123" s="263" t="s">
        <v>1960</v>
      </c>
      <c r="AV123" s="263" t="s">
        <v>1960</v>
      </c>
      <c r="AW123" s="263" t="s">
        <v>1960</v>
      </c>
      <c r="AX123" s="263" t="s">
        <v>1960</v>
      </c>
      <c r="AY123" s="263" t="s">
        <v>1960</v>
      </c>
      <c r="AZ123" s="263" t="s">
        <v>1960</v>
      </c>
      <c r="BA123" s="263" t="s">
        <v>1960</v>
      </c>
      <c r="BB123" s="263" t="s">
        <v>1960</v>
      </c>
      <c r="BC123" s="263" t="s">
        <v>1960</v>
      </c>
      <c r="BD123" s="263" t="s">
        <v>1960</v>
      </c>
      <c r="BE123" s="263" t="s">
        <v>1960</v>
      </c>
      <c r="BF123" s="263" t="s">
        <v>1960</v>
      </c>
      <c r="BG123" s="263" t="s">
        <v>1960</v>
      </c>
      <c r="BH123" s="263" t="s">
        <v>1960</v>
      </c>
      <c r="BI123" s="263" t="s">
        <v>1960</v>
      </c>
      <c r="BJ123" s="263" t="s">
        <v>1960</v>
      </c>
      <c r="BK123" s="263" t="s">
        <v>1960</v>
      </c>
      <c r="BL123" s="263" t="s">
        <v>1960</v>
      </c>
      <c r="BM123" s="263" t="s">
        <v>1960</v>
      </c>
      <c r="BN123" s="263" t="s">
        <v>1960</v>
      </c>
      <c r="BO123" s="263" t="s">
        <v>1960</v>
      </c>
      <c r="BP123" s="263" t="s">
        <v>1960</v>
      </c>
    </row>
    <row r="124" spans="1:68">
      <c r="A124" s="6" t="s">
        <v>1698</v>
      </c>
      <c r="B124" s="133">
        <v>0</v>
      </c>
      <c r="C124" s="133"/>
      <c r="D124" s="133"/>
      <c r="E124" s="133"/>
      <c r="F124" s="133"/>
      <c r="G124" s="133"/>
      <c r="H124" s="134">
        <v>100</v>
      </c>
      <c r="I124" s="134"/>
      <c r="J124" s="134"/>
      <c r="K124" s="134"/>
      <c r="L124" s="134"/>
      <c r="M124" s="134"/>
      <c r="N124" s="135">
        <v>1000</v>
      </c>
      <c r="O124" s="135"/>
      <c r="P124" s="135"/>
      <c r="Q124" s="135"/>
      <c r="R124" s="135"/>
      <c r="S124" s="135"/>
      <c r="T124" s="138" t="s">
        <v>2088</v>
      </c>
      <c r="U124" s="264">
        <v>0</v>
      </c>
      <c r="V124" s="265"/>
      <c r="W124" s="265"/>
      <c r="X124" s="265"/>
      <c r="Y124" s="265"/>
      <c r="Z124" s="265"/>
      <c r="AA124" s="265"/>
      <c r="AB124" s="265"/>
      <c r="AC124" s="264">
        <v>0.14349024999999999</v>
      </c>
      <c r="AD124" s="265"/>
      <c r="AE124" s="265"/>
      <c r="AF124" s="265"/>
      <c r="AG124" s="265"/>
      <c r="AH124" s="265"/>
      <c r="AI124" s="265"/>
      <c r="AJ124" s="265"/>
      <c r="AK124" s="264">
        <v>0.46</v>
      </c>
      <c r="AL124" s="265"/>
      <c r="AM124" s="265"/>
      <c r="AN124" s="265"/>
      <c r="AO124" s="265"/>
      <c r="AP124" s="265"/>
      <c r="AQ124" s="265"/>
      <c r="AR124" s="265"/>
      <c r="AS124" s="264">
        <v>1.69</v>
      </c>
      <c r="AT124" s="265"/>
      <c r="AU124" s="265"/>
      <c r="AV124" s="265"/>
      <c r="AW124" s="265"/>
      <c r="AX124" s="265"/>
      <c r="AY124" s="265"/>
      <c r="AZ124" s="265"/>
      <c r="BA124" s="264">
        <v>4.3899999999999997</v>
      </c>
      <c r="BB124" s="265"/>
      <c r="BC124" s="265"/>
      <c r="BD124" s="265"/>
      <c r="BE124" s="265"/>
      <c r="BF124" s="265"/>
      <c r="BG124" s="265"/>
      <c r="BH124" s="265"/>
      <c r="BI124" s="264">
        <v>7.9</v>
      </c>
      <c r="BJ124" s="265"/>
      <c r="BK124" s="265"/>
      <c r="BL124" s="265"/>
      <c r="BM124" s="265"/>
      <c r="BN124" s="265"/>
      <c r="BO124" s="265"/>
      <c r="BP124" s="265"/>
    </row>
    <row r="125" spans="1:68" ht="16.5" customHeight="1">
      <c r="A125" s="11">
        <v>0</v>
      </c>
      <c r="B125" s="7">
        <v>8.9458999999999997E-2</v>
      </c>
      <c r="C125" s="7">
        <v>9.3514E-2</v>
      </c>
      <c r="D125" s="7">
        <v>0.147892</v>
      </c>
      <c r="E125" s="7">
        <v>0.15435499999999999</v>
      </c>
      <c r="F125" s="7">
        <v>0.12811800000000001</v>
      </c>
      <c r="G125" s="7">
        <v>0.12074799999999999</v>
      </c>
      <c r="H125" s="7">
        <v>8.9458999999999997E-2</v>
      </c>
      <c r="I125" s="7">
        <v>8.0541000000000001E-2</v>
      </c>
      <c r="J125" s="7">
        <v>0.16228500000000001</v>
      </c>
      <c r="K125" s="7">
        <v>0.15024199999999999</v>
      </c>
      <c r="L125" s="7">
        <v>0.10544199999999999</v>
      </c>
      <c r="M125" s="7">
        <v>9.4954999999999998E-2</v>
      </c>
      <c r="N125" s="7">
        <v>5.9188999999999999E-2</v>
      </c>
      <c r="O125" s="7">
        <v>6.6486000000000003E-2</v>
      </c>
      <c r="P125" s="7">
        <v>0.13408700000000001</v>
      </c>
      <c r="Q125" s="7">
        <v>0.122632</v>
      </c>
      <c r="R125" s="7">
        <v>7.6531000000000002E-2</v>
      </c>
      <c r="S125" s="7">
        <v>7.6531000000000002E-2</v>
      </c>
      <c r="T125" s="139" t="s">
        <v>1915</v>
      </c>
      <c r="U125" s="261"/>
      <c r="V125" s="261"/>
      <c r="W125" s="261" t="s">
        <v>1916</v>
      </c>
      <c r="X125" s="261" t="s">
        <v>1916</v>
      </c>
      <c r="Y125" s="261" t="s">
        <v>1918</v>
      </c>
      <c r="Z125" s="261" t="s">
        <v>1918</v>
      </c>
      <c r="AA125" s="261" t="s">
        <v>1920</v>
      </c>
      <c r="AB125" s="261" t="s">
        <v>1920</v>
      </c>
      <c r="AC125" s="261"/>
      <c r="AD125" s="261"/>
      <c r="AE125" s="261" t="s">
        <v>1977</v>
      </c>
      <c r="AF125" s="261" t="s">
        <v>1977</v>
      </c>
      <c r="AG125" s="261" t="s">
        <v>1923</v>
      </c>
      <c r="AH125" s="261" t="s">
        <v>1923</v>
      </c>
      <c r="AI125" s="261" t="s">
        <v>1925</v>
      </c>
      <c r="AJ125" s="261" t="s">
        <v>1925</v>
      </c>
      <c r="AK125" s="261"/>
      <c r="AL125" s="261"/>
      <c r="AM125" s="261" t="s">
        <v>1979</v>
      </c>
      <c r="AN125" s="261" t="s">
        <v>1979</v>
      </c>
      <c r="AO125" s="261" t="s">
        <v>1928</v>
      </c>
      <c r="AP125" s="261" t="s">
        <v>1928</v>
      </c>
      <c r="AQ125" s="261" t="s">
        <v>1930</v>
      </c>
      <c r="AR125" s="261" t="s">
        <v>1930</v>
      </c>
      <c r="AS125" s="261"/>
      <c r="AT125" s="261"/>
      <c r="AU125" s="261" t="s">
        <v>1981</v>
      </c>
      <c r="AV125" s="261" t="s">
        <v>1981</v>
      </c>
      <c r="AW125" s="261" t="s">
        <v>1933</v>
      </c>
      <c r="AX125" s="261" t="s">
        <v>1933</v>
      </c>
      <c r="AY125" s="261" t="s">
        <v>1935</v>
      </c>
      <c r="AZ125" s="261" t="s">
        <v>1935</v>
      </c>
      <c r="BA125" s="261"/>
      <c r="BB125" s="261"/>
      <c r="BC125" s="261" t="s">
        <v>1983</v>
      </c>
      <c r="BD125" s="261" t="s">
        <v>1983</v>
      </c>
      <c r="BE125" s="261" t="s">
        <v>1938</v>
      </c>
      <c r="BF125" s="261" t="s">
        <v>1938</v>
      </c>
      <c r="BG125" s="261" t="s">
        <v>1940</v>
      </c>
      <c r="BH125" s="261" t="s">
        <v>1940</v>
      </c>
      <c r="BI125" s="261"/>
      <c r="BJ125" s="261"/>
      <c r="BK125" s="261" t="s">
        <v>1985</v>
      </c>
      <c r="BL125" s="261" t="s">
        <v>1985</v>
      </c>
      <c r="BM125" s="261" t="s">
        <v>1943</v>
      </c>
      <c r="BN125" s="261" t="s">
        <v>1943</v>
      </c>
      <c r="BO125" s="261" t="s">
        <v>1945</v>
      </c>
      <c r="BP125" s="261" t="s">
        <v>1945</v>
      </c>
    </row>
    <row r="126" spans="1:68">
      <c r="A126" s="11">
        <v>0.14000000000000001</v>
      </c>
      <c r="B126" s="7">
        <v>0.112162</v>
      </c>
      <c r="C126" s="7">
        <v>0.113784</v>
      </c>
      <c r="D126" s="7">
        <v>0.15876000000000001</v>
      </c>
      <c r="E126" s="7">
        <v>0.152005</v>
      </c>
      <c r="F126" s="7">
        <v>7.3980000000000004E-2</v>
      </c>
      <c r="G126" s="7">
        <v>9.2970999999999998E-2</v>
      </c>
      <c r="H126" s="7">
        <v>0.104324</v>
      </c>
      <c r="I126" s="7">
        <v>0.114324</v>
      </c>
      <c r="J126" s="7">
        <v>0.17755899999999999</v>
      </c>
      <c r="K126" s="7">
        <v>0.14936099999999999</v>
      </c>
      <c r="L126" s="7">
        <v>9.4388E-2</v>
      </c>
      <c r="M126" s="7">
        <v>9.042E-2</v>
      </c>
      <c r="N126" s="7">
        <v>0.118108</v>
      </c>
      <c r="O126" s="7">
        <v>0.13891899999999999</v>
      </c>
      <c r="P126" s="7">
        <v>0.20105700000000001</v>
      </c>
      <c r="Q126" s="7">
        <v>0.23924200000000001</v>
      </c>
      <c r="R126" s="7">
        <v>0.11734700000000001</v>
      </c>
      <c r="S126" s="7">
        <v>0.113662</v>
      </c>
      <c r="T126" s="132">
        <v>0</v>
      </c>
      <c r="U126" s="132"/>
      <c r="V126" s="132"/>
      <c r="W126" s="132">
        <v>8.9458999999999997E-2</v>
      </c>
      <c r="X126" s="132">
        <v>9.3514E-2</v>
      </c>
      <c r="Y126" s="132">
        <v>0.147892</v>
      </c>
      <c r="Z126" s="132">
        <v>0.15435499999999999</v>
      </c>
      <c r="AA126" s="132">
        <v>0.12811800000000001</v>
      </c>
      <c r="AB126" s="132">
        <v>0.12074799999999999</v>
      </c>
      <c r="AC126" s="132"/>
      <c r="AD126" s="132"/>
      <c r="AE126" s="132">
        <v>0.112162</v>
      </c>
      <c r="AF126" s="132">
        <v>0.113784</v>
      </c>
      <c r="AG126" s="132">
        <v>0.15876000000000001</v>
      </c>
      <c r="AH126" s="132">
        <v>0.152005</v>
      </c>
      <c r="AI126" s="132">
        <v>7.3980000000000004E-2</v>
      </c>
      <c r="AJ126" s="132">
        <v>9.2970999999999998E-2</v>
      </c>
      <c r="AK126" s="132"/>
      <c r="AL126" s="132"/>
      <c r="AM126" s="132">
        <v>0.115135</v>
      </c>
      <c r="AN126" s="132">
        <v>0.10513500000000001</v>
      </c>
      <c r="AO126" s="132">
        <v>0.15523600000000001</v>
      </c>
      <c r="AP126" s="132">
        <v>0.13966799999999999</v>
      </c>
      <c r="AQ126" s="132">
        <v>9.2970999999999998E-2</v>
      </c>
      <c r="AR126" s="132">
        <v>8.9286000000000004E-2</v>
      </c>
      <c r="AS126" s="132"/>
      <c r="AT126" s="132"/>
      <c r="AU126" s="132">
        <v>0.108649</v>
      </c>
      <c r="AV126" s="132">
        <v>0.113784</v>
      </c>
      <c r="AW126" s="132">
        <v>0.15611700000000001</v>
      </c>
      <c r="AX126" s="132">
        <v>0.14848</v>
      </c>
      <c r="AY126" s="132">
        <v>1.4172000000000001E-2</v>
      </c>
      <c r="AZ126" s="132">
        <v>6.4908999999999994E-2</v>
      </c>
      <c r="BA126" s="132"/>
      <c r="BB126" s="132"/>
      <c r="BC126" s="132">
        <v>0.12945899999999999</v>
      </c>
      <c r="BD126" s="132">
        <v>0.12324300000000001</v>
      </c>
      <c r="BE126" s="132">
        <v>0.153473</v>
      </c>
      <c r="BF126" s="132">
        <v>0.15024199999999999</v>
      </c>
      <c r="BG126" s="213" t="s">
        <v>3479</v>
      </c>
      <c r="BH126" s="213" t="s">
        <v>3480</v>
      </c>
      <c r="BI126" s="132"/>
      <c r="BJ126" s="132"/>
      <c r="BK126" s="132">
        <v>0.13027</v>
      </c>
      <c r="BL126" s="132">
        <v>0.158108</v>
      </c>
      <c r="BM126" s="132">
        <v>0.17755899999999999</v>
      </c>
      <c r="BN126" s="132">
        <v>0.19811999999999999</v>
      </c>
      <c r="BO126" s="132">
        <v>0.13265299999999999</v>
      </c>
      <c r="BP126" s="132">
        <v>0.120181</v>
      </c>
    </row>
    <row r="127" spans="1:68">
      <c r="A127" s="11">
        <v>0.46</v>
      </c>
      <c r="B127" s="7">
        <v>0.115135</v>
      </c>
      <c r="C127" s="7">
        <v>0.10513500000000001</v>
      </c>
      <c r="D127" s="7">
        <v>0.15523600000000001</v>
      </c>
      <c r="E127" s="7">
        <v>0.13966799999999999</v>
      </c>
      <c r="F127" s="7">
        <v>9.2970999999999998E-2</v>
      </c>
      <c r="G127" s="7">
        <v>8.9286000000000004E-2</v>
      </c>
      <c r="H127" s="7">
        <v>0.158108</v>
      </c>
      <c r="I127" s="7">
        <v>0.171622</v>
      </c>
      <c r="J127" s="7">
        <v>0.29211300000000001</v>
      </c>
      <c r="K127" s="7">
        <v>0.23630499999999999</v>
      </c>
      <c r="L127" s="7">
        <v>0.16666700000000001</v>
      </c>
      <c r="M127" s="7">
        <v>0.14852599999999999</v>
      </c>
      <c r="N127" s="7">
        <v>0.18513499999999999</v>
      </c>
      <c r="O127" s="7">
        <v>0.27972999999999998</v>
      </c>
      <c r="P127" s="7">
        <v>0.49184899999999998</v>
      </c>
      <c r="Q127" s="7">
        <v>0.45660200000000001</v>
      </c>
      <c r="R127" s="7">
        <v>0.31689299999999998</v>
      </c>
      <c r="S127" s="7">
        <v>0.26870699999999997</v>
      </c>
      <c r="T127" s="132">
        <v>0.1</v>
      </c>
      <c r="U127" s="132"/>
      <c r="V127" s="132"/>
      <c r="W127" s="132">
        <v>9.0811000000000003E-2</v>
      </c>
      <c r="X127" s="132">
        <v>8.4864999999999996E-2</v>
      </c>
      <c r="Y127" s="132">
        <v>0.174622</v>
      </c>
      <c r="Z127" s="132">
        <v>0.114701</v>
      </c>
      <c r="AA127" s="132">
        <v>8.9853000000000002E-2</v>
      </c>
      <c r="AB127" s="132">
        <v>0.100907</v>
      </c>
      <c r="AC127" s="132"/>
      <c r="AD127" s="132"/>
      <c r="AE127" s="132">
        <v>9.3514E-2</v>
      </c>
      <c r="AF127" s="132">
        <v>7.4865000000000001E-2</v>
      </c>
      <c r="AG127" s="132">
        <v>0.147011</v>
      </c>
      <c r="AH127" s="132">
        <v>0.14613000000000001</v>
      </c>
      <c r="AI127" s="132">
        <v>7.8798000000000007E-2</v>
      </c>
      <c r="AJ127" s="132">
        <v>7.3980000000000004E-2</v>
      </c>
      <c r="AK127" s="132"/>
      <c r="AL127" s="132"/>
      <c r="AM127" s="132">
        <v>9.5405000000000004E-2</v>
      </c>
      <c r="AN127" s="132">
        <v>0.101622</v>
      </c>
      <c r="AO127" s="132">
        <v>0.134968</v>
      </c>
      <c r="AP127" s="132">
        <v>0.16140399999999999</v>
      </c>
      <c r="AQ127" s="132">
        <v>7.6531000000000002E-2</v>
      </c>
      <c r="AR127" s="132">
        <v>8.6735000000000007E-2</v>
      </c>
      <c r="AS127" s="132"/>
      <c r="AT127" s="132"/>
      <c r="AU127" s="132">
        <v>9.9459000000000006E-2</v>
      </c>
      <c r="AV127" s="132">
        <v>0.107838</v>
      </c>
      <c r="AW127" s="132">
        <v>0.17755899999999999</v>
      </c>
      <c r="AX127" s="132">
        <v>0.109708</v>
      </c>
      <c r="AY127" s="213" t="s">
        <v>3479</v>
      </c>
      <c r="AZ127" s="132">
        <v>5.2153999999999999E-2</v>
      </c>
      <c r="BA127" s="132"/>
      <c r="BB127" s="132"/>
      <c r="BC127" s="132">
        <v>0.104324</v>
      </c>
      <c r="BD127" s="132">
        <v>0.11594599999999999</v>
      </c>
      <c r="BE127" s="132">
        <v>0.13878699999999999</v>
      </c>
      <c r="BF127" s="132">
        <v>0.14143</v>
      </c>
      <c r="BG127" s="132">
        <v>4.2234000000000001E-2</v>
      </c>
      <c r="BH127" s="132">
        <v>2.8344999999999999E-2</v>
      </c>
      <c r="BI127" s="132"/>
      <c r="BJ127" s="132"/>
      <c r="BK127" s="132">
        <v>0.13891899999999999</v>
      </c>
      <c r="BL127" s="132">
        <v>0.15</v>
      </c>
      <c r="BM127" s="132">
        <v>0.174622</v>
      </c>
      <c r="BN127" s="132">
        <v>0.18637100000000001</v>
      </c>
      <c r="BO127" s="132">
        <v>9.2970999999999998E-2</v>
      </c>
      <c r="BP127" s="132">
        <v>8.8435E-2</v>
      </c>
    </row>
    <row r="128" spans="1:68">
      <c r="A128" s="11">
        <v>1.69</v>
      </c>
      <c r="B128" s="7">
        <v>0.108649</v>
      </c>
      <c r="C128" s="7">
        <v>0.113784</v>
      </c>
      <c r="D128" s="7">
        <v>0.15611700000000001</v>
      </c>
      <c r="E128" s="7">
        <v>0.14848</v>
      </c>
      <c r="F128" s="7">
        <v>1.4172000000000001E-2</v>
      </c>
      <c r="G128" s="7">
        <v>6.4908999999999994E-2</v>
      </c>
      <c r="H128" s="7">
        <v>0.52567600000000003</v>
      </c>
      <c r="I128" s="7">
        <v>0.61486499999999999</v>
      </c>
      <c r="J128" s="7">
        <v>0.94419200000000003</v>
      </c>
      <c r="K128" s="7">
        <v>1.008812</v>
      </c>
      <c r="L128" s="120" t="s">
        <v>833</v>
      </c>
      <c r="M128" s="120" t="s">
        <v>834</v>
      </c>
      <c r="N128" s="7">
        <v>1.1635139999999999</v>
      </c>
      <c r="O128" s="7">
        <v>1.1878379999999999</v>
      </c>
      <c r="P128" s="7">
        <v>1.904685</v>
      </c>
      <c r="Q128" s="7">
        <v>1.8988100000000001</v>
      </c>
      <c r="R128" s="7">
        <v>0.124433</v>
      </c>
      <c r="S128" s="7">
        <v>0.55215400000000003</v>
      </c>
      <c r="T128" s="132">
        <v>1</v>
      </c>
      <c r="U128" s="132"/>
      <c r="V128" s="132"/>
      <c r="W128" s="132">
        <v>8.4864999999999996E-2</v>
      </c>
      <c r="X128" s="132">
        <v>7.0810999999999999E-2</v>
      </c>
      <c r="Y128" s="132">
        <v>0.14936099999999999</v>
      </c>
      <c r="Z128" s="132">
        <v>0.136437</v>
      </c>
      <c r="AA128" s="132">
        <v>9.2970999999999998E-2</v>
      </c>
      <c r="AB128" s="132">
        <v>7.7098E-2</v>
      </c>
      <c r="AC128" s="132"/>
      <c r="AD128" s="132"/>
      <c r="AE128" s="132">
        <v>8.2432000000000005E-2</v>
      </c>
      <c r="AF128" s="132">
        <v>8.8108000000000006E-2</v>
      </c>
      <c r="AG128" s="132">
        <v>0.14466100000000001</v>
      </c>
      <c r="AH128" s="132">
        <v>0.152005</v>
      </c>
      <c r="AI128" s="132">
        <v>9.6088000000000007E-2</v>
      </c>
      <c r="AJ128" s="132">
        <v>8.9286000000000004E-2</v>
      </c>
      <c r="AK128" s="132"/>
      <c r="AL128" s="132"/>
      <c r="AM128" s="132">
        <v>8.4323999999999996E-2</v>
      </c>
      <c r="AN128" s="132">
        <v>9.0811000000000003E-2</v>
      </c>
      <c r="AO128" s="132">
        <v>0.16375400000000001</v>
      </c>
      <c r="AP128" s="132">
        <v>0.1241</v>
      </c>
      <c r="AQ128" s="132">
        <v>5.4704999999999997E-2</v>
      </c>
      <c r="AR128" s="132">
        <v>7.4546000000000001E-2</v>
      </c>
      <c r="AS128" s="132"/>
      <c r="AT128" s="132"/>
      <c r="AU128" s="132">
        <v>0.101622</v>
      </c>
      <c r="AV128" s="132">
        <v>0.104324</v>
      </c>
      <c r="AW128" s="132">
        <v>0.13173699999999999</v>
      </c>
      <c r="AX128" s="132">
        <v>0.13878699999999999</v>
      </c>
      <c r="AY128" s="213" t="s">
        <v>3481</v>
      </c>
      <c r="AZ128" s="132">
        <v>5.2153999999999999E-2</v>
      </c>
      <c r="BA128" s="132"/>
      <c r="BB128" s="132"/>
      <c r="BC128" s="132">
        <v>8.1081E-2</v>
      </c>
      <c r="BD128" s="132">
        <v>8.8918999999999998E-2</v>
      </c>
      <c r="BE128" s="132">
        <v>0.16992199999999999</v>
      </c>
      <c r="BF128" s="132">
        <v>0.16816</v>
      </c>
      <c r="BG128" s="132">
        <v>4.4218E-2</v>
      </c>
      <c r="BH128" s="132">
        <v>5.1587000000000001E-2</v>
      </c>
      <c r="BI128" s="132"/>
      <c r="BJ128" s="132"/>
      <c r="BK128" s="132">
        <v>0.171622</v>
      </c>
      <c r="BL128" s="132">
        <v>0.17432400000000001</v>
      </c>
      <c r="BM128" s="132">
        <v>0.22161800000000001</v>
      </c>
      <c r="BN128" s="132">
        <v>0.212807</v>
      </c>
      <c r="BO128" s="132">
        <v>0.12670100000000001</v>
      </c>
      <c r="BP128" s="132">
        <v>0.12528300000000001</v>
      </c>
    </row>
    <row r="129" spans="1:68">
      <c r="A129" s="11">
        <v>4.3899999999999997</v>
      </c>
      <c r="B129" s="7">
        <v>0.12945899999999999</v>
      </c>
      <c r="C129" s="7">
        <v>0.12324300000000001</v>
      </c>
      <c r="D129" s="7">
        <v>0.153473</v>
      </c>
      <c r="E129" s="7">
        <v>0.15024199999999999</v>
      </c>
      <c r="F129" s="120" t="s">
        <v>831</v>
      </c>
      <c r="G129" s="120" t="s">
        <v>832</v>
      </c>
      <c r="H129" s="7">
        <v>2.0608110000000002</v>
      </c>
      <c r="I129" s="7">
        <v>2.2391890000000001</v>
      </c>
      <c r="J129" s="7">
        <v>3.1089730000000002</v>
      </c>
      <c r="K129" s="7">
        <v>3.0884119999999999</v>
      </c>
      <c r="L129" s="7">
        <v>1.9608840000000001</v>
      </c>
      <c r="M129" s="7">
        <v>2.43424</v>
      </c>
      <c r="N129" s="7">
        <v>4.4689189999999996</v>
      </c>
      <c r="O129" s="7">
        <v>5.0959459999999996</v>
      </c>
      <c r="P129" s="7">
        <v>5.676164</v>
      </c>
      <c r="Q129" s="7">
        <v>5.6056689999999998</v>
      </c>
      <c r="R129" s="7">
        <v>2.0317460000000001</v>
      </c>
      <c r="S129" s="120" t="s">
        <v>835</v>
      </c>
      <c r="T129" s="132">
        <v>10</v>
      </c>
      <c r="U129" s="132"/>
      <c r="V129" s="132"/>
      <c r="W129" s="132">
        <v>9.2702999999999994E-2</v>
      </c>
      <c r="X129" s="132">
        <v>9.5405000000000004E-2</v>
      </c>
      <c r="Y129" s="132">
        <v>0.15787899999999999</v>
      </c>
      <c r="Z129" s="132">
        <v>0.14377999999999999</v>
      </c>
      <c r="AA129" s="132">
        <v>9.5521999999999996E-2</v>
      </c>
      <c r="AB129" s="132">
        <v>9.9489999999999995E-2</v>
      </c>
      <c r="AC129" s="132"/>
      <c r="AD129" s="132"/>
      <c r="AE129" s="132">
        <v>8.8108000000000006E-2</v>
      </c>
      <c r="AF129" s="132">
        <v>8.4323999999999996E-2</v>
      </c>
      <c r="AG129" s="132">
        <v>0.14377999999999999</v>
      </c>
      <c r="AH129" s="132">
        <v>0.174622</v>
      </c>
      <c r="AI129" s="132">
        <v>8.9286000000000004E-2</v>
      </c>
      <c r="AJ129" s="132">
        <v>9.4388E-2</v>
      </c>
      <c r="AK129" s="132"/>
      <c r="AL129" s="132"/>
      <c r="AM129" s="132">
        <v>0.100811</v>
      </c>
      <c r="AN129" s="132">
        <v>9.6215999999999996E-2</v>
      </c>
      <c r="AO129" s="132">
        <v>0.16816</v>
      </c>
      <c r="AP129" s="132">
        <v>0.18049599999999999</v>
      </c>
      <c r="AQ129" s="132">
        <v>8.8435E-2</v>
      </c>
      <c r="AR129" s="132">
        <v>7.7098E-2</v>
      </c>
      <c r="AS129" s="132"/>
      <c r="AT129" s="132"/>
      <c r="AU129" s="132">
        <v>0.141351</v>
      </c>
      <c r="AV129" s="132">
        <v>0.14216200000000001</v>
      </c>
      <c r="AW129" s="132">
        <v>0.280364</v>
      </c>
      <c r="AX129" s="132">
        <v>0.22455600000000001</v>
      </c>
      <c r="AY129" s="213" t="s">
        <v>3482</v>
      </c>
      <c r="AZ129" s="132">
        <v>9.3539999999999995E-3</v>
      </c>
      <c r="BA129" s="132"/>
      <c r="BB129" s="132"/>
      <c r="BC129" s="132">
        <v>6.4324000000000006E-2</v>
      </c>
      <c r="BD129" s="132">
        <v>0.15270300000000001</v>
      </c>
      <c r="BE129" s="132">
        <v>0.58290500000000001</v>
      </c>
      <c r="BF129" s="132">
        <v>0.53297099999999997</v>
      </c>
      <c r="BG129" s="132">
        <v>0.19501099999999999</v>
      </c>
      <c r="BH129" s="132">
        <v>0.17233599999999999</v>
      </c>
      <c r="BI129" s="132"/>
      <c r="BJ129" s="132"/>
      <c r="BK129" s="132">
        <v>0.87432399999999999</v>
      </c>
      <c r="BL129" s="132">
        <v>1.036486</v>
      </c>
      <c r="BM129" s="132">
        <v>1.3407260000000001</v>
      </c>
      <c r="BN129" s="132">
        <v>1.2849170000000001</v>
      </c>
      <c r="BO129" s="212" t="s">
        <v>3478</v>
      </c>
      <c r="BP129" s="132">
        <v>0.122449</v>
      </c>
    </row>
    <row r="130" spans="1:68">
      <c r="A130" s="11">
        <v>7.9</v>
      </c>
      <c r="B130" s="7">
        <v>0.13027</v>
      </c>
      <c r="C130" s="7">
        <v>0.158108</v>
      </c>
      <c r="D130" s="7">
        <v>0.17755899999999999</v>
      </c>
      <c r="E130" s="7">
        <v>0.19811999999999999</v>
      </c>
      <c r="F130" s="7">
        <v>0.13265299999999999</v>
      </c>
      <c r="G130" s="7">
        <v>0.120181</v>
      </c>
      <c r="H130" s="7">
        <v>5.7202700000000002</v>
      </c>
      <c r="I130" s="7">
        <v>5.9743240000000002</v>
      </c>
      <c r="J130" s="7">
        <v>6.3869879999999997</v>
      </c>
      <c r="K130" s="7">
        <v>6.3488030000000002</v>
      </c>
      <c r="L130" s="7">
        <v>6.2607710000000001</v>
      </c>
      <c r="M130" s="7">
        <v>5.8299320000000003</v>
      </c>
      <c r="N130" s="120" t="s">
        <v>836</v>
      </c>
      <c r="O130" s="120" t="s">
        <v>837</v>
      </c>
      <c r="P130" s="120" t="s">
        <v>838</v>
      </c>
      <c r="Q130" s="120" t="s">
        <v>839</v>
      </c>
      <c r="R130" s="120" t="s">
        <v>840</v>
      </c>
      <c r="S130" s="120" t="s">
        <v>841</v>
      </c>
      <c r="T130" s="132">
        <v>50</v>
      </c>
      <c r="U130" s="132"/>
      <c r="V130" s="132"/>
      <c r="W130" s="132">
        <v>9.6215999999999996E-2</v>
      </c>
      <c r="X130" s="132">
        <v>8.6757000000000001E-2</v>
      </c>
      <c r="Y130" s="132">
        <v>0.13819899999999999</v>
      </c>
      <c r="Z130" s="132">
        <v>0.13173699999999999</v>
      </c>
      <c r="AA130" s="132">
        <v>0.10544199999999999</v>
      </c>
      <c r="AB130" s="132">
        <v>9.9489999999999995E-2</v>
      </c>
      <c r="AC130" s="132"/>
      <c r="AD130" s="132"/>
      <c r="AE130" s="132">
        <v>0.107838</v>
      </c>
      <c r="AF130" s="132">
        <v>9.4053999999999999E-2</v>
      </c>
      <c r="AG130" s="132">
        <v>0.171685</v>
      </c>
      <c r="AH130" s="132">
        <v>0.15964200000000001</v>
      </c>
      <c r="AI130" s="132">
        <v>8.0499000000000001E-2</v>
      </c>
      <c r="AJ130" s="132">
        <v>8.4751000000000007E-2</v>
      </c>
      <c r="AK130" s="132"/>
      <c r="AL130" s="132"/>
      <c r="AM130" s="132">
        <v>0.14216200000000001</v>
      </c>
      <c r="AN130" s="132">
        <v>0.14729700000000001</v>
      </c>
      <c r="AO130" s="132">
        <v>0.26567800000000003</v>
      </c>
      <c r="AP130" s="132">
        <v>0.18637100000000001</v>
      </c>
      <c r="AQ130" s="132">
        <v>0.110261</v>
      </c>
      <c r="AR130" s="132">
        <v>0.10600900000000001</v>
      </c>
      <c r="AS130" s="132"/>
      <c r="AT130" s="132"/>
      <c r="AU130" s="132">
        <v>0.32567600000000002</v>
      </c>
      <c r="AV130" s="132">
        <v>0.34459499999999998</v>
      </c>
      <c r="AW130" s="132">
        <v>0.68864700000000001</v>
      </c>
      <c r="AX130" s="132">
        <v>0.75326800000000005</v>
      </c>
      <c r="AY130" s="213" t="s">
        <v>3483</v>
      </c>
      <c r="AZ130" s="132">
        <v>4.7619000000000002E-2</v>
      </c>
      <c r="BA130" s="132"/>
      <c r="BB130" s="132"/>
      <c r="BC130" s="132">
        <v>0.27162199999999997</v>
      </c>
      <c r="BD130" s="132">
        <v>0.32297300000000001</v>
      </c>
      <c r="BE130" s="132">
        <v>2.1191070000000001</v>
      </c>
      <c r="BF130" s="132">
        <v>2.0867969999999998</v>
      </c>
      <c r="BG130" s="132">
        <v>0.98299300000000001</v>
      </c>
      <c r="BH130" s="132">
        <v>1.102041</v>
      </c>
      <c r="BI130" s="132"/>
      <c r="BJ130" s="132"/>
      <c r="BK130" s="132">
        <v>4.0418919999999998</v>
      </c>
      <c r="BL130" s="132">
        <v>4.004054</v>
      </c>
      <c r="BM130" s="132">
        <v>4.9653400000000003</v>
      </c>
      <c r="BN130" s="132">
        <v>4.8126009999999999</v>
      </c>
      <c r="BO130" s="132">
        <v>3.7664399999999998</v>
      </c>
      <c r="BP130" s="132">
        <v>3.9846940000000002</v>
      </c>
    </row>
    <row r="131" spans="1:68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32">
        <v>100</v>
      </c>
      <c r="U131" s="132"/>
      <c r="V131" s="132"/>
      <c r="W131" s="132">
        <v>8.9458999999999997E-2</v>
      </c>
      <c r="X131" s="132">
        <v>8.0541000000000001E-2</v>
      </c>
      <c r="Y131" s="132">
        <v>0.16228500000000001</v>
      </c>
      <c r="Z131" s="132">
        <v>0.15024199999999999</v>
      </c>
      <c r="AA131" s="132">
        <v>0.10544199999999999</v>
      </c>
      <c r="AB131" s="132">
        <v>9.4954999999999998E-2</v>
      </c>
      <c r="AC131" s="132"/>
      <c r="AD131" s="132"/>
      <c r="AE131" s="132">
        <v>0.104324</v>
      </c>
      <c r="AF131" s="132">
        <v>0.114324</v>
      </c>
      <c r="AG131" s="132">
        <v>0.17755899999999999</v>
      </c>
      <c r="AH131" s="132">
        <v>0.14936099999999999</v>
      </c>
      <c r="AI131" s="132">
        <v>9.4388E-2</v>
      </c>
      <c r="AJ131" s="132">
        <v>9.042E-2</v>
      </c>
      <c r="AK131" s="132"/>
      <c r="AL131" s="132"/>
      <c r="AM131" s="132">
        <v>0.158108</v>
      </c>
      <c r="AN131" s="132">
        <v>0.171622</v>
      </c>
      <c r="AO131" s="132">
        <v>0.29211300000000001</v>
      </c>
      <c r="AP131" s="132">
        <v>0.23630499999999999</v>
      </c>
      <c r="AQ131" s="132">
        <v>0.16666700000000001</v>
      </c>
      <c r="AR131" s="132">
        <v>0.14852599999999999</v>
      </c>
      <c r="AS131" s="132"/>
      <c r="AT131" s="132"/>
      <c r="AU131" s="132">
        <v>0.52567600000000003</v>
      </c>
      <c r="AV131" s="132">
        <v>0.61486499999999999</v>
      </c>
      <c r="AW131" s="132">
        <v>0.94419200000000003</v>
      </c>
      <c r="AX131" s="132">
        <v>1.008812</v>
      </c>
      <c r="AY131" s="213" t="s">
        <v>3484</v>
      </c>
      <c r="AZ131" s="213" t="s">
        <v>3485</v>
      </c>
      <c r="BA131" s="132"/>
      <c r="BB131" s="132"/>
      <c r="BC131" s="132">
        <v>2.0608110000000002</v>
      </c>
      <c r="BD131" s="132">
        <v>2.2391890000000001</v>
      </c>
      <c r="BE131" s="132">
        <v>3.1089730000000002</v>
      </c>
      <c r="BF131" s="132">
        <v>3.0884119999999999</v>
      </c>
      <c r="BG131" s="132">
        <v>1.9608840000000001</v>
      </c>
      <c r="BH131" s="132">
        <v>2.43424</v>
      </c>
      <c r="BI131" s="132"/>
      <c r="BJ131" s="132"/>
      <c r="BK131" s="132">
        <v>5.7202700000000002</v>
      </c>
      <c r="BL131" s="132">
        <v>5.9743240000000002</v>
      </c>
      <c r="BM131" s="132">
        <v>6.3869879999999997</v>
      </c>
      <c r="BN131" s="132">
        <v>6.3488030000000002</v>
      </c>
      <c r="BO131" s="132">
        <v>6.2607710000000001</v>
      </c>
      <c r="BP131" s="132">
        <v>5.8299320000000003</v>
      </c>
    </row>
    <row r="132" spans="1:68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32">
        <v>500</v>
      </c>
      <c r="U132" s="132"/>
      <c r="V132" s="132"/>
      <c r="W132" s="132">
        <v>0.08</v>
      </c>
      <c r="X132" s="132">
        <v>9.2161999999999994E-2</v>
      </c>
      <c r="Y132" s="132">
        <v>0.14054900000000001</v>
      </c>
      <c r="Z132" s="132">
        <v>0.114701</v>
      </c>
      <c r="AA132" s="132">
        <v>7.4546000000000001E-2</v>
      </c>
      <c r="AB132" s="132">
        <v>7.3980000000000004E-2</v>
      </c>
      <c r="AC132" s="132"/>
      <c r="AD132" s="132"/>
      <c r="AE132" s="132">
        <v>0.101622</v>
      </c>
      <c r="AF132" s="132">
        <v>0.102432</v>
      </c>
      <c r="AG132" s="132">
        <v>0.18637100000000001</v>
      </c>
      <c r="AH132" s="132">
        <v>0.21868099999999999</v>
      </c>
      <c r="AI132" s="132">
        <v>0.102891</v>
      </c>
      <c r="AJ132" s="132">
        <v>8.4183999999999995E-2</v>
      </c>
      <c r="AK132" s="132"/>
      <c r="AL132" s="132"/>
      <c r="AM132" s="132">
        <v>0.22026999999999999</v>
      </c>
      <c r="AN132" s="132">
        <v>0.236486</v>
      </c>
      <c r="AO132" s="132">
        <v>0.494786</v>
      </c>
      <c r="AP132" s="132">
        <v>0.42722900000000003</v>
      </c>
      <c r="AQ132" s="132">
        <v>0.291383</v>
      </c>
      <c r="AR132" s="132">
        <v>0.248866</v>
      </c>
      <c r="AS132" s="132"/>
      <c r="AT132" s="132"/>
      <c r="AU132" s="132">
        <v>0.99324299999999999</v>
      </c>
      <c r="AV132" s="132">
        <v>1.0310809999999999</v>
      </c>
      <c r="AW132" s="132">
        <v>1.6227050000000001</v>
      </c>
      <c r="AX132" s="132">
        <v>1.7108239999999999</v>
      </c>
      <c r="AY132" s="212">
        <v>-1.0489999999999999E-2</v>
      </c>
      <c r="AZ132" s="132">
        <v>1.9841000000000001E-2</v>
      </c>
      <c r="BA132" s="132"/>
      <c r="BB132" s="132"/>
      <c r="BC132" s="132">
        <v>3.7851349999999999</v>
      </c>
      <c r="BD132" s="132">
        <v>4.3716220000000003</v>
      </c>
      <c r="BE132" s="132">
        <v>5.1856369999999998</v>
      </c>
      <c r="BF132" s="132">
        <v>5.2502570000000004</v>
      </c>
      <c r="BG132" s="132">
        <v>1.5952379999999999</v>
      </c>
      <c r="BH132" s="132">
        <v>1.827664</v>
      </c>
      <c r="BI132" s="132"/>
      <c r="BJ132" s="132"/>
      <c r="BK132" s="132">
        <v>9.5067570000000003</v>
      </c>
      <c r="BL132" s="132">
        <v>9.5662160000000007</v>
      </c>
      <c r="BM132" s="132">
        <v>10.032159999999999</v>
      </c>
      <c r="BN132" s="132">
        <v>9.6973120000000002</v>
      </c>
      <c r="BO132" s="132">
        <v>9.3588439999999995</v>
      </c>
      <c r="BP132" s="132">
        <v>9.6536279999999994</v>
      </c>
    </row>
    <row r="133" spans="1:68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32">
        <v>1000</v>
      </c>
      <c r="U133" s="132"/>
      <c r="V133" s="132"/>
      <c r="W133" s="132">
        <v>5.9188999999999999E-2</v>
      </c>
      <c r="X133" s="132">
        <v>6.6486000000000003E-2</v>
      </c>
      <c r="Y133" s="132">
        <v>0.13408700000000001</v>
      </c>
      <c r="Z133" s="132">
        <v>0.122632</v>
      </c>
      <c r="AA133" s="132">
        <v>7.6531000000000002E-2</v>
      </c>
      <c r="AB133" s="132">
        <v>7.6531000000000002E-2</v>
      </c>
      <c r="AC133" s="132"/>
      <c r="AD133" s="132"/>
      <c r="AE133" s="132">
        <v>0.118108</v>
      </c>
      <c r="AF133" s="132">
        <v>0.13891899999999999</v>
      </c>
      <c r="AG133" s="132">
        <v>0.20105700000000001</v>
      </c>
      <c r="AH133" s="132">
        <v>0.23924200000000001</v>
      </c>
      <c r="AI133" s="132">
        <v>0.11734700000000001</v>
      </c>
      <c r="AJ133" s="132">
        <v>0.113662</v>
      </c>
      <c r="AK133" s="132"/>
      <c r="AL133" s="132"/>
      <c r="AM133" s="132">
        <v>0.18513499999999999</v>
      </c>
      <c r="AN133" s="132">
        <v>0.27972999999999998</v>
      </c>
      <c r="AO133" s="132">
        <v>0.49184899999999998</v>
      </c>
      <c r="AP133" s="132">
        <v>0.45660200000000001</v>
      </c>
      <c r="AQ133" s="132">
        <v>0.31689299999999998</v>
      </c>
      <c r="AR133" s="132">
        <v>0.26870699999999997</v>
      </c>
      <c r="AS133" s="132"/>
      <c r="AT133" s="132"/>
      <c r="AU133" s="132">
        <v>1.1635139999999999</v>
      </c>
      <c r="AV133" s="132">
        <v>1.1878379999999999</v>
      </c>
      <c r="AW133" s="132">
        <v>1.904685</v>
      </c>
      <c r="AX133" s="132">
        <v>1.8988100000000001</v>
      </c>
      <c r="AY133" s="132">
        <v>0.124433</v>
      </c>
      <c r="AZ133" s="132">
        <v>0.55215400000000003</v>
      </c>
      <c r="BA133" s="132"/>
      <c r="BB133" s="132"/>
      <c r="BC133" s="132">
        <v>4.4689189999999996</v>
      </c>
      <c r="BD133" s="132">
        <v>5.0959459999999996</v>
      </c>
      <c r="BE133" s="132">
        <v>5.676164</v>
      </c>
      <c r="BF133" s="132">
        <v>5.6056689999999998</v>
      </c>
      <c r="BG133" s="132">
        <v>2.0317460000000001</v>
      </c>
      <c r="BH133" s="132">
        <v>0.52097499999999997</v>
      </c>
      <c r="BI133" s="132"/>
      <c r="BJ133" s="132"/>
      <c r="BK133" s="132">
        <v>9.3040540000000007</v>
      </c>
      <c r="BL133" s="132">
        <v>10.26892</v>
      </c>
      <c r="BM133" s="132">
        <v>7.2740489999999998</v>
      </c>
      <c r="BN133" s="132">
        <v>6.3076809999999996</v>
      </c>
      <c r="BO133" s="132">
        <v>9.8322000000000003</v>
      </c>
      <c r="BP133" s="132">
        <v>9.7414970000000007</v>
      </c>
    </row>
    <row r="134" spans="1:68" ht="16.5">
      <c r="A134" s="112" t="s">
        <v>1710</v>
      </c>
      <c r="B134" s="244" t="s">
        <v>2101</v>
      </c>
      <c r="C134" s="244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63" t="s">
        <v>1961</v>
      </c>
      <c r="U134" s="263" t="s">
        <v>1961</v>
      </c>
      <c r="V134" s="263" t="s">
        <v>1961</v>
      </c>
      <c r="W134" s="263" t="s">
        <v>1961</v>
      </c>
      <c r="X134" s="263" t="s">
        <v>1961</v>
      </c>
      <c r="Y134" s="263" t="s">
        <v>1961</v>
      </c>
      <c r="Z134" s="263" t="s">
        <v>1961</v>
      </c>
      <c r="AA134" s="263" t="s">
        <v>1961</v>
      </c>
      <c r="AB134" s="263" t="s">
        <v>1961</v>
      </c>
      <c r="AC134" s="263" t="s">
        <v>1961</v>
      </c>
      <c r="AD134" s="263" t="s">
        <v>1961</v>
      </c>
      <c r="AE134" s="263" t="s">
        <v>1961</v>
      </c>
      <c r="AF134" s="263" t="s">
        <v>1961</v>
      </c>
      <c r="AG134" s="263" t="s">
        <v>1961</v>
      </c>
      <c r="AH134" s="263" t="s">
        <v>1961</v>
      </c>
      <c r="AI134" s="263" t="s">
        <v>1961</v>
      </c>
      <c r="AJ134" s="263" t="s">
        <v>1961</v>
      </c>
      <c r="AK134" s="263" t="s">
        <v>1961</v>
      </c>
      <c r="AL134" s="263" t="s">
        <v>1961</v>
      </c>
      <c r="AM134" s="263" t="s">
        <v>1961</v>
      </c>
      <c r="AN134" s="263" t="s">
        <v>1961</v>
      </c>
      <c r="AO134" s="263" t="s">
        <v>1961</v>
      </c>
      <c r="AP134" s="263" t="s">
        <v>1961</v>
      </c>
      <c r="AQ134" s="263" t="s">
        <v>1961</v>
      </c>
      <c r="AR134" s="263" t="s">
        <v>1961</v>
      </c>
      <c r="AS134" s="263" t="s">
        <v>1961</v>
      </c>
      <c r="AT134" s="263" t="s">
        <v>1961</v>
      </c>
      <c r="AU134" s="263" t="s">
        <v>1961</v>
      </c>
      <c r="AV134" s="263" t="s">
        <v>1961</v>
      </c>
      <c r="AW134" s="263" t="s">
        <v>1961</v>
      </c>
      <c r="AX134" s="263" t="s">
        <v>1961</v>
      </c>
      <c r="AY134" s="263" t="s">
        <v>1961</v>
      </c>
      <c r="AZ134" s="263" t="s">
        <v>1961</v>
      </c>
      <c r="BA134" s="263" t="s">
        <v>1961</v>
      </c>
      <c r="BB134" s="263" t="s">
        <v>1961</v>
      </c>
      <c r="BC134" s="263" t="s">
        <v>1961</v>
      </c>
      <c r="BD134" s="263" t="s">
        <v>1961</v>
      </c>
      <c r="BE134" s="263" t="s">
        <v>1961</v>
      </c>
      <c r="BF134" s="263" t="s">
        <v>1961</v>
      </c>
      <c r="BG134" s="263" t="s">
        <v>1961</v>
      </c>
      <c r="BH134" s="263" t="s">
        <v>1961</v>
      </c>
      <c r="BI134" s="263" t="s">
        <v>1961</v>
      </c>
      <c r="BJ134" s="263" t="s">
        <v>1961</v>
      </c>
      <c r="BK134" s="263" t="s">
        <v>1961</v>
      </c>
      <c r="BL134" s="263" t="s">
        <v>1961</v>
      </c>
      <c r="BM134" s="263" t="s">
        <v>1961</v>
      </c>
      <c r="BN134" s="263" t="s">
        <v>1961</v>
      </c>
      <c r="BO134" s="263" t="s">
        <v>1961</v>
      </c>
      <c r="BP134" s="263" t="s">
        <v>1961</v>
      </c>
    </row>
    <row r="135" spans="1:68">
      <c r="A135" s="6" t="s">
        <v>1698</v>
      </c>
      <c r="B135" s="133">
        <v>0</v>
      </c>
      <c r="C135" s="133"/>
      <c r="D135" s="133"/>
      <c r="E135" s="133"/>
      <c r="F135" s="133"/>
      <c r="G135" s="133"/>
      <c r="H135" s="134">
        <v>100</v>
      </c>
      <c r="I135" s="134"/>
      <c r="J135" s="134"/>
      <c r="K135" s="134"/>
      <c r="L135" s="134"/>
      <c r="M135" s="134"/>
      <c r="N135" s="135">
        <v>1000</v>
      </c>
      <c r="O135" s="135"/>
      <c r="P135" s="135"/>
      <c r="Q135" s="135"/>
      <c r="R135" s="135"/>
      <c r="S135" s="135"/>
      <c r="T135" s="138" t="s">
        <v>2088</v>
      </c>
      <c r="U135" s="264">
        <v>0</v>
      </c>
      <c r="V135" s="265"/>
      <c r="W135" s="265"/>
      <c r="X135" s="265"/>
      <c r="Y135" s="265"/>
      <c r="Z135" s="265"/>
      <c r="AA135" s="265"/>
      <c r="AB135" s="265"/>
      <c r="AC135" s="264">
        <v>0.13</v>
      </c>
      <c r="AD135" s="265"/>
      <c r="AE135" s="265"/>
      <c r="AF135" s="265"/>
      <c r="AG135" s="265"/>
      <c r="AH135" s="265"/>
      <c r="AI135" s="265"/>
      <c r="AJ135" s="265"/>
      <c r="AK135" s="264">
        <v>0.48</v>
      </c>
      <c r="AL135" s="265"/>
      <c r="AM135" s="265"/>
      <c r="AN135" s="265"/>
      <c r="AO135" s="265"/>
      <c r="AP135" s="265"/>
      <c r="AQ135" s="265"/>
      <c r="AR135" s="265"/>
      <c r="AS135" s="264">
        <v>1.58</v>
      </c>
      <c r="AT135" s="265"/>
      <c r="AU135" s="265"/>
      <c r="AV135" s="265"/>
      <c r="AW135" s="265"/>
      <c r="AX135" s="265"/>
      <c r="AY135" s="265"/>
      <c r="AZ135" s="265"/>
      <c r="BA135" s="264">
        <v>4.3499999999999996</v>
      </c>
      <c r="BB135" s="265"/>
      <c r="BC135" s="265"/>
      <c r="BD135" s="265"/>
      <c r="BE135" s="265"/>
      <c r="BF135" s="265"/>
      <c r="BG135" s="265"/>
      <c r="BH135" s="265"/>
      <c r="BI135" s="264">
        <v>7.78</v>
      </c>
      <c r="BJ135" s="265"/>
      <c r="BK135" s="265"/>
      <c r="BL135" s="265"/>
      <c r="BM135" s="265"/>
      <c r="BN135" s="265"/>
      <c r="BO135" s="265"/>
      <c r="BP135" s="265"/>
    </row>
    <row r="136" spans="1:68" ht="16.5" customHeight="1">
      <c r="A136" s="11">
        <v>0</v>
      </c>
      <c r="B136" s="7">
        <v>3.2162000000000003E-2</v>
      </c>
      <c r="C136" s="7">
        <v>4.8107999999999998E-2</v>
      </c>
      <c r="D136" s="7">
        <v>5.8316E-2</v>
      </c>
      <c r="E136" s="7">
        <v>5.8910999999999998E-2</v>
      </c>
      <c r="F136" s="7">
        <v>5.4752000000000002E-2</v>
      </c>
      <c r="G136" s="7">
        <v>6.0719000000000002E-2</v>
      </c>
      <c r="H136" s="7">
        <v>5.0811000000000002E-2</v>
      </c>
      <c r="I136" s="7">
        <v>5.1892000000000001E-2</v>
      </c>
      <c r="J136" s="7">
        <v>3.3322999999999998E-2</v>
      </c>
      <c r="K136" s="7">
        <v>5.3258E-2</v>
      </c>
      <c r="L136" s="7">
        <v>6.6686999999999996E-2</v>
      </c>
      <c r="M136" s="7">
        <v>6.4598000000000003E-2</v>
      </c>
      <c r="N136" s="7">
        <v>0.04</v>
      </c>
      <c r="O136" s="7">
        <v>3.8919000000000002E-2</v>
      </c>
      <c r="P136" s="7">
        <v>3.8678999999999998E-2</v>
      </c>
      <c r="Q136" s="7">
        <v>4.2249000000000002E-2</v>
      </c>
      <c r="R136" s="7">
        <v>6.0122000000000002E-2</v>
      </c>
      <c r="S136" s="7">
        <v>7.9517000000000004E-2</v>
      </c>
      <c r="T136" s="139" t="s">
        <v>1915</v>
      </c>
      <c r="U136" s="261"/>
      <c r="V136" s="261"/>
      <c r="W136" s="261" t="s">
        <v>1916</v>
      </c>
      <c r="X136" s="261" t="s">
        <v>1916</v>
      </c>
      <c r="Y136" s="261" t="s">
        <v>1918</v>
      </c>
      <c r="Z136" s="261" t="s">
        <v>1918</v>
      </c>
      <c r="AA136" s="261" t="s">
        <v>1920</v>
      </c>
      <c r="AB136" s="261" t="s">
        <v>1920</v>
      </c>
      <c r="AC136" s="261"/>
      <c r="AD136" s="261"/>
      <c r="AE136" s="261" t="s">
        <v>1977</v>
      </c>
      <c r="AF136" s="261" t="s">
        <v>1977</v>
      </c>
      <c r="AG136" s="261" t="s">
        <v>1978</v>
      </c>
      <c r="AH136" s="261" t="s">
        <v>1978</v>
      </c>
      <c r="AI136" s="261" t="s">
        <v>1974</v>
      </c>
      <c r="AJ136" s="261" t="s">
        <v>1974</v>
      </c>
      <c r="AK136" s="261"/>
      <c r="AL136" s="261"/>
      <c r="AM136" s="261" t="s">
        <v>1979</v>
      </c>
      <c r="AN136" s="261" t="s">
        <v>1979</v>
      </c>
      <c r="AO136" s="261" t="s">
        <v>1980</v>
      </c>
      <c r="AP136" s="261" t="s">
        <v>1980</v>
      </c>
      <c r="AQ136" s="261" t="s">
        <v>1971</v>
      </c>
      <c r="AR136" s="261" t="s">
        <v>1971</v>
      </c>
      <c r="AS136" s="261"/>
      <c r="AT136" s="261"/>
      <c r="AU136" s="261" t="s">
        <v>1981</v>
      </c>
      <c r="AV136" s="261" t="s">
        <v>1981</v>
      </c>
      <c r="AW136" s="261" t="s">
        <v>1982</v>
      </c>
      <c r="AX136" s="261" t="s">
        <v>1982</v>
      </c>
      <c r="AY136" s="261" t="s">
        <v>1968</v>
      </c>
      <c r="AZ136" s="261" t="s">
        <v>1968</v>
      </c>
      <c r="BA136" s="261"/>
      <c r="BB136" s="261"/>
      <c r="BC136" s="261" t="s">
        <v>1983</v>
      </c>
      <c r="BD136" s="261" t="s">
        <v>1983</v>
      </c>
      <c r="BE136" s="261" t="s">
        <v>1984</v>
      </c>
      <c r="BF136" s="261" t="s">
        <v>1984</v>
      </c>
      <c r="BG136" s="261" t="s">
        <v>1965</v>
      </c>
      <c r="BH136" s="261" t="s">
        <v>1965</v>
      </c>
      <c r="BI136" s="261"/>
      <c r="BJ136" s="261"/>
      <c r="BK136" s="261" t="s">
        <v>1985</v>
      </c>
      <c r="BL136" s="261" t="s">
        <v>1985</v>
      </c>
      <c r="BM136" s="261" t="s">
        <v>1986</v>
      </c>
      <c r="BN136" s="261" t="s">
        <v>1986</v>
      </c>
      <c r="BO136" s="261" t="s">
        <v>1962</v>
      </c>
      <c r="BP136" s="261" t="s">
        <v>1962</v>
      </c>
    </row>
    <row r="137" spans="1:68">
      <c r="A137" s="11">
        <v>0.13</v>
      </c>
      <c r="B137" s="7">
        <v>5.4594999999999998E-2</v>
      </c>
      <c r="C137" s="7">
        <v>5.6216000000000002E-2</v>
      </c>
      <c r="D137" s="7">
        <v>6.5158999999999995E-2</v>
      </c>
      <c r="E137" s="7">
        <v>6.6944000000000004E-2</v>
      </c>
      <c r="F137" s="7">
        <v>8.5185999999999998E-2</v>
      </c>
      <c r="G137" s="7">
        <v>8.3991999999999997E-2</v>
      </c>
      <c r="H137" s="7">
        <v>0.15270300000000001</v>
      </c>
      <c r="I137" s="7">
        <v>0.141351</v>
      </c>
      <c r="J137" s="7">
        <v>0.112764</v>
      </c>
      <c r="K137" s="7">
        <v>0.127938</v>
      </c>
      <c r="L137" s="7">
        <v>0.18842300000000001</v>
      </c>
      <c r="M137" s="7">
        <v>0.19737399999999999</v>
      </c>
      <c r="N137" s="7">
        <v>0.30135099999999998</v>
      </c>
      <c r="O137" s="7">
        <v>0.29324299999999998</v>
      </c>
      <c r="P137" s="7">
        <v>0.183279</v>
      </c>
      <c r="Q137" s="7">
        <v>0.20410600000000001</v>
      </c>
      <c r="R137" s="7">
        <v>0.36744700000000002</v>
      </c>
      <c r="S137" s="7">
        <v>0.35252899999999998</v>
      </c>
      <c r="T137" s="132">
        <v>0</v>
      </c>
      <c r="U137" s="132"/>
      <c r="V137" s="132"/>
      <c r="W137" s="132">
        <v>3.2162000000000003E-2</v>
      </c>
      <c r="X137" s="132">
        <v>4.8107999999999998E-2</v>
      </c>
      <c r="Y137" s="132">
        <v>5.8316E-2</v>
      </c>
      <c r="Z137" s="132">
        <v>5.8910999999999998E-2</v>
      </c>
      <c r="AA137" s="132">
        <v>5.4752000000000002E-2</v>
      </c>
      <c r="AB137" s="132">
        <v>6.0719000000000002E-2</v>
      </c>
      <c r="AC137" s="132"/>
      <c r="AD137" s="132"/>
      <c r="AE137" s="132">
        <v>5.4594999999999998E-2</v>
      </c>
      <c r="AF137" s="132">
        <v>5.6216000000000002E-2</v>
      </c>
      <c r="AG137" s="132">
        <v>6.5158999999999995E-2</v>
      </c>
      <c r="AH137" s="132">
        <v>6.6944000000000004E-2</v>
      </c>
      <c r="AI137" s="132">
        <v>8.5185999999999998E-2</v>
      </c>
      <c r="AJ137" s="132">
        <v>8.3991999999999997E-2</v>
      </c>
      <c r="AK137" s="132"/>
      <c r="AL137" s="132"/>
      <c r="AM137" s="132">
        <v>5.8649E-2</v>
      </c>
      <c r="AN137" s="132">
        <v>5.8649E-2</v>
      </c>
      <c r="AO137" s="132">
        <v>6.2779000000000001E-2</v>
      </c>
      <c r="AP137" s="132">
        <v>5.5936E-2</v>
      </c>
      <c r="AQ137" s="132">
        <v>8.1904000000000005E-2</v>
      </c>
      <c r="AR137" s="132">
        <v>8.8765999999999998E-2</v>
      </c>
      <c r="AS137" s="132"/>
      <c r="AT137" s="132"/>
      <c r="AU137" s="132">
        <v>5.6216000000000002E-2</v>
      </c>
      <c r="AV137" s="132">
        <v>5.5676000000000003E-2</v>
      </c>
      <c r="AW137" s="132">
        <v>6.8729999999999999E-2</v>
      </c>
      <c r="AX137" s="132">
        <v>6.5754000000000007E-2</v>
      </c>
      <c r="AY137" s="132">
        <v>9.5926999999999998E-2</v>
      </c>
      <c r="AZ137" s="132">
        <v>9.5926999999999998E-2</v>
      </c>
      <c r="BA137" s="132"/>
      <c r="BB137" s="132"/>
      <c r="BC137" s="132">
        <v>0.08</v>
      </c>
      <c r="BD137" s="132">
        <v>8.3783999999999997E-2</v>
      </c>
      <c r="BE137" s="132">
        <v>0.108599</v>
      </c>
      <c r="BF137" s="132">
        <v>0.107706</v>
      </c>
      <c r="BG137" s="132">
        <v>0.13292599999999999</v>
      </c>
      <c r="BH137" s="132">
        <v>0.133522</v>
      </c>
      <c r="BI137" s="132"/>
      <c r="BJ137" s="132"/>
      <c r="BK137" s="132">
        <v>0.20405400000000001</v>
      </c>
      <c r="BL137" s="132">
        <v>0.18513499999999999</v>
      </c>
      <c r="BM137" s="132">
        <v>0.22195799999999999</v>
      </c>
      <c r="BN137" s="132">
        <v>0.20410600000000001</v>
      </c>
      <c r="BO137" s="132">
        <v>0.27495199999999997</v>
      </c>
      <c r="BP137" s="132">
        <v>0.263017</v>
      </c>
    </row>
    <row r="138" spans="1:68">
      <c r="A138" s="11">
        <v>0.48</v>
      </c>
      <c r="B138" s="7">
        <v>5.8649E-2</v>
      </c>
      <c r="C138" s="7">
        <v>5.8649E-2</v>
      </c>
      <c r="D138" s="7">
        <v>6.2779000000000001E-2</v>
      </c>
      <c r="E138" s="7">
        <v>5.5936E-2</v>
      </c>
      <c r="F138" s="7">
        <v>8.1904000000000005E-2</v>
      </c>
      <c r="G138" s="7">
        <v>8.8765999999999998E-2</v>
      </c>
      <c r="H138" s="7">
        <v>0.56081099999999995</v>
      </c>
      <c r="I138" s="7">
        <v>0.56351399999999996</v>
      </c>
      <c r="J138" s="7">
        <v>0.45403199999999999</v>
      </c>
      <c r="K138" s="7">
        <v>0.50163599999999997</v>
      </c>
      <c r="L138" s="7">
        <v>0.54348799999999997</v>
      </c>
      <c r="M138" s="7">
        <v>0.57034200000000002</v>
      </c>
      <c r="N138" s="7">
        <v>1.233784</v>
      </c>
      <c r="O138" s="7">
        <v>1.236486</v>
      </c>
      <c r="P138" s="7">
        <v>0.96578399999999998</v>
      </c>
      <c r="Q138" s="7">
        <v>1.138352</v>
      </c>
      <c r="R138" s="7">
        <v>1.4863489999999999</v>
      </c>
      <c r="S138" s="7">
        <v>1.671341</v>
      </c>
      <c r="T138" s="132">
        <v>0.1</v>
      </c>
      <c r="U138" s="132"/>
      <c r="V138" s="132"/>
      <c r="W138" s="132">
        <v>2.7296999999999998E-2</v>
      </c>
      <c r="X138" s="132">
        <v>2.2162000000000001E-2</v>
      </c>
      <c r="Y138" s="132">
        <v>4.6711999999999997E-2</v>
      </c>
      <c r="Z138" s="132">
        <v>4.1356999999999998E-2</v>
      </c>
      <c r="AA138" s="132">
        <v>7.5339000000000003E-2</v>
      </c>
      <c r="AB138" s="132">
        <v>7.4743000000000004E-2</v>
      </c>
      <c r="AC138" s="132"/>
      <c r="AD138" s="132"/>
      <c r="AE138" s="213" t="s">
        <v>3475</v>
      </c>
      <c r="AF138" s="213" t="s">
        <v>3476</v>
      </c>
      <c r="AG138" s="132">
        <v>4.0762E-2</v>
      </c>
      <c r="AH138" s="132">
        <v>4.4630000000000003E-2</v>
      </c>
      <c r="AI138" s="132">
        <v>8.5185999999999998E-2</v>
      </c>
      <c r="AJ138" s="132">
        <v>9.0855000000000005E-2</v>
      </c>
      <c r="AK138" s="132"/>
      <c r="AL138" s="132"/>
      <c r="AM138" s="213" t="s">
        <v>3477</v>
      </c>
      <c r="AN138" s="132">
        <v>6.1351000000000003E-2</v>
      </c>
      <c r="AO138" s="132">
        <v>6.5754000000000007E-2</v>
      </c>
      <c r="AP138" s="132">
        <v>6.6349000000000005E-2</v>
      </c>
      <c r="AQ138" s="132">
        <v>9.3242000000000005E-2</v>
      </c>
      <c r="AR138" s="132">
        <v>0.101895</v>
      </c>
      <c r="AS138" s="132"/>
      <c r="AT138" s="132"/>
      <c r="AU138" s="132">
        <v>6.2432000000000001E-2</v>
      </c>
      <c r="AV138" s="132">
        <v>6.9459000000000007E-2</v>
      </c>
      <c r="AW138" s="132">
        <v>7.3788000000000006E-2</v>
      </c>
      <c r="AX138" s="132">
        <v>5.0283000000000001E-2</v>
      </c>
      <c r="AY138" s="132">
        <v>0.11233799999999999</v>
      </c>
      <c r="AZ138" s="132">
        <v>0.100701</v>
      </c>
      <c r="BA138" s="132"/>
      <c r="BB138" s="132"/>
      <c r="BC138" s="132">
        <v>8.8918999999999998E-2</v>
      </c>
      <c r="BD138" s="132">
        <v>9.0270000000000003E-2</v>
      </c>
      <c r="BE138" s="132">
        <v>0.10413600000000001</v>
      </c>
      <c r="BF138" s="132">
        <v>8.5689000000000001E-2</v>
      </c>
      <c r="BG138" s="132">
        <v>0.144562</v>
      </c>
      <c r="BH138" s="132">
        <v>0.157691</v>
      </c>
      <c r="BI138" s="132"/>
      <c r="BJ138" s="132"/>
      <c r="BK138" s="132">
        <v>0.23108100000000001</v>
      </c>
      <c r="BL138" s="132">
        <v>0.22026999999999999</v>
      </c>
      <c r="BM138" s="132">
        <v>0.201131</v>
      </c>
      <c r="BN138" s="132">
        <v>0.198155</v>
      </c>
      <c r="BO138" s="132">
        <v>0.28987000000000002</v>
      </c>
      <c r="BP138" s="132">
        <v>0.28091899999999997</v>
      </c>
    </row>
    <row r="139" spans="1:68">
      <c r="A139" s="11">
        <v>1.58</v>
      </c>
      <c r="B139" s="7">
        <v>5.6216000000000002E-2</v>
      </c>
      <c r="C139" s="7">
        <v>5.5676000000000003E-2</v>
      </c>
      <c r="D139" s="7">
        <v>6.8729999999999999E-2</v>
      </c>
      <c r="E139" s="7">
        <v>6.5754000000000007E-2</v>
      </c>
      <c r="F139" s="7">
        <v>9.5926999999999998E-2</v>
      </c>
      <c r="G139" s="7">
        <v>9.5926999999999998E-2</v>
      </c>
      <c r="H139" s="7">
        <v>2.6635140000000002</v>
      </c>
      <c r="I139" s="7">
        <v>2.7040540000000002</v>
      </c>
      <c r="J139" s="7">
        <v>2.4504609999999998</v>
      </c>
      <c r="K139" s="7">
        <v>2.4504609999999998</v>
      </c>
      <c r="L139" s="7">
        <v>3.0647470000000001</v>
      </c>
      <c r="M139" s="7">
        <v>3.184097</v>
      </c>
      <c r="N139" s="7">
        <v>4.8175679999999996</v>
      </c>
      <c r="O139" s="7">
        <v>5.1445949999999998</v>
      </c>
      <c r="P139" s="7">
        <v>4.9437670000000002</v>
      </c>
      <c r="Q139" s="7">
        <v>4.9764949999999999</v>
      </c>
      <c r="R139" s="7">
        <v>6.1021929999999998</v>
      </c>
      <c r="S139" s="7">
        <v>6.1200950000000001</v>
      </c>
      <c r="T139" s="132">
        <v>1</v>
      </c>
      <c r="U139" s="132"/>
      <c r="V139" s="132"/>
      <c r="W139" s="132">
        <v>0.107297</v>
      </c>
      <c r="X139" s="132">
        <v>9.3514E-2</v>
      </c>
      <c r="Y139" s="132">
        <v>3.7786E-2</v>
      </c>
      <c r="Z139" s="132">
        <v>4.4630000000000003E-2</v>
      </c>
      <c r="AA139" s="132">
        <v>7.4743000000000004E-2</v>
      </c>
      <c r="AB139" s="132">
        <v>8.1307000000000004E-2</v>
      </c>
      <c r="AC139" s="132"/>
      <c r="AD139" s="132"/>
      <c r="AE139" s="132">
        <v>5.9188999999999999E-2</v>
      </c>
      <c r="AF139" s="132">
        <v>5.6757000000000002E-2</v>
      </c>
      <c r="AG139" s="132">
        <v>4.6116999999999998E-2</v>
      </c>
      <c r="AH139" s="132">
        <v>4.1952000000000003E-2</v>
      </c>
      <c r="AI139" s="132">
        <v>9.3242000000000005E-2</v>
      </c>
      <c r="AJ139" s="132">
        <v>0.107265</v>
      </c>
      <c r="AK139" s="132"/>
      <c r="AL139" s="132"/>
      <c r="AM139" s="132">
        <v>5.8108E-2</v>
      </c>
      <c r="AN139" s="132">
        <v>6.4324000000000006E-2</v>
      </c>
      <c r="AO139" s="132">
        <v>6.8729999999999999E-2</v>
      </c>
      <c r="AP139" s="132">
        <v>7.8548000000000007E-2</v>
      </c>
      <c r="AQ139" s="132">
        <v>0.10935400000000001</v>
      </c>
      <c r="AR139" s="132">
        <v>0.12069199999999999</v>
      </c>
      <c r="AS139" s="132"/>
      <c r="AT139" s="132"/>
      <c r="AU139" s="132">
        <v>6.4865000000000006E-2</v>
      </c>
      <c r="AV139" s="132">
        <v>6.7027000000000003E-2</v>
      </c>
      <c r="AW139" s="132">
        <v>8.1226000000000007E-2</v>
      </c>
      <c r="AX139" s="132">
        <v>7.2300000000000003E-2</v>
      </c>
      <c r="AY139" s="132">
        <v>0.122184</v>
      </c>
      <c r="AZ139" s="132">
        <v>0.11353100000000001</v>
      </c>
      <c r="BA139" s="132"/>
      <c r="BB139" s="132"/>
      <c r="BC139" s="132">
        <v>0.100811</v>
      </c>
      <c r="BD139" s="132">
        <v>0.117297</v>
      </c>
      <c r="BE139" s="132">
        <v>0.109789</v>
      </c>
      <c r="BF139" s="132">
        <v>0.11365699999999999</v>
      </c>
      <c r="BG139" s="132">
        <v>0.16186800000000001</v>
      </c>
      <c r="BH139" s="132">
        <v>0.16544800000000001</v>
      </c>
      <c r="BI139" s="132"/>
      <c r="BJ139" s="132"/>
      <c r="BK139" s="132">
        <v>0.27972999999999998</v>
      </c>
      <c r="BL139" s="132">
        <v>0.30135099999999998</v>
      </c>
      <c r="BM139" s="132">
        <v>0.242785</v>
      </c>
      <c r="BN139" s="132">
        <v>0.25766099999999997</v>
      </c>
      <c r="BO139" s="132">
        <v>0.35551199999999999</v>
      </c>
      <c r="BP139" s="132">
        <v>0.33164300000000002</v>
      </c>
    </row>
    <row r="140" spans="1:68">
      <c r="A140" s="11">
        <v>4.3499999999999996</v>
      </c>
      <c r="B140" s="7">
        <v>0.08</v>
      </c>
      <c r="C140" s="7">
        <v>8.3783999999999997E-2</v>
      </c>
      <c r="D140" s="7">
        <v>0.108599</v>
      </c>
      <c r="E140" s="7">
        <v>0.107706</v>
      </c>
      <c r="F140" s="7">
        <v>0.13292599999999999</v>
      </c>
      <c r="G140" s="7">
        <v>0.133522</v>
      </c>
      <c r="H140" s="7">
        <v>6.7229729999999996</v>
      </c>
      <c r="I140" s="7">
        <v>7.0878379999999996</v>
      </c>
      <c r="J140" s="7">
        <v>7.4340970000000004</v>
      </c>
      <c r="K140" s="7">
        <v>7.1157389999999996</v>
      </c>
      <c r="L140" s="7">
        <v>6.8660300000000003</v>
      </c>
      <c r="M140" s="7">
        <v>6.5736239999999997</v>
      </c>
      <c r="N140" s="7">
        <v>10.855409999999999</v>
      </c>
      <c r="O140" s="7">
        <v>10.990539999999999</v>
      </c>
      <c r="P140" s="7">
        <v>12.48616</v>
      </c>
      <c r="Q140" s="7">
        <v>12.56352</v>
      </c>
      <c r="R140" s="7">
        <v>12.6873</v>
      </c>
      <c r="S140" s="7">
        <v>13.91362</v>
      </c>
      <c r="T140" s="132">
        <v>10</v>
      </c>
      <c r="U140" s="132"/>
      <c r="V140" s="132"/>
      <c r="W140" s="132">
        <v>5.0270000000000002E-2</v>
      </c>
      <c r="X140" s="132">
        <v>5.2431999999999999E-2</v>
      </c>
      <c r="Y140" s="132">
        <v>3.9274000000000003E-2</v>
      </c>
      <c r="Z140" s="132">
        <v>3.9274000000000003E-2</v>
      </c>
      <c r="AA140" s="132">
        <v>7.5936000000000003E-2</v>
      </c>
      <c r="AB140" s="132">
        <v>8.8168999999999997E-2</v>
      </c>
      <c r="AC140" s="132"/>
      <c r="AD140" s="132"/>
      <c r="AE140" s="132">
        <v>5.6757000000000002E-2</v>
      </c>
      <c r="AF140" s="132">
        <v>5.5135000000000003E-2</v>
      </c>
      <c r="AG140" s="132">
        <v>7.0514999999999994E-2</v>
      </c>
      <c r="AH140" s="132">
        <v>7.6762999999999998E-2</v>
      </c>
      <c r="AI140" s="132">
        <v>0.11651499999999999</v>
      </c>
      <c r="AJ140" s="132">
        <v>0.12367599999999999</v>
      </c>
      <c r="AK140" s="132"/>
      <c r="AL140" s="132"/>
      <c r="AM140" s="132">
        <v>8.2973000000000005E-2</v>
      </c>
      <c r="AN140" s="132">
        <v>9.6756999999999996E-2</v>
      </c>
      <c r="AO140" s="132">
        <v>9.9375000000000005E-2</v>
      </c>
      <c r="AP140" s="132">
        <v>0.108599</v>
      </c>
      <c r="AQ140" s="132">
        <v>0.138296</v>
      </c>
      <c r="AR140" s="132">
        <v>0.14366699999999999</v>
      </c>
      <c r="AS140" s="132"/>
      <c r="AT140" s="132"/>
      <c r="AU140" s="132">
        <v>0.222973</v>
      </c>
      <c r="AV140" s="132">
        <v>0.236486</v>
      </c>
      <c r="AW140" s="132">
        <v>0.272538</v>
      </c>
      <c r="AX140" s="132">
        <v>0.272538</v>
      </c>
      <c r="AY140" s="132">
        <v>0.33462599999999998</v>
      </c>
      <c r="AZ140" s="132">
        <v>0.33761000000000002</v>
      </c>
      <c r="BA140" s="132"/>
      <c r="BB140" s="132"/>
      <c r="BC140" s="132">
        <v>0.85270299999999999</v>
      </c>
      <c r="BD140" s="132">
        <v>0.98243199999999997</v>
      </c>
      <c r="BE140" s="132">
        <v>1.055043</v>
      </c>
      <c r="BF140" s="132">
        <v>0.98363599999999995</v>
      </c>
      <c r="BG140" s="132">
        <v>1.4087719999999999</v>
      </c>
      <c r="BH140" s="132">
        <v>1.1521710000000001</v>
      </c>
      <c r="BI140" s="132"/>
      <c r="BJ140" s="132"/>
      <c r="BK140" s="132">
        <v>2.7229730000000001</v>
      </c>
      <c r="BL140" s="132">
        <v>2.6121620000000001</v>
      </c>
      <c r="BM140" s="132">
        <v>2.34335</v>
      </c>
      <c r="BN140" s="132">
        <v>2.3879800000000002</v>
      </c>
      <c r="BO140" s="132">
        <v>2.4679989999999998</v>
      </c>
      <c r="BP140" s="132">
        <v>2.321796</v>
      </c>
    </row>
    <row r="141" spans="1:68">
      <c r="A141" s="11">
        <v>7.78</v>
      </c>
      <c r="B141" s="7">
        <v>0.20405400000000001</v>
      </c>
      <c r="C141" s="7">
        <v>0.18513499999999999</v>
      </c>
      <c r="D141" s="7">
        <v>0.22195799999999999</v>
      </c>
      <c r="E141" s="7">
        <v>0.20410600000000001</v>
      </c>
      <c r="F141" s="7">
        <v>0.27495199999999997</v>
      </c>
      <c r="G141" s="7">
        <v>0.263017</v>
      </c>
      <c r="H141" s="7">
        <v>11.022970000000001</v>
      </c>
      <c r="I141" s="7">
        <v>11.760809999999999</v>
      </c>
      <c r="J141" s="7">
        <v>12.06962</v>
      </c>
      <c r="K141" s="7">
        <v>10.4094</v>
      </c>
      <c r="L141" s="7">
        <v>9.7960609999999999</v>
      </c>
      <c r="M141" s="7">
        <v>8.9039239999999999</v>
      </c>
      <c r="N141" s="7">
        <v>16.798649999999999</v>
      </c>
      <c r="O141" s="7">
        <v>15.70135</v>
      </c>
      <c r="P141" s="7">
        <v>17.398389999999999</v>
      </c>
      <c r="Q141" s="7">
        <v>16.41357</v>
      </c>
      <c r="R141" s="7">
        <v>16.72729</v>
      </c>
      <c r="S141" s="7">
        <v>17.676120000000001</v>
      </c>
      <c r="T141" s="132">
        <v>50</v>
      </c>
      <c r="U141" s="132"/>
      <c r="V141" s="132"/>
      <c r="W141" s="132">
        <v>4.7026999999999999E-2</v>
      </c>
      <c r="X141" s="132">
        <v>5.1351000000000001E-2</v>
      </c>
      <c r="Y141" s="132">
        <v>2.41E-2</v>
      </c>
      <c r="Z141" s="132">
        <v>5.3258E-2</v>
      </c>
      <c r="AA141" s="132">
        <v>7.0565000000000003E-2</v>
      </c>
      <c r="AB141" s="132">
        <v>8.3097000000000004E-2</v>
      </c>
      <c r="AC141" s="132"/>
      <c r="AD141" s="132"/>
      <c r="AE141" s="132">
        <v>6.4324000000000006E-2</v>
      </c>
      <c r="AF141" s="132">
        <v>0.113784</v>
      </c>
      <c r="AG141" s="132">
        <v>8.9854000000000003E-2</v>
      </c>
      <c r="AH141" s="132">
        <v>9.4316999999999998E-2</v>
      </c>
      <c r="AI141" s="132">
        <v>0.139788</v>
      </c>
      <c r="AJ141" s="132">
        <v>0.14873900000000001</v>
      </c>
      <c r="AK141" s="132"/>
      <c r="AL141" s="132"/>
      <c r="AM141" s="132">
        <v>0.27432400000000001</v>
      </c>
      <c r="AN141" s="132">
        <v>0.30945899999999998</v>
      </c>
      <c r="AO141" s="132">
        <v>0.31419200000000003</v>
      </c>
      <c r="AP141" s="132">
        <v>0.29038999999999998</v>
      </c>
      <c r="AQ141" s="132">
        <v>0.32269100000000001</v>
      </c>
      <c r="AR141" s="132">
        <v>0.35252899999999998</v>
      </c>
      <c r="AS141" s="132"/>
      <c r="AT141" s="132"/>
      <c r="AU141" s="132">
        <v>1.4472970000000001</v>
      </c>
      <c r="AV141" s="132">
        <v>1.525676</v>
      </c>
      <c r="AW141" s="132">
        <v>1.596549</v>
      </c>
      <c r="AX141" s="132">
        <v>1.5757220000000001</v>
      </c>
      <c r="AY141" s="132">
        <v>1.671341</v>
      </c>
      <c r="AZ141" s="132">
        <v>1.778756</v>
      </c>
      <c r="BA141" s="132"/>
      <c r="BB141" s="132"/>
      <c r="BC141" s="132">
        <v>4.6851349999999998</v>
      </c>
      <c r="BD141" s="132">
        <v>4.8040539999999998</v>
      </c>
      <c r="BE141" s="132">
        <v>5.9434690000000003</v>
      </c>
      <c r="BF141" s="132">
        <v>4.7920259999999999</v>
      </c>
      <c r="BG141" s="132">
        <v>4.7714460000000001</v>
      </c>
      <c r="BH141" s="132">
        <v>4.5685510000000003</v>
      </c>
      <c r="BI141" s="132"/>
      <c r="BJ141" s="132"/>
      <c r="BK141" s="132">
        <v>8.4283780000000004</v>
      </c>
      <c r="BL141" s="132">
        <v>8.8824319999999997</v>
      </c>
      <c r="BM141" s="132">
        <v>8.0797380000000008</v>
      </c>
      <c r="BN141" s="132">
        <v>7.4549240000000001</v>
      </c>
      <c r="BO141" s="132">
        <v>7.5821269999999998</v>
      </c>
      <c r="BP141" s="132">
        <v>7.9401760000000001</v>
      </c>
    </row>
    <row r="142" spans="1:68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132">
        <v>100</v>
      </c>
      <c r="U142" s="132"/>
      <c r="V142" s="132"/>
      <c r="W142" s="132">
        <v>5.0811000000000002E-2</v>
      </c>
      <c r="X142" s="132">
        <v>5.1892000000000001E-2</v>
      </c>
      <c r="Y142" s="132">
        <v>3.3322999999999998E-2</v>
      </c>
      <c r="Z142" s="132">
        <v>5.3258E-2</v>
      </c>
      <c r="AA142" s="132">
        <v>6.6686999999999996E-2</v>
      </c>
      <c r="AB142" s="132">
        <v>6.4598000000000003E-2</v>
      </c>
      <c r="AC142" s="132"/>
      <c r="AD142" s="132"/>
      <c r="AE142" s="132">
        <v>0.15270300000000001</v>
      </c>
      <c r="AF142" s="132">
        <v>0.141351</v>
      </c>
      <c r="AG142" s="132">
        <v>0.112764</v>
      </c>
      <c r="AH142" s="132">
        <v>0.127938</v>
      </c>
      <c r="AI142" s="132">
        <v>0.18842300000000001</v>
      </c>
      <c r="AJ142" s="132">
        <v>0.19737399999999999</v>
      </c>
      <c r="AK142" s="132"/>
      <c r="AL142" s="132"/>
      <c r="AM142" s="132">
        <v>0.56081099999999995</v>
      </c>
      <c r="AN142" s="132">
        <v>0.56351399999999996</v>
      </c>
      <c r="AO142" s="132">
        <v>0.45403199999999999</v>
      </c>
      <c r="AP142" s="132">
        <v>0.50163599999999997</v>
      </c>
      <c r="AQ142" s="132">
        <v>0.54348799999999997</v>
      </c>
      <c r="AR142" s="132">
        <v>0.57034200000000002</v>
      </c>
      <c r="AS142" s="132"/>
      <c r="AT142" s="132"/>
      <c r="AU142" s="132">
        <v>2.6635140000000002</v>
      </c>
      <c r="AV142" s="132">
        <v>2.7040540000000002</v>
      </c>
      <c r="AW142" s="132">
        <v>2.4504609999999998</v>
      </c>
      <c r="AX142" s="132">
        <v>2.4504609999999998</v>
      </c>
      <c r="AY142" s="132">
        <v>3.0647470000000001</v>
      </c>
      <c r="AZ142" s="132">
        <v>3.184097</v>
      </c>
      <c r="BA142" s="132"/>
      <c r="BB142" s="132"/>
      <c r="BC142" s="132">
        <v>6.7229729999999996</v>
      </c>
      <c r="BD142" s="132">
        <v>7.0878379999999996</v>
      </c>
      <c r="BE142" s="132">
        <v>7.4340970000000004</v>
      </c>
      <c r="BF142" s="132">
        <v>7.1157389999999996</v>
      </c>
      <c r="BG142" s="132">
        <v>6.8660300000000003</v>
      </c>
      <c r="BH142" s="132">
        <v>6.5736239999999997</v>
      </c>
      <c r="BI142" s="132"/>
      <c r="BJ142" s="132"/>
      <c r="BK142" s="132">
        <v>11.022970000000001</v>
      </c>
      <c r="BL142" s="132">
        <v>11.760809999999999</v>
      </c>
      <c r="BM142" s="132">
        <v>12.06962</v>
      </c>
      <c r="BN142" s="132">
        <v>10.4094</v>
      </c>
      <c r="BO142" s="132">
        <v>9.7960609999999999</v>
      </c>
      <c r="BP142" s="132">
        <v>8.9039239999999999</v>
      </c>
    </row>
    <row r="143" spans="1:68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32">
        <v>500</v>
      </c>
      <c r="U143" s="132"/>
      <c r="V143" s="132"/>
      <c r="W143" s="132">
        <v>3.9459000000000001E-2</v>
      </c>
      <c r="X143" s="132">
        <v>4.7567999999999999E-2</v>
      </c>
      <c r="Y143" s="132">
        <v>3.9274000000000003E-2</v>
      </c>
      <c r="Z143" s="132">
        <v>3.6298999999999998E-2</v>
      </c>
      <c r="AA143" s="132">
        <v>6.9669999999999996E-2</v>
      </c>
      <c r="AB143" s="132">
        <v>5.1469000000000001E-2</v>
      </c>
      <c r="AC143" s="132"/>
      <c r="AD143" s="132"/>
      <c r="AE143" s="132">
        <v>0.26351400000000003</v>
      </c>
      <c r="AF143" s="132">
        <v>0.21756800000000001</v>
      </c>
      <c r="AG143" s="132">
        <v>0.17732800000000001</v>
      </c>
      <c r="AH143" s="132">
        <v>0.18922900000000001</v>
      </c>
      <c r="AI143" s="132">
        <v>0.27793499999999999</v>
      </c>
      <c r="AJ143" s="132">
        <v>0.30777300000000002</v>
      </c>
      <c r="AK143" s="132"/>
      <c r="AL143" s="132"/>
      <c r="AM143" s="132">
        <v>1.168919</v>
      </c>
      <c r="AN143" s="132">
        <v>1.2445949999999999</v>
      </c>
      <c r="AO143" s="132">
        <v>0.87949999999999995</v>
      </c>
      <c r="AP143" s="132">
        <v>1.037191</v>
      </c>
      <c r="AQ143" s="132">
        <v>1.4087719999999999</v>
      </c>
      <c r="AR143" s="132">
        <v>1.4415929999999999</v>
      </c>
      <c r="AS143" s="132"/>
      <c r="AT143" s="132"/>
      <c r="AU143" s="132">
        <v>4.5689190000000002</v>
      </c>
      <c r="AV143" s="132">
        <v>4.5391890000000004</v>
      </c>
      <c r="AW143" s="132">
        <v>4.5153230000000004</v>
      </c>
      <c r="AX143" s="132">
        <v>4.4885450000000002</v>
      </c>
      <c r="AY143" s="132">
        <v>5.4069820000000002</v>
      </c>
      <c r="AZ143" s="132">
        <v>5.3711770000000003</v>
      </c>
      <c r="BA143" s="132"/>
      <c r="BB143" s="132"/>
      <c r="BC143" s="132">
        <v>9.9256759999999993</v>
      </c>
      <c r="BD143" s="132">
        <v>10.49324</v>
      </c>
      <c r="BE143" s="132">
        <v>12.1083</v>
      </c>
      <c r="BF143" s="132">
        <v>11.73936</v>
      </c>
      <c r="BG143" s="132">
        <v>11.968220000000001</v>
      </c>
      <c r="BH143" s="132">
        <v>10.515140000000001</v>
      </c>
      <c r="BI143" s="132"/>
      <c r="BJ143" s="132"/>
      <c r="BK143" s="132">
        <v>15.795949999999999</v>
      </c>
      <c r="BL143" s="132">
        <v>16.29054</v>
      </c>
      <c r="BM143" s="132">
        <v>16.51473</v>
      </c>
      <c r="BN143" s="132">
        <v>16.720020000000002</v>
      </c>
      <c r="BO143" s="132">
        <v>15.73072</v>
      </c>
      <c r="BP143" s="132">
        <v>16.673580000000001</v>
      </c>
    </row>
    <row r="144" spans="1:68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132">
        <v>1000</v>
      </c>
      <c r="U144" s="132"/>
      <c r="V144" s="132"/>
      <c r="W144" s="132">
        <v>0.04</v>
      </c>
      <c r="X144" s="132">
        <v>3.8919000000000002E-2</v>
      </c>
      <c r="Y144" s="132">
        <v>3.8678999999999998E-2</v>
      </c>
      <c r="Z144" s="132">
        <v>4.2249000000000002E-2</v>
      </c>
      <c r="AA144" s="132">
        <v>6.0122000000000002E-2</v>
      </c>
      <c r="AB144" s="132">
        <v>7.9517000000000004E-2</v>
      </c>
      <c r="AC144" s="132"/>
      <c r="AD144" s="132"/>
      <c r="AE144" s="132">
        <v>0.30135099999999998</v>
      </c>
      <c r="AF144" s="132">
        <v>0.29324299999999998</v>
      </c>
      <c r="AG144" s="132">
        <v>0.183279</v>
      </c>
      <c r="AH144" s="132">
        <v>0.20410600000000001</v>
      </c>
      <c r="AI144" s="132">
        <v>0.36744700000000002</v>
      </c>
      <c r="AJ144" s="132">
        <v>0.35252899999999998</v>
      </c>
      <c r="AK144" s="132"/>
      <c r="AL144" s="132"/>
      <c r="AM144" s="132">
        <v>1.233784</v>
      </c>
      <c r="AN144" s="132">
        <v>1.236486</v>
      </c>
      <c r="AO144" s="132">
        <v>0.96578399999999998</v>
      </c>
      <c r="AP144" s="132">
        <v>1.138352</v>
      </c>
      <c r="AQ144" s="132">
        <v>1.4863489999999999</v>
      </c>
      <c r="AR144" s="132">
        <v>1.671341</v>
      </c>
      <c r="AS144" s="132"/>
      <c r="AT144" s="132"/>
      <c r="AU144" s="132">
        <v>4.8175679999999996</v>
      </c>
      <c r="AV144" s="132">
        <v>5.1445949999999998</v>
      </c>
      <c r="AW144" s="132">
        <v>4.9437670000000002</v>
      </c>
      <c r="AX144" s="132">
        <v>4.9764949999999999</v>
      </c>
      <c r="AY144" s="132">
        <v>6.1021929999999998</v>
      </c>
      <c r="AZ144" s="132">
        <v>6.1200950000000001</v>
      </c>
      <c r="BA144" s="132"/>
      <c r="BB144" s="132"/>
      <c r="BC144" s="132">
        <v>10.855409999999999</v>
      </c>
      <c r="BD144" s="132">
        <v>10.990539999999999</v>
      </c>
      <c r="BE144" s="132">
        <v>12.48616</v>
      </c>
      <c r="BF144" s="132">
        <v>12.56352</v>
      </c>
      <c r="BG144" s="132">
        <v>12.6873</v>
      </c>
      <c r="BH144" s="132">
        <v>13.91362</v>
      </c>
      <c r="BI144" s="132"/>
      <c r="BJ144" s="132"/>
      <c r="BK144" s="132">
        <v>16.798649999999999</v>
      </c>
      <c r="BL144" s="132">
        <v>15.70135</v>
      </c>
      <c r="BM144" s="132">
        <v>17.398389999999999</v>
      </c>
      <c r="BN144" s="132">
        <v>16.41357</v>
      </c>
      <c r="BO144" s="132">
        <v>16.72729</v>
      </c>
      <c r="BP144" s="132">
        <v>17.676120000000001</v>
      </c>
    </row>
    <row r="145" spans="1:56" ht="16.5">
      <c r="A145" s="112" t="s">
        <v>1711</v>
      </c>
      <c r="B145" s="244" t="s">
        <v>2100</v>
      </c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 t="s">
        <v>1887</v>
      </c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</row>
    <row r="146" spans="1:56">
      <c r="A146" s="6" t="s">
        <v>1698</v>
      </c>
      <c r="B146" s="133">
        <v>0</v>
      </c>
      <c r="C146" s="133"/>
      <c r="D146" s="133"/>
      <c r="E146" s="133"/>
      <c r="F146" s="133"/>
      <c r="G146" s="133"/>
      <c r="H146" s="134">
        <v>100</v>
      </c>
      <c r="I146" s="134"/>
      <c r="J146" s="134"/>
      <c r="K146" s="134"/>
      <c r="L146" s="134"/>
      <c r="M146" s="134"/>
      <c r="N146" s="135">
        <v>1000</v>
      </c>
      <c r="O146" s="135"/>
      <c r="P146" s="135"/>
      <c r="Q146" s="135"/>
      <c r="R146" s="135"/>
      <c r="S146" s="135"/>
      <c r="T146" s="138" t="s">
        <v>2088</v>
      </c>
      <c r="U146" s="230" t="s">
        <v>2124</v>
      </c>
      <c r="V146" s="230"/>
      <c r="W146" s="230"/>
      <c r="X146" s="230"/>
      <c r="Y146" s="230"/>
      <c r="Z146" s="230"/>
      <c r="AA146" s="230" t="s">
        <v>2118</v>
      </c>
      <c r="AB146" s="230"/>
      <c r="AC146" s="230"/>
      <c r="AD146" s="230"/>
      <c r="AE146" s="230"/>
      <c r="AF146" s="230"/>
      <c r="AG146" s="230" t="s">
        <v>2119</v>
      </c>
      <c r="AH146" s="230"/>
      <c r="AI146" s="230"/>
      <c r="AJ146" s="230"/>
      <c r="AK146" s="230"/>
      <c r="AL146" s="230"/>
      <c r="AM146" s="230" t="s">
        <v>2120</v>
      </c>
      <c r="AN146" s="230"/>
      <c r="AO146" s="230"/>
      <c r="AP146" s="230"/>
      <c r="AQ146" s="230"/>
      <c r="AR146" s="230"/>
      <c r="AS146" s="230" t="s">
        <v>2121</v>
      </c>
      <c r="AT146" s="230"/>
      <c r="AU146" s="230"/>
      <c r="AV146" s="230"/>
      <c r="AW146" s="230"/>
      <c r="AX146" s="230"/>
      <c r="AY146" s="230" t="s">
        <v>2122</v>
      </c>
      <c r="AZ146" s="230"/>
      <c r="BA146" s="230"/>
      <c r="BB146" s="230"/>
      <c r="BC146" s="230"/>
      <c r="BD146" s="230"/>
    </row>
    <row r="147" spans="1:56">
      <c r="A147" s="11">
        <v>0.01</v>
      </c>
      <c r="B147" s="7">
        <v>5.3294000000000001E-2</v>
      </c>
      <c r="C147" s="7">
        <v>5.6863999999999998E-2</v>
      </c>
      <c r="D147" s="7">
        <v>4.1072999999999998E-2</v>
      </c>
      <c r="E147" s="7">
        <v>4.079E-2</v>
      </c>
      <c r="F147" s="7">
        <v>3.0661000000000001E-2</v>
      </c>
      <c r="G147" s="7">
        <v>2.7085999999999999E-2</v>
      </c>
      <c r="H147" s="7">
        <v>7.4457999999999996E-2</v>
      </c>
      <c r="I147" s="7">
        <v>7.1398000000000003E-2</v>
      </c>
      <c r="J147" s="7">
        <v>7.9464000000000007E-2</v>
      </c>
      <c r="K147" s="7">
        <v>7.0430000000000006E-2</v>
      </c>
      <c r="L147" s="7">
        <v>3.0386E-2</v>
      </c>
      <c r="M147" s="7">
        <v>2.9010999999999999E-2</v>
      </c>
      <c r="N147" s="7">
        <v>7.3948E-2</v>
      </c>
      <c r="O147" s="7">
        <v>7.8537999999999997E-2</v>
      </c>
      <c r="P147" s="7">
        <v>7.9181000000000001E-2</v>
      </c>
      <c r="Q147" s="7">
        <v>8.0875000000000002E-2</v>
      </c>
      <c r="R147" s="7">
        <v>3.9736E-2</v>
      </c>
      <c r="S147" s="7">
        <v>2.9836000000000001E-2</v>
      </c>
      <c r="T147" s="3" t="s">
        <v>2089</v>
      </c>
      <c r="U147" s="218">
        <v>2.2949426262392738E-2</v>
      </c>
      <c r="V147" s="218"/>
      <c r="W147" s="218">
        <v>4.3754410726887811E-3</v>
      </c>
      <c r="X147" s="218"/>
      <c r="Y147" s="218">
        <v>4.0000000000000001E-3</v>
      </c>
      <c r="Z147" s="218"/>
      <c r="AA147" s="218">
        <v>0.1806629834100584</v>
      </c>
      <c r="AB147" s="218"/>
      <c r="AC147" s="218">
        <v>0.18955539872971067</v>
      </c>
      <c r="AD147" s="218"/>
      <c r="AE147" s="218">
        <v>0.126770246</v>
      </c>
      <c r="AF147" s="218"/>
      <c r="AG147" s="218">
        <v>1.1257968549829327</v>
      </c>
      <c r="AH147" s="218"/>
      <c r="AI147" s="218">
        <v>0.6485532815808045</v>
      </c>
      <c r="AJ147" s="218"/>
      <c r="AK147" s="218">
        <v>0.40327237700000002</v>
      </c>
      <c r="AL147" s="218"/>
      <c r="AM147" s="218">
        <v>2.0807479811236083</v>
      </c>
      <c r="AN147" s="218"/>
      <c r="AO147" s="218">
        <v>2.0825688073394497</v>
      </c>
      <c r="AP147" s="218"/>
      <c r="AQ147" s="218">
        <v>1.515605665</v>
      </c>
      <c r="AR147" s="218"/>
      <c r="AS147" s="218">
        <v>4.6816829575281194</v>
      </c>
      <c r="AT147" s="218"/>
      <c r="AU147" s="218">
        <v>4.857445306986591</v>
      </c>
      <c r="AV147" s="218"/>
      <c r="AW147" s="218">
        <v>4.3246253269999997</v>
      </c>
      <c r="AX147" s="218"/>
      <c r="AY147" s="218">
        <v>8.0883977893677521</v>
      </c>
      <c r="AZ147" s="218"/>
      <c r="BA147" s="218">
        <v>6.9181369089625973</v>
      </c>
      <c r="BB147" s="218"/>
      <c r="BC147" s="218">
        <v>7.0868967410000003</v>
      </c>
      <c r="BD147" s="218"/>
    </row>
    <row r="148" spans="1:56">
      <c r="A148" s="11">
        <v>0.16</v>
      </c>
      <c r="B148" s="7">
        <v>7.9047999999999993E-2</v>
      </c>
      <c r="C148" s="7">
        <v>7.6243000000000005E-2</v>
      </c>
      <c r="D148" s="7">
        <v>9.5836000000000005E-2</v>
      </c>
      <c r="E148" s="7">
        <v>7.4947E-2</v>
      </c>
      <c r="F148" s="7">
        <v>4.4685999999999997E-2</v>
      </c>
      <c r="G148" s="7">
        <v>4.5511000000000003E-2</v>
      </c>
      <c r="H148" s="7">
        <v>12.026770000000001</v>
      </c>
      <c r="I148" s="7">
        <v>12.32512</v>
      </c>
      <c r="J148" s="7">
        <v>11.08892</v>
      </c>
      <c r="K148" s="7">
        <v>11.05505</v>
      </c>
      <c r="L148" s="7">
        <v>8.5745909999999999</v>
      </c>
      <c r="M148" s="7">
        <v>9.1768180000000008</v>
      </c>
      <c r="N148" s="7">
        <v>17.366340000000001</v>
      </c>
      <c r="O148" s="7">
        <v>18.860600000000002</v>
      </c>
      <c r="P148" s="7">
        <v>16.816510000000001</v>
      </c>
      <c r="Q148" s="7">
        <v>17.076219999999999</v>
      </c>
      <c r="R148" s="7">
        <v>15.0946</v>
      </c>
      <c r="S148" s="7">
        <v>15.424580000000001</v>
      </c>
      <c r="T148" s="2">
        <v>0</v>
      </c>
      <c r="U148" s="2">
        <v>5.3294000000000001E-2</v>
      </c>
      <c r="V148" s="2">
        <v>5.6863999999999998E-2</v>
      </c>
      <c r="W148" s="2">
        <v>4.1072999999999998E-2</v>
      </c>
      <c r="X148" s="2">
        <v>4.079E-2</v>
      </c>
      <c r="Y148" s="2">
        <v>3.0661000000000001E-2</v>
      </c>
      <c r="Z148" s="2">
        <v>2.7085999999999999E-2</v>
      </c>
      <c r="AA148" s="2">
        <v>7.9047999999999993E-2</v>
      </c>
      <c r="AB148" s="2">
        <v>7.6243000000000005E-2</v>
      </c>
      <c r="AC148" s="2">
        <v>9.5836000000000005E-2</v>
      </c>
      <c r="AD148" s="2">
        <v>7.4947E-2</v>
      </c>
      <c r="AE148" s="2">
        <v>4.4685999999999997E-2</v>
      </c>
      <c r="AF148" s="2">
        <v>4.5511000000000003E-2</v>
      </c>
      <c r="AG148" s="2">
        <v>0.33531699999999998</v>
      </c>
      <c r="AH148" s="2">
        <v>0.39396500000000001</v>
      </c>
      <c r="AI148" s="2">
        <v>0.23500399999999999</v>
      </c>
      <c r="AJ148" s="2">
        <v>0.17572299999999999</v>
      </c>
      <c r="AK148" s="2">
        <v>0.102159</v>
      </c>
      <c r="AL148" s="2">
        <v>9.8584000000000005E-2</v>
      </c>
      <c r="AM148" s="2">
        <v>1.286443</v>
      </c>
      <c r="AN148" s="2">
        <v>1.026349</v>
      </c>
      <c r="AO148" s="2">
        <v>1.1750179999999999</v>
      </c>
      <c r="AP148" s="2">
        <v>1.1298520000000001</v>
      </c>
      <c r="AQ148" s="2">
        <v>0.74013499999999999</v>
      </c>
      <c r="AR148" s="2">
        <v>0.64388800000000002</v>
      </c>
      <c r="AS148" s="2">
        <v>5.0832980000000001</v>
      </c>
      <c r="AT148" s="2">
        <v>5.4555889999999998</v>
      </c>
      <c r="AU148" s="2">
        <v>4.6273819999999999</v>
      </c>
      <c r="AV148" s="2">
        <v>4.819337</v>
      </c>
      <c r="AW148" s="2">
        <v>4.026262</v>
      </c>
      <c r="AX148" s="2">
        <v>4.0125120000000001</v>
      </c>
      <c r="AY148" s="2">
        <v>10.06587</v>
      </c>
      <c r="AZ148" s="2">
        <v>10.573309999999999</v>
      </c>
      <c r="BA148" s="2">
        <v>9.6012699999999995</v>
      </c>
      <c r="BB148" s="2">
        <v>10.4933</v>
      </c>
      <c r="BC148" s="2">
        <v>11.95421</v>
      </c>
      <c r="BD148" s="2">
        <v>10.604010000000001</v>
      </c>
    </row>
    <row r="149" spans="1:56">
      <c r="A149" s="11">
        <v>0.72</v>
      </c>
      <c r="B149" s="7">
        <v>0.33531699999999998</v>
      </c>
      <c r="C149" s="7">
        <v>0.39396500000000001</v>
      </c>
      <c r="D149" s="7">
        <v>0.23500399999999999</v>
      </c>
      <c r="E149" s="7">
        <v>0.17572299999999999</v>
      </c>
      <c r="F149" s="7">
        <v>0.102159</v>
      </c>
      <c r="G149" s="7">
        <v>9.8584000000000005E-2</v>
      </c>
      <c r="H149" s="7">
        <v>21.97663</v>
      </c>
      <c r="I149" s="7">
        <v>23.794730000000001</v>
      </c>
      <c r="J149" s="7">
        <v>19.834160000000001</v>
      </c>
      <c r="K149" s="7">
        <v>19.357089999999999</v>
      </c>
      <c r="L149" s="7">
        <v>16.549289999999999</v>
      </c>
      <c r="M149" s="7">
        <v>17.223020000000002</v>
      </c>
      <c r="N149" s="7">
        <v>25.997879999999999</v>
      </c>
      <c r="O149" s="7">
        <v>25.605180000000001</v>
      </c>
      <c r="P149" s="7">
        <v>24.11927</v>
      </c>
      <c r="Q149" s="7">
        <v>24.268879999999999</v>
      </c>
      <c r="R149" s="7">
        <v>21.735600000000002</v>
      </c>
      <c r="S149" s="7">
        <v>22.071079999999998</v>
      </c>
      <c r="T149" s="2">
        <v>0.1</v>
      </c>
      <c r="U149" s="2">
        <v>6.3492999999999994E-2</v>
      </c>
      <c r="V149" s="2">
        <v>6.4003000000000004E-2</v>
      </c>
      <c r="W149" s="2">
        <v>7.6923000000000005E-2</v>
      </c>
      <c r="X149" s="2">
        <v>7.2970999999999994E-2</v>
      </c>
      <c r="Y149" s="2">
        <v>2.7085999999999999E-2</v>
      </c>
      <c r="Z149" s="2">
        <v>2.4886999999999999E-2</v>
      </c>
      <c r="AA149" s="2">
        <v>9.0268000000000001E-2</v>
      </c>
      <c r="AB149" s="2">
        <v>7.5732999999999995E-2</v>
      </c>
      <c r="AC149" s="2">
        <v>8.1722000000000003E-2</v>
      </c>
      <c r="AD149" s="2">
        <v>8.9908000000000002E-2</v>
      </c>
      <c r="AE149" s="2">
        <v>4.3860999999999997E-2</v>
      </c>
      <c r="AF149" s="2">
        <v>5.1011000000000001E-2</v>
      </c>
      <c r="AG149" s="2">
        <v>0.101742</v>
      </c>
      <c r="AH149" s="2">
        <v>0.34806599999999999</v>
      </c>
      <c r="AI149" s="2">
        <v>0.14890600000000001</v>
      </c>
      <c r="AJ149" s="2">
        <v>0.13394500000000001</v>
      </c>
      <c r="AK149" s="2">
        <v>9.0608999999999995E-2</v>
      </c>
      <c r="AL149" s="2">
        <v>8.7308999999999998E-2</v>
      </c>
      <c r="AM149" s="2">
        <v>1.0620480000000001</v>
      </c>
      <c r="AN149" s="2">
        <v>1.1206970000000001</v>
      </c>
      <c r="AO149" s="2">
        <v>0.99153100000000005</v>
      </c>
      <c r="AP149" s="2">
        <v>0.84192</v>
      </c>
      <c r="AQ149" s="2">
        <v>0.62463900000000006</v>
      </c>
      <c r="AR149" s="2">
        <v>0.85563</v>
      </c>
      <c r="AS149" s="2">
        <v>5.2413939999999997</v>
      </c>
      <c r="AT149" s="2">
        <v>5.1776460000000002</v>
      </c>
      <c r="AU149" s="2">
        <v>4.8475650000000003</v>
      </c>
      <c r="AV149" s="2">
        <v>5.124206</v>
      </c>
      <c r="AW149" s="2">
        <v>4.6312389999999999</v>
      </c>
      <c r="AX149" s="2">
        <v>4.7632339999999997</v>
      </c>
      <c r="AY149" s="2">
        <v>10.34892</v>
      </c>
      <c r="AZ149" s="2">
        <v>11.1394</v>
      </c>
      <c r="BA149" s="2">
        <v>11.645020000000001</v>
      </c>
      <c r="BB149" s="2">
        <v>12.42131</v>
      </c>
      <c r="BC149" s="2">
        <v>11.14024</v>
      </c>
      <c r="BD149" s="2">
        <v>11.0715</v>
      </c>
    </row>
    <row r="150" spans="1:56">
      <c r="A150" s="11">
        <v>1.89</v>
      </c>
      <c r="B150" s="7">
        <v>1.286443</v>
      </c>
      <c r="C150" s="7">
        <v>1.026349</v>
      </c>
      <c r="D150" s="7">
        <v>1.1750179999999999</v>
      </c>
      <c r="E150" s="7">
        <v>1.1298520000000001</v>
      </c>
      <c r="F150" s="7">
        <v>0.74013499999999999</v>
      </c>
      <c r="G150" s="7">
        <v>0.64388800000000002</v>
      </c>
      <c r="H150" s="7">
        <v>27.97663</v>
      </c>
      <c r="I150" s="7">
        <v>27.721630000000001</v>
      </c>
      <c r="J150" s="7">
        <v>24.11927</v>
      </c>
      <c r="K150" s="7">
        <v>24.491879999999998</v>
      </c>
      <c r="L150" s="7">
        <v>24.867730000000002</v>
      </c>
      <c r="M150" s="7">
        <v>23.24804</v>
      </c>
      <c r="N150" s="7">
        <v>28.667660000000001</v>
      </c>
      <c r="O150" s="7">
        <v>28.580960000000001</v>
      </c>
      <c r="P150" s="7">
        <v>28.61891</v>
      </c>
      <c r="Q150" s="7">
        <v>29.685960000000001</v>
      </c>
      <c r="R150" s="7">
        <v>26.435169999999999</v>
      </c>
      <c r="S150" s="7">
        <v>26.435169999999999</v>
      </c>
      <c r="T150" s="2">
        <v>1</v>
      </c>
      <c r="U150" s="2">
        <v>7.3182999999999998E-2</v>
      </c>
      <c r="V150" s="2">
        <v>6.7827999999999999E-2</v>
      </c>
      <c r="W150" s="10" t="s">
        <v>1999</v>
      </c>
      <c r="X150" s="10" t="s">
        <v>2000</v>
      </c>
      <c r="Y150" s="2">
        <v>2.3786999999999999E-2</v>
      </c>
      <c r="Z150" s="2">
        <v>1.8837E-2</v>
      </c>
      <c r="AA150" s="2">
        <v>9.4348000000000001E-2</v>
      </c>
      <c r="AB150" s="2">
        <v>9.0268000000000001E-2</v>
      </c>
      <c r="AC150" s="2">
        <v>9.7248000000000001E-2</v>
      </c>
      <c r="AD150" s="2">
        <v>0.10007099999999999</v>
      </c>
      <c r="AE150" s="2">
        <v>3.9736E-2</v>
      </c>
      <c r="AF150" s="2">
        <v>4.1936000000000001E-2</v>
      </c>
      <c r="AG150" s="10" t="s">
        <v>2001</v>
      </c>
      <c r="AH150" s="10" t="s">
        <v>2002</v>
      </c>
      <c r="AI150" s="2">
        <v>0.19830600000000001</v>
      </c>
      <c r="AJ150" s="2">
        <v>0.16669</v>
      </c>
      <c r="AK150" s="2">
        <v>0.14588200000000001</v>
      </c>
      <c r="AL150" s="2">
        <v>0.14588200000000001</v>
      </c>
      <c r="AM150" s="2">
        <v>3.6247340000000001</v>
      </c>
      <c r="AN150" s="2">
        <v>4.1806200000000002</v>
      </c>
      <c r="AO150" s="2">
        <v>2.453776</v>
      </c>
      <c r="AP150" s="2">
        <v>2.594919</v>
      </c>
      <c r="AQ150" s="2">
        <v>2.2773270000000001</v>
      </c>
      <c r="AR150" s="2">
        <v>2.348824</v>
      </c>
      <c r="AS150" s="2">
        <v>12.43731</v>
      </c>
      <c r="AT150" s="2">
        <v>11.91713</v>
      </c>
      <c r="AU150" s="2">
        <v>11.36556</v>
      </c>
      <c r="AV150" s="2">
        <v>11.433310000000001</v>
      </c>
      <c r="AW150" s="2">
        <v>9.3473120000000005</v>
      </c>
      <c r="AX150" s="2">
        <v>9.2345659999999992</v>
      </c>
      <c r="AY150" s="2">
        <v>18.014019999999999</v>
      </c>
      <c r="AZ150" s="2">
        <v>17.366340000000001</v>
      </c>
      <c r="BA150" s="2">
        <v>17.022580000000001</v>
      </c>
      <c r="BB150" s="2">
        <v>16.661259999999999</v>
      </c>
      <c r="BC150" s="2">
        <v>16.14781</v>
      </c>
      <c r="BD150" s="2">
        <v>15.66108</v>
      </c>
    </row>
    <row r="151" spans="1:56">
      <c r="A151" s="11">
        <v>4.62</v>
      </c>
      <c r="B151" s="7">
        <v>5.0832980000000001</v>
      </c>
      <c r="C151" s="7">
        <v>5.4555889999999998</v>
      </c>
      <c r="D151" s="7">
        <v>4.6273819999999999</v>
      </c>
      <c r="E151" s="7">
        <v>4.819337</v>
      </c>
      <c r="F151" s="7">
        <v>4.026262</v>
      </c>
      <c r="G151" s="7">
        <v>4.0125120000000001</v>
      </c>
      <c r="H151" s="7">
        <v>31.513390000000001</v>
      </c>
      <c r="I151" s="7">
        <v>29.465789999999998</v>
      </c>
      <c r="J151" s="7">
        <v>31.554690000000001</v>
      </c>
      <c r="K151" s="7">
        <v>31.749469999999999</v>
      </c>
      <c r="L151" s="7">
        <v>28.189609999999998</v>
      </c>
      <c r="M151" s="7">
        <v>27.592880000000001</v>
      </c>
      <c r="N151" s="120" t="s">
        <v>1712</v>
      </c>
      <c r="O151" s="120" t="s">
        <v>1713</v>
      </c>
      <c r="P151" s="120" t="s">
        <v>1714</v>
      </c>
      <c r="Q151" s="120" t="s">
        <v>1715</v>
      </c>
      <c r="R151" s="120" t="s">
        <v>1716</v>
      </c>
      <c r="S151" s="120" t="s">
        <v>1717</v>
      </c>
      <c r="T151" s="2">
        <v>10</v>
      </c>
      <c r="U151" s="2">
        <v>7.3182999999999998E-2</v>
      </c>
      <c r="V151" s="2">
        <v>7.3948E-2</v>
      </c>
      <c r="W151" s="10" t="s">
        <v>2003</v>
      </c>
      <c r="X151" s="10" t="s">
        <v>2004</v>
      </c>
      <c r="Y151" s="2">
        <v>1.9937E-2</v>
      </c>
      <c r="Z151" s="2">
        <v>2.4337000000000001E-2</v>
      </c>
      <c r="AA151" s="2">
        <v>0.98045000000000004</v>
      </c>
      <c r="AB151" s="2">
        <v>0.99319999999999997</v>
      </c>
      <c r="AC151" s="2">
        <v>0.80239899999999997</v>
      </c>
      <c r="AD151" s="2">
        <v>0.76005599999999995</v>
      </c>
      <c r="AE151" s="2">
        <v>0.43764599999999998</v>
      </c>
      <c r="AF151" s="2">
        <v>0.434896</v>
      </c>
      <c r="AG151" s="2">
        <v>13.18445</v>
      </c>
      <c r="AH151" s="2">
        <v>12.707610000000001</v>
      </c>
      <c r="AI151" s="2">
        <v>6.3013409999999999</v>
      </c>
      <c r="AJ151" s="2">
        <v>6.1093859999999998</v>
      </c>
      <c r="AK151" s="2">
        <v>4.3122509999999998</v>
      </c>
      <c r="AL151" s="2">
        <v>4.1142580000000004</v>
      </c>
      <c r="AM151" s="2">
        <v>18.518910000000002</v>
      </c>
      <c r="AN151" s="2">
        <v>19.033999999999999</v>
      </c>
      <c r="AO151" s="2">
        <v>16.610440000000001</v>
      </c>
      <c r="AP151" s="2">
        <v>16.062809999999999</v>
      </c>
      <c r="AQ151" s="2">
        <v>12.3667</v>
      </c>
      <c r="AR151" s="2">
        <v>13.067920000000001</v>
      </c>
      <c r="AS151" s="2">
        <v>24.98555</v>
      </c>
      <c r="AT151" s="2">
        <v>24.98555</v>
      </c>
      <c r="AU151" s="2">
        <v>25.56175</v>
      </c>
      <c r="AV151" s="2">
        <v>25.095980000000001</v>
      </c>
      <c r="AW151" s="2">
        <v>19.40643</v>
      </c>
      <c r="AX151" s="2">
        <v>20.258900000000001</v>
      </c>
      <c r="AY151" s="2">
        <v>26.722059999999999</v>
      </c>
      <c r="AZ151" s="2">
        <v>26.558859999999999</v>
      </c>
      <c r="BA151" s="2">
        <v>29.146789999999999</v>
      </c>
      <c r="BB151" s="2">
        <v>27.337330000000001</v>
      </c>
      <c r="BC151" s="2">
        <v>22.618310000000001</v>
      </c>
      <c r="BD151" s="2">
        <v>23.462530000000001</v>
      </c>
    </row>
    <row r="152" spans="1:56">
      <c r="A152" s="11">
        <v>7.36</v>
      </c>
      <c r="B152" s="7">
        <v>10.06587</v>
      </c>
      <c r="C152" s="7">
        <v>10.573309999999999</v>
      </c>
      <c r="D152" s="7">
        <v>9.6012699999999995</v>
      </c>
      <c r="E152" s="7">
        <v>10.4933</v>
      </c>
      <c r="F152" s="7">
        <v>11.95421</v>
      </c>
      <c r="G152" s="7">
        <v>10.604010000000001</v>
      </c>
      <c r="H152" s="7">
        <v>32.490009999999998</v>
      </c>
      <c r="I152" s="7">
        <v>34.642159999999997</v>
      </c>
      <c r="J152" s="7">
        <v>42.688070000000003</v>
      </c>
      <c r="K152" s="7">
        <v>42.817929999999997</v>
      </c>
      <c r="L152" s="7">
        <v>38.496220000000001</v>
      </c>
      <c r="M152" s="7">
        <v>35.342089999999999</v>
      </c>
      <c r="N152" s="120" t="s">
        <v>1718</v>
      </c>
      <c r="O152" s="120" t="s">
        <v>1719</v>
      </c>
      <c r="P152" s="120" t="s">
        <v>1720</v>
      </c>
      <c r="Q152" s="120" t="s">
        <v>1721</v>
      </c>
      <c r="R152" s="120" t="s">
        <v>1722</v>
      </c>
      <c r="S152" s="120" t="s">
        <v>1723</v>
      </c>
      <c r="T152" s="2">
        <v>50</v>
      </c>
      <c r="U152" s="2">
        <v>7.3692999999999995E-2</v>
      </c>
      <c r="V152" s="2">
        <v>7.5478000000000003E-2</v>
      </c>
      <c r="W152" s="10" t="s">
        <v>2005</v>
      </c>
      <c r="X152" s="10" t="s">
        <v>2006</v>
      </c>
      <c r="Y152" s="2">
        <v>2.5711999999999999E-2</v>
      </c>
      <c r="Z152" s="2">
        <v>2.2137E-2</v>
      </c>
      <c r="AA152" s="2">
        <v>7.9213769999999997</v>
      </c>
      <c r="AB152" s="2">
        <v>8.2962179999999996</v>
      </c>
      <c r="AC152" s="2">
        <v>8.336627</v>
      </c>
      <c r="AD152" s="2">
        <v>7.6026819999999997</v>
      </c>
      <c r="AE152" s="2">
        <v>5.8631929999999999</v>
      </c>
      <c r="AF152" s="2">
        <v>6.1821809999999999</v>
      </c>
      <c r="AG152" s="2">
        <v>22.11177</v>
      </c>
      <c r="AH152" s="2">
        <v>22.519760000000002</v>
      </c>
      <c r="AI152" s="2">
        <v>17.553280000000001</v>
      </c>
      <c r="AJ152" s="2">
        <v>16.971769999999999</v>
      </c>
      <c r="AK152" s="2">
        <v>12.98818</v>
      </c>
      <c r="AL152" s="2">
        <v>13.516159999999999</v>
      </c>
      <c r="AM152" s="2">
        <v>26.722059999999999</v>
      </c>
      <c r="AN152" s="2">
        <v>25.760729999999999</v>
      </c>
      <c r="AO152" s="2">
        <v>26.43402</v>
      </c>
      <c r="AP152" s="2">
        <v>25.796050000000001</v>
      </c>
      <c r="AQ152" s="2">
        <v>20.011410000000001</v>
      </c>
      <c r="AR152" s="2">
        <v>20.319400000000002</v>
      </c>
      <c r="AS152" s="2">
        <v>29.465789999999998</v>
      </c>
      <c r="AT152" s="2">
        <v>30.381219999999999</v>
      </c>
      <c r="AU152" s="2">
        <v>30.984470000000002</v>
      </c>
      <c r="AV152" s="2">
        <v>31.077629999999999</v>
      </c>
      <c r="AW152" s="2">
        <v>26.113430000000001</v>
      </c>
      <c r="AX152" s="2">
        <v>26.84216</v>
      </c>
      <c r="AY152" s="2">
        <v>31.997879999999999</v>
      </c>
      <c r="AZ152" s="2">
        <v>31.707180000000001</v>
      </c>
      <c r="BA152" s="2">
        <v>35.763590000000001</v>
      </c>
      <c r="BB152" s="2">
        <v>34.688070000000003</v>
      </c>
      <c r="BC152" s="2">
        <v>31.659980000000001</v>
      </c>
      <c r="BD152" s="2">
        <v>31.085249999999998</v>
      </c>
    </row>
    <row r="153" spans="1:56">
      <c r="T153" s="2">
        <v>100</v>
      </c>
      <c r="U153" s="2">
        <v>7.4457999999999996E-2</v>
      </c>
      <c r="V153" s="2">
        <v>7.1398000000000003E-2</v>
      </c>
      <c r="W153" s="10" t="s">
        <v>2003</v>
      </c>
      <c r="X153" s="10" t="s">
        <v>2007</v>
      </c>
      <c r="Y153" s="2">
        <v>3.0386E-2</v>
      </c>
      <c r="Z153" s="2">
        <v>2.9010999999999999E-2</v>
      </c>
      <c r="AA153" s="2">
        <v>12.026770000000001</v>
      </c>
      <c r="AB153" s="2">
        <v>12.32512</v>
      </c>
      <c r="AC153" s="2">
        <v>11.08892</v>
      </c>
      <c r="AD153" s="2">
        <v>11.05505</v>
      </c>
      <c r="AE153" s="2">
        <v>8.5745909999999999</v>
      </c>
      <c r="AF153" s="2">
        <v>9.1768180000000008</v>
      </c>
      <c r="AG153" s="2">
        <v>21.97663</v>
      </c>
      <c r="AH153" s="2">
        <v>23.794730000000001</v>
      </c>
      <c r="AI153" s="2">
        <v>19.834160000000001</v>
      </c>
      <c r="AJ153" s="2">
        <v>19.357089999999999</v>
      </c>
      <c r="AK153" s="2">
        <v>16.549289999999999</v>
      </c>
      <c r="AL153" s="2">
        <v>17.223020000000002</v>
      </c>
      <c r="AM153" s="2">
        <v>27.97663</v>
      </c>
      <c r="AN153" s="2">
        <v>27.721630000000001</v>
      </c>
      <c r="AO153" s="2">
        <v>24.11927</v>
      </c>
      <c r="AP153" s="2">
        <v>24.491879999999998</v>
      </c>
      <c r="AQ153" s="2">
        <v>24.867730000000002</v>
      </c>
      <c r="AR153" s="2">
        <v>23.24804</v>
      </c>
      <c r="AS153" s="2">
        <v>31.513390000000001</v>
      </c>
      <c r="AT153" s="2">
        <v>29.465789999999998</v>
      </c>
      <c r="AU153" s="2">
        <v>31.554690000000001</v>
      </c>
      <c r="AV153" s="2">
        <v>31.749469999999999</v>
      </c>
      <c r="AW153" s="2">
        <v>28.189609999999998</v>
      </c>
      <c r="AX153" s="2">
        <v>27.592880000000001</v>
      </c>
      <c r="AY153" s="2">
        <v>32.490009999999998</v>
      </c>
      <c r="AZ153" s="2">
        <v>34.642159999999997</v>
      </c>
      <c r="BA153" s="2">
        <v>42.688070000000003</v>
      </c>
      <c r="BB153" s="2">
        <v>42.817929999999997</v>
      </c>
      <c r="BC153" s="2">
        <v>38.496220000000001</v>
      </c>
      <c r="BD153" s="2">
        <v>35.342089999999999</v>
      </c>
    </row>
    <row r="154" spans="1:56">
      <c r="T154" s="2">
        <v>500</v>
      </c>
      <c r="U154" s="2">
        <v>6.5532999999999994E-2</v>
      </c>
      <c r="V154" s="2">
        <v>7.6243000000000005E-2</v>
      </c>
      <c r="W154" s="2">
        <v>7.5511999999999996E-2</v>
      </c>
      <c r="X154" s="2">
        <v>7.8617000000000006E-2</v>
      </c>
      <c r="Y154" s="2">
        <v>3.8086000000000002E-2</v>
      </c>
      <c r="Z154" s="2">
        <v>2.8736000000000001E-2</v>
      </c>
      <c r="AA154" s="2">
        <v>15.60178</v>
      </c>
      <c r="AB154" s="2">
        <v>17.101150000000001</v>
      </c>
      <c r="AC154" s="2">
        <v>15.29499</v>
      </c>
      <c r="AD154" s="2">
        <v>15.868029999999999</v>
      </c>
      <c r="AE154" s="2">
        <v>15.23484</v>
      </c>
      <c r="AF154" s="2">
        <v>15.424580000000001</v>
      </c>
      <c r="AG154" s="2">
        <v>25.294090000000001</v>
      </c>
      <c r="AH154" s="2">
        <v>25.215039999999998</v>
      </c>
      <c r="AI154" s="2">
        <v>23.17925</v>
      </c>
      <c r="AJ154" s="2">
        <v>23.10868</v>
      </c>
      <c r="AK154" s="2">
        <v>21.86759</v>
      </c>
      <c r="AL154" s="2">
        <v>22.071079999999998</v>
      </c>
      <c r="AM154" s="2">
        <v>27.38504</v>
      </c>
      <c r="AN154" s="2">
        <v>28.31832</v>
      </c>
      <c r="AO154" s="2">
        <v>27.42202</v>
      </c>
      <c r="AP154" s="2">
        <v>27.588570000000001</v>
      </c>
      <c r="AQ154" s="2">
        <v>26.435169999999999</v>
      </c>
      <c r="AR154" s="2">
        <v>26.435169999999999</v>
      </c>
      <c r="AS154" s="10" t="s">
        <v>2008</v>
      </c>
      <c r="AT154" s="10" t="s">
        <v>2009</v>
      </c>
      <c r="AU154" s="10" t="s">
        <v>2010</v>
      </c>
      <c r="AV154" s="10" t="s">
        <v>2011</v>
      </c>
      <c r="AW154" s="10" t="s">
        <v>2012</v>
      </c>
      <c r="AX154" s="10" t="s">
        <v>2013</v>
      </c>
      <c r="AY154" s="10" t="s">
        <v>2014</v>
      </c>
      <c r="AZ154" s="10" t="s">
        <v>2015</v>
      </c>
      <c r="BA154" s="10" t="s">
        <v>2016</v>
      </c>
      <c r="BB154" s="10" t="s">
        <v>2017</v>
      </c>
      <c r="BC154" s="10" t="s">
        <v>2018</v>
      </c>
      <c r="BD154" s="10" t="s">
        <v>2019</v>
      </c>
    </row>
    <row r="155" spans="1:56">
      <c r="T155" s="2">
        <v>1000</v>
      </c>
      <c r="U155" s="10" t="s">
        <v>2020</v>
      </c>
      <c r="V155" s="10" t="s">
        <v>2021</v>
      </c>
      <c r="W155" s="2">
        <v>7.9181000000000001E-2</v>
      </c>
      <c r="X155" s="2">
        <v>8.0875000000000002E-2</v>
      </c>
      <c r="Y155" s="2">
        <v>3.9736E-2</v>
      </c>
      <c r="Z155" s="2">
        <v>2.9836000000000001E-2</v>
      </c>
      <c r="AA155" s="2">
        <v>17.366340000000001</v>
      </c>
      <c r="AB155" s="2">
        <v>18.860600000000002</v>
      </c>
      <c r="AC155" s="2">
        <v>16.816510000000001</v>
      </c>
      <c r="AD155" s="2">
        <v>17.076219999999999</v>
      </c>
      <c r="AE155" s="2">
        <v>15.0946</v>
      </c>
      <c r="AF155" s="2">
        <v>15.424580000000001</v>
      </c>
      <c r="AG155" s="2">
        <v>25.997879999999999</v>
      </c>
      <c r="AH155" s="2">
        <v>25.605180000000001</v>
      </c>
      <c r="AI155" s="2">
        <v>24.11927</v>
      </c>
      <c r="AJ155" s="2">
        <v>24.268879999999999</v>
      </c>
      <c r="AK155" s="2">
        <v>21.735600000000002</v>
      </c>
      <c r="AL155" s="2">
        <v>22.071079999999998</v>
      </c>
      <c r="AM155" s="2">
        <v>28.667660000000001</v>
      </c>
      <c r="AN155" s="2">
        <v>28.580960000000001</v>
      </c>
      <c r="AO155" s="2">
        <v>28.61891</v>
      </c>
      <c r="AP155" s="2">
        <v>29.685960000000001</v>
      </c>
      <c r="AQ155" s="2">
        <v>26.435169999999999</v>
      </c>
      <c r="AR155" s="2">
        <v>26.435169999999999</v>
      </c>
      <c r="AS155" s="10" t="s">
        <v>1712</v>
      </c>
      <c r="AT155" s="10" t="s">
        <v>1713</v>
      </c>
      <c r="AU155" s="10" t="s">
        <v>1714</v>
      </c>
      <c r="AV155" s="10" t="s">
        <v>1715</v>
      </c>
      <c r="AW155" s="10" t="s">
        <v>1716</v>
      </c>
      <c r="AX155" s="10" t="s">
        <v>1717</v>
      </c>
      <c r="AY155" s="10" t="s">
        <v>1718</v>
      </c>
      <c r="AZ155" s="10" t="s">
        <v>1719</v>
      </c>
      <c r="BA155" s="10" t="s">
        <v>1720</v>
      </c>
      <c r="BB155" s="10" t="s">
        <v>1721</v>
      </c>
      <c r="BC155" s="10" t="s">
        <v>1722</v>
      </c>
      <c r="BD155" s="10" t="s">
        <v>1723</v>
      </c>
    </row>
    <row r="156" spans="1:56">
      <c r="O156" s="230" t="s">
        <v>2125</v>
      </c>
      <c r="P156" s="230"/>
      <c r="Q156" s="230"/>
      <c r="R156" s="230"/>
      <c r="S156" s="230"/>
      <c r="T156" s="230"/>
      <c r="U156" s="230" t="s">
        <v>2126</v>
      </c>
      <c r="V156" s="230"/>
      <c r="W156" s="230"/>
      <c r="X156" s="230"/>
      <c r="Y156" s="230"/>
      <c r="Z156" s="230"/>
      <c r="AA156" s="230" t="s">
        <v>2127</v>
      </c>
      <c r="AB156" s="230"/>
      <c r="AC156" s="230"/>
      <c r="AD156" s="230"/>
      <c r="AE156" s="230"/>
      <c r="AF156" s="230"/>
      <c r="AG156" s="230" t="s">
        <v>2128</v>
      </c>
      <c r="AH156" s="230"/>
      <c r="AI156" s="230"/>
      <c r="AJ156" s="230"/>
      <c r="AK156" s="230"/>
      <c r="AL156" s="230"/>
      <c r="AM156" s="230" t="s">
        <v>2129</v>
      </c>
      <c r="AN156" s="230"/>
      <c r="AO156" s="230"/>
      <c r="AP156" s="230"/>
      <c r="AQ156" s="230"/>
      <c r="AR156" s="230"/>
      <c r="AS156" s="230" t="s">
        <v>2130</v>
      </c>
      <c r="AT156" s="230"/>
      <c r="AU156" s="230"/>
      <c r="AV156" s="230"/>
      <c r="AW156" s="230"/>
      <c r="AX156" s="230"/>
    </row>
    <row r="157" spans="1:56" ht="15">
      <c r="A157" s="68" t="s">
        <v>3412</v>
      </c>
      <c r="B157" s="244" t="s">
        <v>2099</v>
      </c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5" t="s">
        <v>784</v>
      </c>
      <c r="O157" s="218">
        <v>1.37E-2</v>
      </c>
      <c r="P157" s="218"/>
      <c r="Q157" s="218">
        <v>1.4400000000000001E-3</v>
      </c>
      <c r="R157" s="218"/>
      <c r="S157" s="218">
        <v>5.9500000000000004E-3</v>
      </c>
      <c r="T157" s="218"/>
      <c r="U157" s="218">
        <v>0.16</v>
      </c>
      <c r="V157" s="218"/>
      <c r="W157" s="218">
        <v>0.124</v>
      </c>
      <c r="X157" s="218"/>
      <c r="Y157" s="218">
        <v>0.17199999999999999</v>
      </c>
      <c r="Z157" s="218"/>
      <c r="AA157" s="218">
        <v>0.51700000000000002</v>
      </c>
      <c r="AB157" s="218"/>
      <c r="AC157" s="218">
        <v>0.41499999999999998</v>
      </c>
      <c r="AD157" s="218"/>
      <c r="AE157" s="218">
        <v>0.52700000000000002</v>
      </c>
      <c r="AF157" s="218"/>
      <c r="AG157" s="218">
        <v>1.889</v>
      </c>
      <c r="AH157" s="218"/>
      <c r="AI157" s="218">
        <v>1.7949999999999999</v>
      </c>
      <c r="AJ157" s="218"/>
      <c r="AK157" s="218">
        <v>2.0790000000000002</v>
      </c>
      <c r="AL157" s="218"/>
      <c r="AM157" s="218">
        <v>4.5620000000000003</v>
      </c>
      <c r="AN157" s="218"/>
      <c r="AO157" s="218">
        <v>4.8730000000000002</v>
      </c>
      <c r="AP157" s="218"/>
      <c r="AQ157" s="218">
        <v>5.5880000000000001</v>
      </c>
      <c r="AR157" s="218"/>
      <c r="AS157" s="218">
        <v>7.4390000000000001</v>
      </c>
      <c r="AT157" s="218"/>
      <c r="AU157" s="218">
        <v>8.8109999999999999</v>
      </c>
      <c r="AV157" s="218"/>
      <c r="AW157" s="218">
        <v>10.119</v>
      </c>
      <c r="AX157" s="218"/>
    </row>
    <row r="158" spans="1:56">
      <c r="A158" s="4" t="s">
        <v>1725</v>
      </c>
      <c r="B158" s="258">
        <v>0</v>
      </c>
      <c r="C158" s="258"/>
      <c r="D158" s="258"/>
      <c r="E158" s="258"/>
      <c r="F158" s="258"/>
      <c r="G158" s="258"/>
      <c r="H158" s="260">
        <v>1</v>
      </c>
      <c r="I158" s="260"/>
      <c r="J158" s="260"/>
      <c r="K158" s="260"/>
      <c r="L158" s="260"/>
      <c r="M158" s="260"/>
      <c r="N158" s="7">
        <v>0</v>
      </c>
      <c r="O158" s="7">
        <v>0.118157</v>
      </c>
      <c r="P158" s="7">
        <v>0.126275</v>
      </c>
      <c r="Q158" s="7">
        <v>8.3454E-2</v>
      </c>
      <c r="R158" s="7">
        <v>2.6080000000000001E-3</v>
      </c>
      <c r="S158" s="7">
        <v>0.119944</v>
      </c>
      <c r="T158" s="120" t="s">
        <v>1726</v>
      </c>
      <c r="U158" s="7">
        <v>0.122984</v>
      </c>
      <c r="V158" s="7">
        <v>0.12737200000000001</v>
      </c>
      <c r="W158" s="7">
        <v>8.8959999999999997E-2</v>
      </c>
      <c r="X158" s="7">
        <v>7.7368999999999993E-2</v>
      </c>
      <c r="Y158" s="7">
        <v>0.113991</v>
      </c>
      <c r="Z158" s="7">
        <v>0.12554699999999999</v>
      </c>
      <c r="AA158" s="7">
        <v>0.12912799999999999</v>
      </c>
      <c r="AB158" s="7">
        <v>0.12978600000000001</v>
      </c>
      <c r="AC158" s="7">
        <v>8.6929999999999993E-3</v>
      </c>
      <c r="AD158" s="7">
        <v>9.1856999999999994E-2</v>
      </c>
      <c r="AE158" s="120" t="s">
        <v>1727</v>
      </c>
      <c r="AF158" s="7">
        <v>0.107337</v>
      </c>
      <c r="AG158" s="7">
        <v>0.130883</v>
      </c>
      <c r="AH158" s="7">
        <v>0.13417399999999999</v>
      </c>
      <c r="AI158" s="7">
        <v>9.1277999999999998E-2</v>
      </c>
      <c r="AJ158" s="7">
        <v>1.5068E-2</v>
      </c>
      <c r="AK158" s="7">
        <v>0.119244</v>
      </c>
      <c r="AL158" s="120" t="s">
        <v>1728</v>
      </c>
      <c r="AM158" s="7">
        <v>0.14734</v>
      </c>
      <c r="AN158" s="7">
        <v>0.15370300000000001</v>
      </c>
      <c r="AO158" s="7">
        <v>9.6493999999999996E-2</v>
      </c>
      <c r="AP158" s="7">
        <v>0.107795</v>
      </c>
      <c r="AQ158" s="7">
        <v>0.172124</v>
      </c>
      <c r="AR158" s="7">
        <v>0.14130599999999999</v>
      </c>
      <c r="AS158" s="7">
        <v>0.21448200000000001</v>
      </c>
      <c r="AT158" s="7">
        <v>0.201317</v>
      </c>
      <c r="AU158" s="7">
        <v>0.19878299999999999</v>
      </c>
      <c r="AV158" s="7">
        <v>0.135323</v>
      </c>
      <c r="AW158" s="120" t="s">
        <v>1729</v>
      </c>
      <c r="AX158" s="7">
        <v>0.18893399999999999</v>
      </c>
    </row>
    <row r="159" spans="1:56">
      <c r="A159" s="4">
        <v>0</v>
      </c>
      <c r="B159" s="7">
        <v>0.118157</v>
      </c>
      <c r="C159" s="7">
        <v>0.126275</v>
      </c>
      <c r="D159" s="7">
        <v>8.3454E-2</v>
      </c>
      <c r="E159" s="7">
        <v>2.6080000000000001E-3</v>
      </c>
      <c r="F159" s="7">
        <v>0.119944</v>
      </c>
      <c r="G159" s="120" t="s">
        <v>1726</v>
      </c>
      <c r="H159" s="7">
        <v>0.14558399999999999</v>
      </c>
      <c r="I159" s="7">
        <v>0.12693399999999999</v>
      </c>
      <c r="J159" s="7">
        <v>9.7943000000000002E-2</v>
      </c>
      <c r="K159" s="7">
        <v>5.2160000000000002E-3</v>
      </c>
      <c r="L159" s="7">
        <v>0.13220100000000001</v>
      </c>
      <c r="M159" s="120" t="s">
        <v>1730</v>
      </c>
      <c r="N159" s="7">
        <v>1</v>
      </c>
      <c r="O159" s="7">
        <v>0.11398800000000001</v>
      </c>
      <c r="P159" s="7">
        <v>0.121448</v>
      </c>
      <c r="Q159" s="7">
        <v>9.0119000000000005E-2</v>
      </c>
      <c r="R159" s="7">
        <v>1.0142E-2</v>
      </c>
      <c r="S159" s="7">
        <v>0.12099500000000001</v>
      </c>
      <c r="T159" s="120" t="s">
        <v>1731</v>
      </c>
      <c r="U159" s="7">
        <v>0.13197999999999999</v>
      </c>
      <c r="V159" s="7">
        <v>0.13658799999999999</v>
      </c>
      <c r="W159" s="7">
        <v>9.0119000000000005E-2</v>
      </c>
      <c r="X159" s="7">
        <v>8.4903000000000006E-2</v>
      </c>
      <c r="Y159" s="7">
        <v>0.134302</v>
      </c>
      <c r="Z159" s="7">
        <v>0.139905</v>
      </c>
      <c r="AA159" s="7">
        <v>0.19253999999999999</v>
      </c>
      <c r="AB159" s="7">
        <v>0.19034599999999999</v>
      </c>
      <c r="AC159" s="7">
        <v>4.8971000000000001E-2</v>
      </c>
      <c r="AD159" s="7">
        <v>0.108954</v>
      </c>
      <c r="AE159" s="120" t="s">
        <v>1732</v>
      </c>
      <c r="AF159" s="7">
        <v>0.17807700000000001</v>
      </c>
      <c r="AG159" s="7">
        <v>1.2896319999999999</v>
      </c>
      <c r="AH159" s="7">
        <v>1.272079</v>
      </c>
      <c r="AI159" s="7">
        <v>0.61025799999999997</v>
      </c>
      <c r="AJ159" s="7">
        <v>1.6968989999999999</v>
      </c>
      <c r="AK159" s="7">
        <v>1.7126600000000001</v>
      </c>
      <c r="AL159" s="120" t="s">
        <v>1733</v>
      </c>
      <c r="AM159" s="7">
        <v>7.0164559999999998</v>
      </c>
      <c r="AN159" s="7">
        <v>6.2243550000000001</v>
      </c>
      <c r="AO159" s="7">
        <v>4.4931900000000002</v>
      </c>
      <c r="AP159" s="7">
        <v>4.5076790000000004</v>
      </c>
      <c r="AQ159" s="7">
        <v>9.8723519999999994</v>
      </c>
      <c r="AR159" s="7">
        <v>8.5696030000000007</v>
      </c>
      <c r="AS159" s="7">
        <v>13.559519999999999</v>
      </c>
      <c r="AT159" s="7">
        <v>12.71476</v>
      </c>
      <c r="AU159" s="7">
        <v>11.01014</v>
      </c>
      <c r="AV159" s="7">
        <v>11.673719999999999</v>
      </c>
      <c r="AW159" s="120" t="s">
        <v>1734</v>
      </c>
      <c r="AX159" s="7">
        <v>16.939419999999998</v>
      </c>
    </row>
    <row r="160" spans="1:56">
      <c r="A160" s="4">
        <v>0.15</v>
      </c>
      <c r="B160" s="7">
        <v>0.122984</v>
      </c>
      <c r="C160" s="7">
        <v>0.12737200000000001</v>
      </c>
      <c r="D160" s="7">
        <v>8.8959999999999997E-2</v>
      </c>
      <c r="E160" s="7">
        <v>7.7368999999999993E-2</v>
      </c>
      <c r="F160" s="7">
        <v>0.113991</v>
      </c>
      <c r="G160" s="7">
        <v>0.12554699999999999</v>
      </c>
      <c r="H160" s="7">
        <v>19.211739999999999</v>
      </c>
      <c r="I160" s="7">
        <v>19.036200000000001</v>
      </c>
      <c r="J160" s="7">
        <v>18.21095</v>
      </c>
      <c r="K160" s="7">
        <v>17.286580000000001</v>
      </c>
      <c r="L160" s="7">
        <v>27.886710000000001</v>
      </c>
      <c r="M160" s="7">
        <v>25.288219999999999</v>
      </c>
      <c r="N160" s="7">
        <v>5</v>
      </c>
      <c r="O160" s="7">
        <v>0.119254</v>
      </c>
      <c r="P160" s="7">
        <v>0.12847</v>
      </c>
      <c r="Q160" s="7">
        <v>9.9681000000000006E-2</v>
      </c>
      <c r="R160" s="7">
        <v>5.5059999999999996E-3</v>
      </c>
      <c r="S160" s="7">
        <v>0.123096</v>
      </c>
      <c r="T160" s="120" t="s">
        <v>1735</v>
      </c>
      <c r="U160" s="7">
        <v>0.26933600000000002</v>
      </c>
      <c r="V160" s="7">
        <v>0.33296799999999999</v>
      </c>
      <c r="W160" s="7">
        <v>0.168937</v>
      </c>
      <c r="X160" s="7">
        <v>0.14169799999999999</v>
      </c>
      <c r="Y160" s="7">
        <v>0.51847299999999996</v>
      </c>
      <c r="Z160" s="7">
        <v>0.61653000000000002</v>
      </c>
      <c r="AA160" s="7">
        <v>2.395502</v>
      </c>
      <c r="AB160" s="7">
        <v>2.0224899999999999</v>
      </c>
      <c r="AC160" s="7">
        <v>3.702115</v>
      </c>
      <c r="AD160" s="7">
        <v>1.2796289999999999</v>
      </c>
      <c r="AE160" s="120" t="s">
        <v>1736</v>
      </c>
      <c r="AF160" s="7">
        <v>5.0991070000000001</v>
      </c>
      <c r="AG160" s="7">
        <v>13.19089</v>
      </c>
      <c r="AH160" s="7">
        <v>15.229290000000001</v>
      </c>
      <c r="AI160" s="7">
        <v>15.01478</v>
      </c>
      <c r="AJ160" s="7">
        <v>15.200229999999999</v>
      </c>
      <c r="AK160" s="7">
        <v>23.285060000000001</v>
      </c>
      <c r="AL160" s="120" t="s">
        <v>1737</v>
      </c>
      <c r="AM160" s="7">
        <v>27.209540000000001</v>
      </c>
      <c r="AN160" s="7">
        <v>24.526060000000001</v>
      </c>
      <c r="AO160" s="7">
        <v>29.619240000000001</v>
      </c>
      <c r="AP160" s="7">
        <v>34.614890000000003</v>
      </c>
      <c r="AQ160" s="7">
        <v>37.391170000000002</v>
      </c>
      <c r="AR160" s="7">
        <v>39.264749999999999</v>
      </c>
      <c r="AS160" s="7">
        <v>33.585850000000001</v>
      </c>
      <c r="AT160" s="7">
        <v>33.280859999999997</v>
      </c>
      <c r="AU160" s="7">
        <v>26.776589999999999</v>
      </c>
      <c r="AV160" s="7">
        <v>43.525350000000003</v>
      </c>
      <c r="AW160" s="120" t="s">
        <v>1738</v>
      </c>
      <c r="AX160" s="7">
        <v>46.440379999999998</v>
      </c>
    </row>
    <row r="161" spans="1:50">
      <c r="A161" s="4">
        <v>0.49</v>
      </c>
      <c r="B161" s="7">
        <v>0.12912799999999999</v>
      </c>
      <c r="C161" s="7">
        <v>0.12978600000000001</v>
      </c>
      <c r="D161" s="7">
        <v>8.6929999999999993E-3</v>
      </c>
      <c r="E161" s="7">
        <v>9.1856999999999994E-2</v>
      </c>
      <c r="F161" s="120" t="s">
        <v>1727</v>
      </c>
      <c r="G161" s="7">
        <v>0.107337</v>
      </c>
      <c r="H161" s="7">
        <v>32.978059999999999</v>
      </c>
      <c r="I161" s="7">
        <v>33.484909999999999</v>
      </c>
      <c r="J161" s="7">
        <v>27.608229999999999</v>
      </c>
      <c r="K161" s="7">
        <v>36.127499999999998</v>
      </c>
      <c r="L161" s="120" t="s">
        <v>1739</v>
      </c>
      <c r="M161" s="7">
        <v>45.31973</v>
      </c>
      <c r="N161" s="7">
        <v>10</v>
      </c>
      <c r="O161" s="7">
        <v>0.125837</v>
      </c>
      <c r="P161" s="7">
        <v>0.12517800000000001</v>
      </c>
      <c r="Q161" s="7">
        <v>0.103448</v>
      </c>
      <c r="R161" s="7">
        <v>2.3182000000000001E-2</v>
      </c>
      <c r="S161" s="7">
        <v>0.13780400000000001</v>
      </c>
      <c r="T161" s="120" t="s">
        <v>1740</v>
      </c>
      <c r="U161" s="7">
        <v>1.078991</v>
      </c>
      <c r="V161" s="7">
        <v>1.7087220000000001</v>
      </c>
      <c r="W161" s="7">
        <v>0.85366600000000004</v>
      </c>
      <c r="X161" s="7">
        <v>0.72326900000000005</v>
      </c>
      <c r="Y161" s="7">
        <v>2.3920499999999998</v>
      </c>
      <c r="Z161" s="7">
        <v>2.3920499999999998</v>
      </c>
      <c r="AA161" s="7">
        <v>8.8859019999999997</v>
      </c>
      <c r="AB161" s="7">
        <v>8.3571039999999996</v>
      </c>
      <c r="AC161" s="7">
        <v>9.7960010000000004</v>
      </c>
      <c r="AD161" s="7">
        <v>7.3329469999999999</v>
      </c>
      <c r="AE161" s="120" t="s">
        <v>1741</v>
      </c>
      <c r="AF161" s="7">
        <v>13.01366</v>
      </c>
      <c r="AG161" s="7">
        <v>27.88316</v>
      </c>
      <c r="AH161" s="7">
        <v>27.126169999999998</v>
      </c>
      <c r="AI161" s="7">
        <v>27.608229999999999</v>
      </c>
      <c r="AJ161" s="7">
        <v>22.8415</v>
      </c>
      <c r="AK161" s="7">
        <v>32.691470000000002</v>
      </c>
      <c r="AL161" s="120" t="s">
        <v>1742</v>
      </c>
      <c r="AM161" s="7">
        <v>38.647829999999999</v>
      </c>
      <c r="AN161" s="7">
        <v>35.051560000000002</v>
      </c>
      <c r="AO161" s="7">
        <v>43.925240000000002</v>
      </c>
      <c r="AP161" s="7">
        <v>44.736600000000003</v>
      </c>
      <c r="AQ161" s="7">
        <v>46.160220000000002</v>
      </c>
      <c r="AR161" s="7">
        <v>49.364559999999997</v>
      </c>
      <c r="AS161" s="7">
        <v>41.835979999999999</v>
      </c>
      <c r="AT161" s="7">
        <v>40.455840000000002</v>
      </c>
      <c r="AU161" s="7">
        <v>34.722110000000001</v>
      </c>
      <c r="AV161" s="7">
        <v>51.013039999999997</v>
      </c>
      <c r="AW161" s="120" t="s">
        <v>1743</v>
      </c>
      <c r="AX161" s="7">
        <v>53.440899999999999</v>
      </c>
    </row>
    <row r="162" spans="1:50">
      <c r="A162" s="4">
        <v>1.92</v>
      </c>
      <c r="B162" s="7">
        <v>0.130883</v>
      </c>
      <c r="C162" s="7">
        <v>0.13417399999999999</v>
      </c>
      <c r="D162" s="7">
        <v>9.1277999999999998E-2</v>
      </c>
      <c r="E162" s="7">
        <v>1.5068E-2</v>
      </c>
      <c r="F162" s="7">
        <v>0.119244</v>
      </c>
      <c r="G162" s="120" t="s">
        <v>1728</v>
      </c>
      <c r="H162" s="7">
        <v>42.739989999999999</v>
      </c>
      <c r="I162" s="7">
        <v>43.264400000000002</v>
      </c>
      <c r="J162" s="7">
        <v>52.592289999999998</v>
      </c>
      <c r="K162" s="7">
        <v>34.614890000000003</v>
      </c>
      <c r="L162" s="7">
        <v>56.802840000000003</v>
      </c>
      <c r="M162" s="120" t="s">
        <v>1744</v>
      </c>
      <c r="N162" s="7">
        <v>20</v>
      </c>
      <c r="O162" s="7">
        <v>0.117718</v>
      </c>
      <c r="P162" s="7">
        <v>0.12078999999999999</v>
      </c>
      <c r="Q162" s="7">
        <v>9.9101999999999996E-2</v>
      </c>
      <c r="R162" s="7">
        <v>2.0573999999999999E-2</v>
      </c>
      <c r="S162" s="7">
        <v>0.13780400000000001</v>
      </c>
      <c r="T162" s="120" t="s">
        <v>1745</v>
      </c>
      <c r="U162" s="7">
        <v>4.7037849999999999</v>
      </c>
      <c r="V162" s="7">
        <v>5.590236</v>
      </c>
      <c r="W162" s="7">
        <v>3.7484790000000001</v>
      </c>
      <c r="X162" s="7">
        <v>4.6062010000000004</v>
      </c>
      <c r="Y162" s="7">
        <v>6.1987389999999998</v>
      </c>
      <c r="Z162" s="7">
        <v>6.2547709999999999</v>
      </c>
      <c r="AA162" s="7">
        <v>17.743829999999999</v>
      </c>
      <c r="AB162" s="7">
        <v>18.919910000000002</v>
      </c>
      <c r="AC162" s="7">
        <v>16.011590000000002</v>
      </c>
      <c r="AD162" s="7">
        <v>17.66039</v>
      </c>
      <c r="AE162" s="120" t="s">
        <v>1746</v>
      </c>
      <c r="AF162" s="7">
        <v>21.506039999999999</v>
      </c>
      <c r="AG162" s="7">
        <v>36.806910000000002</v>
      </c>
      <c r="AH162" s="7">
        <v>37.601210000000002</v>
      </c>
      <c r="AI162" s="7">
        <v>40.079979999999999</v>
      </c>
      <c r="AJ162" s="7">
        <v>29.439579999999999</v>
      </c>
      <c r="AK162" s="7">
        <v>40.854669999999999</v>
      </c>
      <c r="AL162" s="120" t="s">
        <v>1747</v>
      </c>
      <c r="AM162" s="7">
        <v>45.151400000000002</v>
      </c>
      <c r="AN162" s="7">
        <v>43.661549999999998</v>
      </c>
      <c r="AO162" s="7">
        <v>52.114170000000001</v>
      </c>
      <c r="AP162" s="7">
        <v>52.114170000000001</v>
      </c>
      <c r="AQ162" s="7">
        <v>46.016629999999999</v>
      </c>
      <c r="AR162" s="7">
        <v>54.929259999999999</v>
      </c>
      <c r="AS162" s="7">
        <v>45.151400000000002</v>
      </c>
      <c r="AT162" s="7">
        <v>46.266039999999997</v>
      </c>
      <c r="AU162" s="7">
        <v>40.82179</v>
      </c>
      <c r="AV162" s="7">
        <v>57.811070000000001</v>
      </c>
      <c r="AW162" s="120" t="s">
        <v>1748</v>
      </c>
      <c r="AX162" s="7">
        <v>58.207140000000003</v>
      </c>
    </row>
    <row r="163" spans="1:50">
      <c r="A163" s="4">
        <v>5</v>
      </c>
      <c r="B163" s="7">
        <v>0.14734</v>
      </c>
      <c r="C163" s="7">
        <v>0.15370300000000001</v>
      </c>
      <c r="D163" s="7">
        <v>9.6493999999999996E-2</v>
      </c>
      <c r="E163" s="7">
        <v>0.107795</v>
      </c>
      <c r="F163" s="7">
        <v>0.172124</v>
      </c>
      <c r="G163" s="7">
        <v>0.14130599999999999</v>
      </c>
      <c r="H163" s="7">
        <v>52.910040000000002</v>
      </c>
      <c r="I163" s="7">
        <v>55.218319999999999</v>
      </c>
      <c r="J163" s="7">
        <v>65.713130000000007</v>
      </c>
      <c r="K163" s="7">
        <v>66.521590000000003</v>
      </c>
      <c r="L163" s="7">
        <v>70.537729999999996</v>
      </c>
      <c r="M163" s="7">
        <v>69.049379999999999</v>
      </c>
      <c r="N163" s="7">
        <v>50</v>
      </c>
      <c r="O163" s="7">
        <v>0.112452</v>
      </c>
      <c r="P163" s="7">
        <v>0.103017</v>
      </c>
      <c r="Q163" s="7">
        <v>0.100261</v>
      </c>
      <c r="R163" s="7">
        <v>2.2023000000000001E-2</v>
      </c>
      <c r="S163" s="7">
        <v>0.14130599999999999</v>
      </c>
      <c r="T163" s="120" t="s">
        <v>1749</v>
      </c>
      <c r="U163" s="7">
        <v>7.2358750000000001</v>
      </c>
      <c r="V163" s="7">
        <v>8.3571039999999996</v>
      </c>
      <c r="W163" s="7">
        <v>5.3972759999999997</v>
      </c>
      <c r="X163" s="7">
        <v>5.1046069999999997</v>
      </c>
      <c r="Y163" s="7">
        <v>11.09455</v>
      </c>
      <c r="Z163" s="7">
        <v>12.3903</v>
      </c>
      <c r="AA163" s="7">
        <v>21.509049999999998</v>
      </c>
      <c r="AB163" s="7">
        <v>20.04992</v>
      </c>
      <c r="AC163" s="7">
        <v>20.456679999999999</v>
      </c>
      <c r="AD163" s="7">
        <v>19.4193</v>
      </c>
      <c r="AE163" s="120" t="s">
        <v>1750</v>
      </c>
      <c r="AF163" s="7">
        <v>26.394850000000002</v>
      </c>
      <c r="AG163" s="7">
        <v>39.481619999999999</v>
      </c>
      <c r="AH163" s="7">
        <v>36.471200000000003</v>
      </c>
      <c r="AI163" s="7">
        <v>38.755719999999997</v>
      </c>
      <c r="AJ163" s="7">
        <v>32.763260000000002</v>
      </c>
      <c r="AK163" s="7">
        <v>48.468040000000002</v>
      </c>
      <c r="AL163" s="120" t="s">
        <v>1751</v>
      </c>
      <c r="AM163" s="7">
        <v>42.349420000000002</v>
      </c>
      <c r="AN163" s="7">
        <v>47.554029999999997</v>
      </c>
      <c r="AO163" s="7">
        <v>52.592289999999998</v>
      </c>
      <c r="AP163" s="7">
        <v>54.058529999999998</v>
      </c>
      <c r="AQ163" s="7">
        <v>53.115220000000001</v>
      </c>
      <c r="AR163" s="7">
        <v>51.675890000000003</v>
      </c>
      <c r="AS163" s="7">
        <v>46.976959999999998</v>
      </c>
      <c r="AT163" s="7">
        <v>50.391109999999998</v>
      </c>
      <c r="AU163" s="7">
        <v>44.464210000000001</v>
      </c>
      <c r="AV163" s="7">
        <v>63.739789999999999</v>
      </c>
      <c r="AW163" s="120" t="s">
        <v>1752</v>
      </c>
      <c r="AX163" s="7">
        <v>66.566450000000003</v>
      </c>
    </row>
    <row r="164" spans="1:50">
      <c r="A164" s="4">
        <v>8.7899999999999991</v>
      </c>
      <c r="B164" s="7">
        <v>0.21448200000000001</v>
      </c>
      <c r="C164" s="7">
        <v>0.201317</v>
      </c>
      <c r="D164" s="7">
        <v>0.19878299999999999</v>
      </c>
      <c r="E164" s="7">
        <v>0.135323</v>
      </c>
      <c r="F164" s="120" t="s">
        <v>1729</v>
      </c>
      <c r="G164" s="7">
        <v>0.18893399999999999</v>
      </c>
      <c r="H164" s="7">
        <v>94.424030000000002</v>
      </c>
      <c r="I164" s="7">
        <v>99.143720000000002</v>
      </c>
      <c r="J164" s="7">
        <v>76.541870000000003</v>
      </c>
      <c r="K164" s="7">
        <v>113.43259999999999</v>
      </c>
      <c r="L164" s="120" t="s">
        <v>1753</v>
      </c>
      <c r="M164" s="7">
        <v>117.01649999999999</v>
      </c>
      <c r="N164" s="7">
        <v>100</v>
      </c>
      <c r="O164" s="7">
        <v>0.11398800000000001</v>
      </c>
      <c r="P164" s="7">
        <v>0.11398800000000001</v>
      </c>
      <c r="Q164" s="7">
        <v>8.838E-2</v>
      </c>
      <c r="R164" s="7">
        <v>5.2160000000000002E-3</v>
      </c>
      <c r="S164" s="7">
        <v>0.118543</v>
      </c>
      <c r="T164" s="120" t="s">
        <v>1754</v>
      </c>
      <c r="U164" s="7">
        <v>10.91114</v>
      </c>
      <c r="V164" s="7">
        <v>11.21613</v>
      </c>
      <c r="W164" s="7">
        <v>8.9614600000000006</v>
      </c>
      <c r="X164" s="7">
        <v>9.0715730000000008</v>
      </c>
      <c r="Y164" s="7">
        <v>15.78725</v>
      </c>
      <c r="Z164" s="7">
        <v>15.640169999999999</v>
      </c>
      <c r="AA164" s="7">
        <v>26.31212</v>
      </c>
      <c r="AB164" s="7">
        <v>24.082830000000001</v>
      </c>
      <c r="AC164" s="7">
        <v>24.655460000000001</v>
      </c>
      <c r="AD164" s="7">
        <v>24.580120000000001</v>
      </c>
      <c r="AE164" s="120" t="s">
        <v>1755</v>
      </c>
      <c r="AF164" s="7">
        <v>34.43197</v>
      </c>
      <c r="AG164" s="7">
        <v>41.835979999999999</v>
      </c>
      <c r="AH164" s="7">
        <v>38.529350000000001</v>
      </c>
      <c r="AI164" s="7">
        <v>42.473489999999998</v>
      </c>
      <c r="AJ164" s="7">
        <v>29.083159999999999</v>
      </c>
      <c r="AK164" s="7">
        <v>47.445459999999997</v>
      </c>
      <c r="AL164" s="120" t="s">
        <v>1756</v>
      </c>
      <c r="AM164" s="7">
        <v>45.151400000000002</v>
      </c>
      <c r="AN164" s="7">
        <v>45.844760000000001</v>
      </c>
      <c r="AO164" s="7">
        <v>49.932189999999999</v>
      </c>
      <c r="AP164" s="7">
        <v>53.076210000000003</v>
      </c>
      <c r="AQ164" s="7">
        <v>57.324640000000002</v>
      </c>
      <c r="AR164" s="7">
        <v>57.324640000000002</v>
      </c>
      <c r="AS164" s="7">
        <v>54.382339999999999</v>
      </c>
      <c r="AT164" s="7">
        <v>56.754249999999999</v>
      </c>
      <c r="AU164" s="7">
        <v>52.432920000000003</v>
      </c>
      <c r="AV164" s="7">
        <v>71.792519999999996</v>
      </c>
      <c r="AW164" s="120" t="s">
        <v>1757</v>
      </c>
      <c r="AX164" s="7">
        <v>71.623360000000005</v>
      </c>
    </row>
    <row r="165" spans="1:50">
      <c r="N165" s="7">
        <v>1000</v>
      </c>
      <c r="O165" s="7">
        <v>0.14558399999999999</v>
      </c>
      <c r="P165" s="7">
        <v>0.12693399999999999</v>
      </c>
      <c r="Q165" s="7">
        <v>9.7943000000000002E-2</v>
      </c>
      <c r="R165" s="7">
        <v>5.2160000000000002E-3</v>
      </c>
      <c r="S165" s="7">
        <v>0.13220100000000001</v>
      </c>
      <c r="T165" s="120" t="s">
        <v>1730</v>
      </c>
      <c r="U165" s="7">
        <v>19.211739999999999</v>
      </c>
      <c r="V165" s="7">
        <v>19.036200000000001</v>
      </c>
      <c r="W165" s="7">
        <v>18.21095</v>
      </c>
      <c r="X165" s="7">
        <v>17.286580000000001</v>
      </c>
      <c r="Y165" s="7">
        <v>27.886710000000001</v>
      </c>
      <c r="Z165" s="7">
        <v>25.288219999999999</v>
      </c>
      <c r="AA165" s="7">
        <v>32.978059999999999</v>
      </c>
      <c r="AB165" s="7">
        <v>33.484909999999999</v>
      </c>
      <c r="AC165" s="7">
        <v>27.608229999999999</v>
      </c>
      <c r="AD165" s="7">
        <v>36.127499999999998</v>
      </c>
      <c r="AE165" s="120" t="s">
        <v>1739</v>
      </c>
      <c r="AF165" s="7">
        <v>45.31973</v>
      </c>
      <c r="AG165" s="7">
        <v>42.739989999999999</v>
      </c>
      <c r="AH165" s="7">
        <v>43.264400000000002</v>
      </c>
      <c r="AI165" s="7">
        <v>52.592289999999998</v>
      </c>
      <c r="AJ165" s="7">
        <v>34.614890000000003</v>
      </c>
      <c r="AK165" s="7">
        <v>56.802840000000003</v>
      </c>
      <c r="AL165" s="120" t="s">
        <v>1744</v>
      </c>
      <c r="AM165" s="7">
        <v>52.910040000000002</v>
      </c>
      <c r="AN165" s="7">
        <v>55.218319999999999</v>
      </c>
      <c r="AO165" s="7">
        <v>65.713130000000007</v>
      </c>
      <c r="AP165" s="7">
        <v>66.521590000000003</v>
      </c>
      <c r="AQ165" s="7">
        <v>70.537729999999996</v>
      </c>
      <c r="AR165" s="7">
        <v>69.049379999999999</v>
      </c>
      <c r="AS165" s="7">
        <v>94.424030000000002</v>
      </c>
      <c r="AT165" s="7">
        <v>99.143720000000002</v>
      </c>
      <c r="AU165" s="7">
        <v>76.541870000000003</v>
      </c>
      <c r="AV165" s="7">
        <v>113.43259999999999</v>
      </c>
      <c r="AW165" s="120" t="s">
        <v>1753</v>
      </c>
      <c r="AX165" s="7">
        <v>117.01649999999999</v>
      </c>
    </row>
    <row r="166" spans="1:50">
      <c r="N166" s="7"/>
      <c r="O166" s="230" t="s">
        <v>2125</v>
      </c>
      <c r="P166" s="230"/>
      <c r="Q166" s="230"/>
      <c r="R166" s="230"/>
      <c r="S166" s="230"/>
      <c r="T166" s="230"/>
      <c r="U166" s="230" t="s">
        <v>2126</v>
      </c>
      <c r="V166" s="230"/>
      <c r="W166" s="230"/>
      <c r="X166" s="230"/>
      <c r="Y166" s="230"/>
      <c r="Z166" s="230"/>
      <c r="AA166" s="230" t="s">
        <v>2127</v>
      </c>
      <c r="AB166" s="230"/>
      <c r="AC166" s="230"/>
      <c r="AD166" s="230"/>
      <c r="AE166" s="230"/>
      <c r="AF166" s="230"/>
      <c r="AG166" s="230" t="s">
        <v>2128</v>
      </c>
      <c r="AH166" s="230"/>
      <c r="AI166" s="230"/>
      <c r="AJ166" s="230"/>
      <c r="AK166" s="230"/>
      <c r="AL166" s="230"/>
      <c r="AM166" s="230" t="s">
        <v>2129</v>
      </c>
      <c r="AN166" s="230"/>
      <c r="AO166" s="230"/>
      <c r="AP166" s="230"/>
      <c r="AQ166" s="230"/>
      <c r="AR166" s="230"/>
      <c r="AS166" s="230" t="s">
        <v>2130</v>
      </c>
      <c r="AT166" s="230"/>
      <c r="AU166" s="230"/>
      <c r="AV166" s="230"/>
      <c r="AW166" s="230"/>
      <c r="AX166" s="230"/>
    </row>
    <row r="167" spans="1:50" ht="15">
      <c r="A167" s="68" t="s">
        <v>3413</v>
      </c>
      <c r="B167" s="244" t="s">
        <v>2090</v>
      </c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5" t="s">
        <v>2091</v>
      </c>
      <c r="O167" s="218">
        <v>1.37E-2</v>
      </c>
      <c r="P167" s="218"/>
      <c r="Q167" s="218">
        <v>1.4400000000000001E-3</v>
      </c>
      <c r="R167" s="218"/>
      <c r="S167" s="218">
        <v>5.9500000000000004E-3</v>
      </c>
      <c r="T167" s="218"/>
      <c r="U167" s="218">
        <v>0.16</v>
      </c>
      <c r="V167" s="218"/>
      <c r="W167" s="218">
        <v>0.124</v>
      </c>
      <c r="X167" s="218"/>
      <c r="Y167" s="218">
        <v>0.17199999999999999</v>
      </c>
      <c r="Z167" s="218"/>
      <c r="AA167" s="218">
        <v>0.51700000000000002</v>
      </c>
      <c r="AB167" s="218"/>
      <c r="AC167" s="218">
        <v>0.41499999999999998</v>
      </c>
      <c r="AD167" s="218"/>
      <c r="AE167" s="218">
        <v>0.52700000000000002</v>
      </c>
      <c r="AF167" s="218"/>
      <c r="AG167" s="218">
        <v>1.889</v>
      </c>
      <c r="AH167" s="218"/>
      <c r="AI167" s="218">
        <v>1.7949999999999999</v>
      </c>
      <c r="AJ167" s="218"/>
      <c r="AK167" s="218">
        <v>2.0790000000000002</v>
      </c>
      <c r="AL167" s="218"/>
      <c r="AM167" s="218">
        <v>4.5620000000000003</v>
      </c>
      <c r="AN167" s="218"/>
      <c r="AO167" s="218">
        <v>4.8730000000000002</v>
      </c>
      <c r="AP167" s="218"/>
      <c r="AQ167" s="218">
        <v>5.5880000000000001</v>
      </c>
      <c r="AR167" s="218"/>
      <c r="AS167" s="218">
        <v>7.4390000000000001</v>
      </c>
      <c r="AT167" s="218"/>
      <c r="AU167" s="218">
        <v>8.8109999999999999</v>
      </c>
      <c r="AV167" s="218"/>
      <c r="AW167" s="218">
        <v>10.119</v>
      </c>
      <c r="AX167" s="218"/>
    </row>
    <row r="168" spans="1:50">
      <c r="A168" s="4" t="s">
        <v>1725</v>
      </c>
      <c r="B168" s="258">
        <v>0</v>
      </c>
      <c r="C168" s="258"/>
      <c r="D168" s="258"/>
      <c r="E168" s="258"/>
      <c r="F168" s="258"/>
      <c r="G168" s="258"/>
      <c r="H168" s="260">
        <v>100</v>
      </c>
      <c r="I168" s="260"/>
      <c r="J168" s="260"/>
      <c r="K168" s="260"/>
      <c r="L168" s="260"/>
      <c r="M168" s="260"/>
      <c r="N168" s="7">
        <v>0</v>
      </c>
      <c r="O168" s="7">
        <v>0.100165</v>
      </c>
      <c r="P168" s="120" t="s">
        <v>996</v>
      </c>
      <c r="Q168" s="7">
        <v>9.3017000000000002E-2</v>
      </c>
      <c r="R168" s="7">
        <v>8.7801000000000004E-2</v>
      </c>
      <c r="S168" s="7">
        <v>0.18298</v>
      </c>
      <c r="T168" s="7">
        <v>0.119244</v>
      </c>
      <c r="U168" s="7">
        <v>9.9725999999999995E-2</v>
      </c>
      <c r="V168" s="120" t="s">
        <v>997</v>
      </c>
      <c r="W168" s="7">
        <v>9.1856999999999994E-2</v>
      </c>
      <c r="X168" s="7">
        <v>9.0119000000000005E-2</v>
      </c>
      <c r="Y168" s="7">
        <v>0.11083899999999999</v>
      </c>
      <c r="Z168" s="120" t="s">
        <v>1727</v>
      </c>
      <c r="AA168" s="7">
        <v>9.4678999999999999E-2</v>
      </c>
      <c r="AB168" s="120" t="s">
        <v>998</v>
      </c>
      <c r="AC168" s="7">
        <v>9.3017000000000002E-2</v>
      </c>
      <c r="AD168" s="7">
        <v>9.9681000000000006E-2</v>
      </c>
      <c r="AE168" s="7">
        <v>0.11364</v>
      </c>
      <c r="AF168" s="7">
        <v>0.102434</v>
      </c>
      <c r="AG168" s="7">
        <v>8.6122000000000004E-2</v>
      </c>
      <c r="AH168" s="120" t="s">
        <v>999</v>
      </c>
      <c r="AI168" s="7">
        <v>0.10084</v>
      </c>
      <c r="AJ168" s="7">
        <v>9.3595999999999999E-2</v>
      </c>
      <c r="AK168" s="7">
        <v>0.116092</v>
      </c>
      <c r="AL168" s="7">
        <v>0.118543</v>
      </c>
      <c r="AM168" s="7">
        <v>0.13724600000000001</v>
      </c>
      <c r="AN168" s="120" t="s">
        <v>1000</v>
      </c>
      <c r="AO168" s="7">
        <v>0.13966999999999999</v>
      </c>
      <c r="AP168" s="7">
        <v>0.13387399999999999</v>
      </c>
      <c r="AQ168" s="7">
        <v>0.26983000000000001</v>
      </c>
      <c r="AR168" s="7">
        <v>0.17072300000000001</v>
      </c>
      <c r="AS168" s="7">
        <v>0.30005500000000002</v>
      </c>
      <c r="AT168" s="120" t="s">
        <v>1001</v>
      </c>
      <c r="AU168" s="7">
        <v>0.30310100000000001</v>
      </c>
      <c r="AV168" s="7">
        <v>0.31758900000000001</v>
      </c>
      <c r="AW168" s="120" t="s">
        <v>1758</v>
      </c>
      <c r="AX168" s="7">
        <v>0.89669100000000002</v>
      </c>
    </row>
    <row r="169" spans="1:50">
      <c r="A169" s="4">
        <v>0</v>
      </c>
      <c r="B169" s="7">
        <v>0.100165</v>
      </c>
      <c r="C169" s="120" t="s">
        <v>996</v>
      </c>
      <c r="D169" s="7">
        <v>9.3017000000000002E-2</v>
      </c>
      <c r="E169" s="7">
        <v>8.7801000000000004E-2</v>
      </c>
      <c r="F169" s="7">
        <v>0.18298</v>
      </c>
      <c r="G169" s="7">
        <v>0.119244</v>
      </c>
      <c r="H169" s="7">
        <v>0.117718</v>
      </c>
      <c r="I169" s="120" t="s">
        <v>1025</v>
      </c>
      <c r="J169" s="7">
        <v>9.4175999999999996E-2</v>
      </c>
      <c r="K169" s="7">
        <v>9.5335000000000003E-2</v>
      </c>
      <c r="L169" s="7">
        <v>7.3367000000000002E-2</v>
      </c>
      <c r="M169" s="7">
        <v>0.15531400000000001</v>
      </c>
      <c r="N169" s="7">
        <v>0.01</v>
      </c>
      <c r="O169" s="7">
        <v>0.112452</v>
      </c>
      <c r="P169" s="120" t="s">
        <v>1002</v>
      </c>
      <c r="Q169" s="7">
        <v>9.3017000000000002E-2</v>
      </c>
      <c r="R169" s="7">
        <v>8.9538999999999994E-2</v>
      </c>
      <c r="S169" s="120" t="s">
        <v>1754</v>
      </c>
      <c r="T169" s="7">
        <v>0.123096</v>
      </c>
      <c r="U169" s="7">
        <v>0.114646</v>
      </c>
      <c r="V169" s="120" t="s">
        <v>1000</v>
      </c>
      <c r="W169" s="7">
        <v>9.5913999999999999E-2</v>
      </c>
      <c r="X169" s="7">
        <v>9.1277999999999998E-2</v>
      </c>
      <c r="Y169" s="7">
        <v>0.110489</v>
      </c>
      <c r="Z169" s="120" t="s">
        <v>1726</v>
      </c>
      <c r="AA169" s="7">
        <v>0.118157</v>
      </c>
      <c r="AB169" s="120" t="s">
        <v>1003</v>
      </c>
      <c r="AC169" s="7">
        <v>9.5913999999999999E-2</v>
      </c>
      <c r="AD169" s="7">
        <v>0.105766</v>
      </c>
      <c r="AE169" s="7">
        <v>0.123096</v>
      </c>
      <c r="AF169" s="7">
        <v>0.111539</v>
      </c>
      <c r="AG169" s="7">
        <v>9.1827000000000006E-2</v>
      </c>
      <c r="AH169" s="120" t="s">
        <v>1004</v>
      </c>
      <c r="AI169" s="7">
        <v>0.10692599999999999</v>
      </c>
      <c r="AJ169" s="7">
        <v>0.10084</v>
      </c>
      <c r="AK169" s="7">
        <v>0.142707</v>
      </c>
      <c r="AL169" s="7">
        <v>0.134302</v>
      </c>
      <c r="AM169" s="7">
        <v>0.18156900000000001</v>
      </c>
      <c r="AN169" s="120" t="s">
        <v>1005</v>
      </c>
      <c r="AO169" s="7">
        <v>0.15473799999999999</v>
      </c>
      <c r="AP169" s="7">
        <v>0.142567</v>
      </c>
      <c r="AQ169" s="7">
        <v>0.53948499999999999</v>
      </c>
      <c r="AR169" s="7">
        <v>0.34337200000000001</v>
      </c>
      <c r="AS169" s="7">
        <v>0.49094900000000002</v>
      </c>
      <c r="AT169" s="120" t="s">
        <v>1002</v>
      </c>
      <c r="AU169" s="7">
        <v>0.64502999999999999</v>
      </c>
      <c r="AV169" s="7">
        <v>0.51463300000000001</v>
      </c>
      <c r="AW169" s="7">
        <v>1.169848</v>
      </c>
      <c r="AX169" s="7">
        <v>2.318508</v>
      </c>
    </row>
    <row r="170" spans="1:50">
      <c r="A170" s="4">
        <v>0.15</v>
      </c>
      <c r="B170" s="7">
        <v>9.9725999999999995E-2</v>
      </c>
      <c r="C170" s="120" t="s">
        <v>997</v>
      </c>
      <c r="D170" s="7">
        <v>9.1856999999999994E-2</v>
      </c>
      <c r="E170" s="7">
        <v>9.0119000000000005E-2</v>
      </c>
      <c r="F170" s="7">
        <v>0.11083899999999999</v>
      </c>
      <c r="G170" s="120" t="s">
        <v>1727</v>
      </c>
      <c r="H170" s="7">
        <v>22.794840000000001</v>
      </c>
      <c r="I170" s="120" t="s">
        <v>1021</v>
      </c>
      <c r="J170" s="7">
        <v>20.836279999999999</v>
      </c>
      <c r="K170" s="7">
        <v>20.210370000000001</v>
      </c>
      <c r="L170" s="7">
        <v>33.601999999999997</v>
      </c>
      <c r="M170" s="7">
        <v>27.718610000000002</v>
      </c>
      <c r="N170" s="7">
        <v>0.1</v>
      </c>
      <c r="O170" s="7">
        <v>0.102578</v>
      </c>
      <c r="P170" s="120" t="s">
        <v>1006</v>
      </c>
      <c r="Q170" s="7">
        <v>9.7363000000000005E-2</v>
      </c>
      <c r="R170" s="7">
        <v>9.5913999999999999E-2</v>
      </c>
      <c r="S170" s="120" t="s">
        <v>1759</v>
      </c>
      <c r="T170" s="7">
        <v>0.13220100000000001</v>
      </c>
      <c r="U170" s="7">
        <v>0.130883</v>
      </c>
      <c r="V170" s="120" t="s">
        <v>1007</v>
      </c>
      <c r="W170" s="7">
        <v>0.124891</v>
      </c>
      <c r="X170" s="7">
        <v>0.106346</v>
      </c>
      <c r="Y170" s="7">
        <v>0.14130599999999999</v>
      </c>
      <c r="Z170" s="120" t="s">
        <v>1760</v>
      </c>
      <c r="AA170" s="7">
        <v>0.19034599999999999</v>
      </c>
      <c r="AB170" s="120" t="s">
        <v>1008</v>
      </c>
      <c r="AC170" s="7">
        <v>0.142567</v>
      </c>
      <c r="AD170" s="7">
        <v>0.14111899999999999</v>
      </c>
      <c r="AE170" s="7">
        <v>0.24496599999999999</v>
      </c>
      <c r="AF170" s="7">
        <v>0.22010199999999999</v>
      </c>
      <c r="AG170" s="7">
        <v>0.97367000000000004</v>
      </c>
      <c r="AH170" s="120" t="s">
        <v>1009</v>
      </c>
      <c r="AI170" s="7">
        <v>0.77542699999999998</v>
      </c>
      <c r="AJ170" s="7">
        <v>0.70298499999999997</v>
      </c>
      <c r="AK170" s="7">
        <v>1.824724</v>
      </c>
      <c r="AL170" s="7">
        <v>2.2449659999999998</v>
      </c>
      <c r="AM170" s="7">
        <v>4.719144</v>
      </c>
      <c r="AN170" s="120" t="s">
        <v>1010</v>
      </c>
      <c r="AO170" s="7">
        <v>6.092727</v>
      </c>
      <c r="AP170" s="7">
        <v>5.5334690000000002</v>
      </c>
      <c r="AQ170" s="7">
        <v>10.660299999999999</v>
      </c>
      <c r="AR170" s="7">
        <v>8.9198039999999992</v>
      </c>
      <c r="AS170" s="7">
        <v>8.7235329999999998</v>
      </c>
      <c r="AT170" s="120" t="s">
        <v>1011</v>
      </c>
      <c r="AU170" s="7">
        <v>13.904960000000001</v>
      </c>
      <c r="AV170" s="7">
        <v>15.913069999999999</v>
      </c>
      <c r="AW170" s="7">
        <v>18.287690000000001</v>
      </c>
      <c r="AX170" s="7">
        <v>17.251090000000001</v>
      </c>
    </row>
    <row r="171" spans="1:50">
      <c r="A171" s="4">
        <v>0.49</v>
      </c>
      <c r="B171" s="7">
        <v>9.4678999999999999E-2</v>
      </c>
      <c r="C171" s="120" t="s">
        <v>998</v>
      </c>
      <c r="D171" s="7">
        <v>9.3017000000000002E-2</v>
      </c>
      <c r="E171" s="7">
        <v>9.9681000000000006E-2</v>
      </c>
      <c r="F171" s="7">
        <v>0.11364</v>
      </c>
      <c r="G171" s="7">
        <v>0.102434</v>
      </c>
      <c r="H171" s="7">
        <v>38.29457</v>
      </c>
      <c r="I171" s="120" t="s">
        <v>1021</v>
      </c>
      <c r="J171" s="7">
        <v>37.361919999999998</v>
      </c>
      <c r="K171" s="7">
        <v>41.070990000000002</v>
      </c>
      <c r="L171" s="7">
        <v>53.115220000000001</v>
      </c>
      <c r="M171" s="7">
        <v>47.879710000000003</v>
      </c>
      <c r="N171" s="7">
        <v>0.5</v>
      </c>
      <c r="O171" s="7">
        <v>0.119254</v>
      </c>
      <c r="P171" s="120" t="s">
        <v>1005</v>
      </c>
      <c r="Q171" s="7">
        <v>9.9101999999999996E-2</v>
      </c>
      <c r="R171" s="7">
        <v>9.9681000000000006E-2</v>
      </c>
      <c r="S171" s="120" t="s">
        <v>1761</v>
      </c>
      <c r="T171" s="7">
        <v>0.145509</v>
      </c>
      <c r="U171" s="7">
        <v>0.48656100000000002</v>
      </c>
      <c r="V171" s="120" t="s">
        <v>1003</v>
      </c>
      <c r="W171" s="7">
        <v>0.35236200000000001</v>
      </c>
      <c r="X171" s="7">
        <v>0.25673699999999999</v>
      </c>
      <c r="Y171" s="7">
        <v>1.506041</v>
      </c>
      <c r="Z171" s="7">
        <v>2.399054</v>
      </c>
      <c r="AA171" s="7">
        <v>4.7476690000000001</v>
      </c>
      <c r="AB171" s="120" t="s">
        <v>1012</v>
      </c>
      <c r="AC171" s="7">
        <v>2.7574619999999999</v>
      </c>
      <c r="AD171" s="7">
        <v>2.0011589999999999</v>
      </c>
      <c r="AE171" s="7">
        <v>10.21205</v>
      </c>
      <c r="AF171" s="7">
        <v>8.5170720000000006</v>
      </c>
      <c r="AG171" s="7">
        <v>14.066369999999999</v>
      </c>
      <c r="AH171" s="120" t="s">
        <v>1004</v>
      </c>
      <c r="AI171" s="7">
        <v>18.833960000000001</v>
      </c>
      <c r="AJ171" s="7">
        <v>17.935669999999998</v>
      </c>
      <c r="AK171" s="7">
        <v>27.802659999999999</v>
      </c>
      <c r="AL171" s="7">
        <v>27.63456</v>
      </c>
      <c r="AM171" s="7">
        <v>23.93582</v>
      </c>
      <c r="AN171" s="120" t="s">
        <v>1013</v>
      </c>
      <c r="AO171" s="7">
        <v>37.248910000000002</v>
      </c>
      <c r="AP171" s="7">
        <v>39.474359999999997</v>
      </c>
      <c r="AQ171" s="7">
        <v>33.70355</v>
      </c>
      <c r="AR171" s="7">
        <v>40.977240000000002</v>
      </c>
      <c r="AS171" s="7">
        <v>28.484369999999998</v>
      </c>
      <c r="AT171" s="120" t="s">
        <v>1003</v>
      </c>
      <c r="AU171" s="7" t="s">
        <v>2232</v>
      </c>
      <c r="AV171" s="7" t="s">
        <v>2233</v>
      </c>
      <c r="AW171" s="7" t="s">
        <v>2234</v>
      </c>
      <c r="AX171" s="7">
        <v>36.599719999999998</v>
      </c>
    </row>
    <row r="172" spans="1:50">
      <c r="A172" s="4">
        <v>1.92</v>
      </c>
      <c r="B172" s="7">
        <v>8.6122000000000004E-2</v>
      </c>
      <c r="C172" s="120" t="s">
        <v>999</v>
      </c>
      <c r="D172" s="7">
        <v>0.10084</v>
      </c>
      <c r="E172" s="7">
        <v>9.3595999999999999E-2</v>
      </c>
      <c r="F172" s="7">
        <v>0.116092</v>
      </c>
      <c r="G172" s="7">
        <v>0.118543</v>
      </c>
      <c r="H172" s="7">
        <v>35.483820000000001</v>
      </c>
      <c r="I172" s="120" t="s">
        <v>1020</v>
      </c>
      <c r="J172" s="7">
        <v>51.638950000000001</v>
      </c>
      <c r="K172" s="7">
        <v>48.729640000000003</v>
      </c>
      <c r="L172" s="7">
        <v>62.244970000000002</v>
      </c>
      <c r="M172" s="7">
        <v>59.825069999999997</v>
      </c>
      <c r="N172" s="7">
        <v>1</v>
      </c>
      <c r="O172" s="7">
        <v>0.11047700000000001</v>
      </c>
      <c r="P172" s="120" t="s">
        <v>1014</v>
      </c>
      <c r="Q172" s="7">
        <v>9.8521999999999998E-2</v>
      </c>
      <c r="R172" s="7">
        <v>0.104028</v>
      </c>
      <c r="S172" s="120" t="s">
        <v>1762</v>
      </c>
      <c r="T172" s="7">
        <v>0.139205</v>
      </c>
      <c r="U172" s="7">
        <v>3.6527699999999999</v>
      </c>
      <c r="V172" s="120" t="s">
        <v>996</v>
      </c>
      <c r="W172" s="7">
        <v>2.499565</v>
      </c>
      <c r="X172" s="7">
        <v>3.0385399999999998</v>
      </c>
      <c r="Y172" s="7">
        <v>8.4890559999999997</v>
      </c>
      <c r="Z172" s="7">
        <v>10.054460000000001</v>
      </c>
      <c r="AA172" s="7">
        <v>16.949529999999999</v>
      </c>
      <c r="AB172" s="120" t="s">
        <v>1015</v>
      </c>
      <c r="AC172" s="7">
        <v>13.99189</v>
      </c>
      <c r="AD172" s="7">
        <v>16.011590000000002</v>
      </c>
      <c r="AE172" s="7">
        <v>26.88513</v>
      </c>
      <c r="AF172" s="7">
        <v>24.30415</v>
      </c>
      <c r="AG172" s="7">
        <v>26.23094</v>
      </c>
      <c r="AH172" s="120" t="s">
        <v>1016</v>
      </c>
      <c r="AI172" s="7">
        <v>41.323090000000001</v>
      </c>
      <c r="AJ172" s="7">
        <v>37.01999</v>
      </c>
      <c r="AK172" s="7">
        <v>46.160220000000002</v>
      </c>
      <c r="AL172" s="7">
        <v>45.046579999999999</v>
      </c>
      <c r="AM172" s="7">
        <v>33.585850000000001</v>
      </c>
      <c r="AN172" s="120" t="s">
        <v>1011</v>
      </c>
      <c r="AO172" s="7">
        <v>56.935960000000001</v>
      </c>
      <c r="AP172" s="7">
        <v>51.013039999999997</v>
      </c>
      <c r="AQ172" s="7">
        <v>42.11889</v>
      </c>
      <c r="AR172" s="7">
        <v>55.097360000000002</v>
      </c>
      <c r="AS172" s="7">
        <v>36.137689999999999</v>
      </c>
      <c r="AT172" s="120" t="s">
        <v>996</v>
      </c>
      <c r="AU172" s="7">
        <v>59.059980000000003</v>
      </c>
      <c r="AV172" s="7" t="s">
        <v>2237</v>
      </c>
      <c r="AW172" s="7" t="s">
        <v>2236</v>
      </c>
      <c r="AX172" s="7" t="s">
        <v>2235</v>
      </c>
    </row>
    <row r="173" spans="1:50">
      <c r="A173" s="4">
        <v>5</v>
      </c>
      <c r="B173" s="7">
        <v>0.13724600000000001</v>
      </c>
      <c r="C173" s="120" t="s">
        <v>1000</v>
      </c>
      <c r="D173" s="7">
        <v>0.13966999999999999</v>
      </c>
      <c r="E173" s="7">
        <v>0.13387399999999999</v>
      </c>
      <c r="F173" s="7">
        <v>0.26983000000000001</v>
      </c>
      <c r="G173" s="7">
        <v>0.17072300000000001</v>
      </c>
      <c r="H173" s="7">
        <v>51.321449999999999</v>
      </c>
      <c r="I173" s="120" t="s">
        <v>1000</v>
      </c>
      <c r="J173" s="7">
        <v>73.791939999999997</v>
      </c>
      <c r="K173" s="7">
        <v>70.705879999999993</v>
      </c>
      <c r="L173" s="7">
        <v>65.361760000000004</v>
      </c>
      <c r="M173" s="7">
        <v>94.242859999999993</v>
      </c>
      <c r="N173" s="7">
        <v>5</v>
      </c>
      <c r="O173" s="7">
        <v>0.108941</v>
      </c>
      <c r="P173" s="120" t="s">
        <v>1017</v>
      </c>
      <c r="Q173" s="7">
        <v>9.4755000000000006E-2</v>
      </c>
      <c r="R173" s="7">
        <v>9.2437000000000005E-2</v>
      </c>
      <c r="S173" s="120" t="s">
        <v>1763</v>
      </c>
      <c r="T173" s="7">
        <v>0.12975</v>
      </c>
      <c r="U173" s="7">
        <v>8.9956119999999995</v>
      </c>
      <c r="V173" s="120" t="s">
        <v>1015</v>
      </c>
      <c r="W173" s="7">
        <v>5.2176179999999999</v>
      </c>
      <c r="X173" s="7">
        <v>5.0408580000000001</v>
      </c>
      <c r="Y173" s="7">
        <v>15.216419999999999</v>
      </c>
      <c r="Z173" s="7">
        <v>13.79461</v>
      </c>
      <c r="AA173" s="7">
        <v>23.073509999999999</v>
      </c>
      <c r="AB173" s="120" t="s">
        <v>1004</v>
      </c>
      <c r="AC173" s="7">
        <v>18.776009999999999</v>
      </c>
      <c r="AD173" s="7">
        <v>20.520430000000001</v>
      </c>
      <c r="AE173" s="7">
        <v>35.391530000000003</v>
      </c>
      <c r="AF173" s="7">
        <v>31.514800000000001</v>
      </c>
      <c r="AG173" s="7">
        <v>28.572130000000001</v>
      </c>
      <c r="AH173" s="120" t="s">
        <v>1018</v>
      </c>
      <c r="AI173" s="7">
        <v>41.070990000000002</v>
      </c>
      <c r="AJ173" s="7">
        <v>38.402200000000001</v>
      </c>
      <c r="AK173" s="7">
        <v>49.970410000000001</v>
      </c>
      <c r="AL173" s="7">
        <v>48.765720000000002</v>
      </c>
      <c r="AM173" s="7">
        <v>36.580910000000003</v>
      </c>
      <c r="AN173" s="120" t="s">
        <v>1019</v>
      </c>
      <c r="AO173" s="7">
        <v>56.417270000000002</v>
      </c>
      <c r="AP173" s="7">
        <v>55.394379999999998</v>
      </c>
      <c r="AQ173" s="7">
        <v>41.737169999999999</v>
      </c>
      <c r="AR173" s="7">
        <v>61.49203</v>
      </c>
      <c r="AS173" s="7">
        <v>49.627540000000003</v>
      </c>
      <c r="AT173" s="120" t="s">
        <v>1020</v>
      </c>
      <c r="AU173" s="7">
        <v>60.149520000000003</v>
      </c>
      <c r="AV173" s="7">
        <v>64.130979999999994</v>
      </c>
      <c r="AW173" s="7">
        <v>73.39188</v>
      </c>
      <c r="AX173" s="7">
        <v>52.470849999999999</v>
      </c>
    </row>
    <row r="174" spans="1:50">
      <c r="A174" s="4">
        <v>8.7899999999999991</v>
      </c>
      <c r="B174" s="7">
        <v>0.30005500000000002</v>
      </c>
      <c r="C174" s="120" t="s">
        <v>1001</v>
      </c>
      <c r="D174" s="7">
        <v>0.30310100000000001</v>
      </c>
      <c r="E174" s="7">
        <v>0.31758900000000001</v>
      </c>
      <c r="F174" s="120" t="s">
        <v>1758</v>
      </c>
      <c r="G174" s="7">
        <v>0.89669100000000002</v>
      </c>
      <c r="H174" s="7">
        <v>95.582560000000001</v>
      </c>
      <c r="I174" s="120" t="s">
        <v>998</v>
      </c>
      <c r="J174" s="7">
        <v>153.38919999999999</v>
      </c>
      <c r="K174" s="7">
        <v>120.9319</v>
      </c>
      <c r="L174" s="7">
        <v>223.2851</v>
      </c>
      <c r="M174" s="7">
        <v>112.81399999999999</v>
      </c>
      <c r="N174" s="7">
        <v>10</v>
      </c>
      <c r="O174" s="7">
        <v>0.11311</v>
      </c>
      <c r="P174" s="120" t="s">
        <v>997</v>
      </c>
      <c r="Q174" s="7">
        <v>9.0119000000000005E-2</v>
      </c>
      <c r="R174" s="7">
        <v>8.6641999999999997E-2</v>
      </c>
      <c r="S174" s="120" t="s">
        <v>1764</v>
      </c>
      <c r="T174" s="7">
        <v>0.126248</v>
      </c>
      <c r="U174" s="7">
        <v>12.293469999999999</v>
      </c>
      <c r="V174" s="120" t="s">
        <v>1021</v>
      </c>
      <c r="W174" s="7">
        <v>8.8223699999999994</v>
      </c>
      <c r="X174" s="7">
        <v>8.7962910000000001</v>
      </c>
      <c r="Y174" s="7">
        <v>17.359660000000002</v>
      </c>
      <c r="Z174" s="7">
        <v>18.56785</v>
      </c>
      <c r="AA174" s="7">
        <v>25.83379</v>
      </c>
      <c r="AB174" s="120" t="s">
        <v>1022</v>
      </c>
      <c r="AC174" s="7">
        <v>24.42944</v>
      </c>
      <c r="AD174" s="7">
        <v>26.370909999999999</v>
      </c>
      <c r="AE174" s="7">
        <v>36.599719999999998</v>
      </c>
      <c r="AF174" s="7">
        <v>34.116790000000002</v>
      </c>
      <c r="AG174" s="7">
        <v>32.181570000000001</v>
      </c>
      <c r="AH174" s="120" t="s">
        <v>1023</v>
      </c>
      <c r="AI174" s="7">
        <v>47.121409999999997</v>
      </c>
      <c r="AJ174" s="7">
        <v>41.957689999999999</v>
      </c>
      <c r="AK174" s="7">
        <v>49.364559999999997</v>
      </c>
      <c r="AL174" s="7">
        <v>49.364559999999997</v>
      </c>
      <c r="AM174" s="7">
        <v>39.84366</v>
      </c>
      <c r="AN174" s="120" t="s">
        <v>1024</v>
      </c>
      <c r="AO174" s="7">
        <v>55.562449999999998</v>
      </c>
      <c r="AP174" s="7">
        <v>53.076210000000003</v>
      </c>
      <c r="AQ174" s="7">
        <v>43.425139999999999</v>
      </c>
      <c r="AR174" s="7">
        <v>63.01191</v>
      </c>
      <c r="AS174" s="7">
        <v>47.409219999999998</v>
      </c>
      <c r="AT174" s="120" t="s">
        <v>1000</v>
      </c>
      <c r="AU174" s="7">
        <v>70.277019999999993</v>
      </c>
      <c r="AV174" s="7">
        <v>77.480729999999994</v>
      </c>
      <c r="AW174" s="7">
        <v>81.908770000000004</v>
      </c>
      <c r="AX174" s="7">
        <v>55.773240000000001</v>
      </c>
    </row>
    <row r="175" spans="1:50">
      <c r="N175" s="7">
        <v>100</v>
      </c>
      <c r="O175" s="7">
        <v>0.117718</v>
      </c>
      <c r="P175" s="120" t="s">
        <v>1025</v>
      </c>
      <c r="Q175" s="7">
        <v>9.4175999999999996E-2</v>
      </c>
      <c r="R175" s="7">
        <v>9.5335000000000003E-2</v>
      </c>
      <c r="S175" s="7">
        <v>7.3367000000000002E-2</v>
      </c>
      <c r="T175" s="7">
        <v>0.15531400000000001</v>
      </c>
      <c r="U175" s="7">
        <v>22.794840000000001</v>
      </c>
      <c r="V175" s="120" t="s">
        <v>1021</v>
      </c>
      <c r="W175" s="7">
        <v>20.836279999999999</v>
      </c>
      <c r="X175" s="7">
        <v>20.210370000000001</v>
      </c>
      <c r="Y175" s="7">
        <v>33.601999999999997</v>
      </c>
      <c r="Z175" s="7">
        <v>27.718610000000002</v>
      </c>
      <c r="AA175" s="7">
        <v>38.29457</v>
      </c>
      <c r="AB175" s="120" t="s">
        <v>1021</v>
      </c>
      <c r="AC175" s="7">
        <v>37.361919999999998</v>
      </c>
      <c r="AD175" s="7">
        <v>41.070990000000002</v>
      </c>
      <c r="AE175" s="7">
        <v>53.115220000000001</v>
      </c>
      <c r="AF175" s="7">
        <v>47.879710000000003</v>
      </c>
      <c r="AG175" s="7">
        <v>35.483820000000001</v>
      </c>
      <c r="AH175" s="120" t="s">
        <v>1020</v>
      </c>
      <c r="AI175" s="7">
        <v>51.638950000000001</v>
      </c>
      <c r="AJ175" s="7">
        <v>48.729640000000003</v>
      </c>
      <c r="AK175" s="7">
        <v>62.244970000000002</v>
      </c>
      <c r="AL175" s="7">
        <v>59.825069999999997</v>
      </c>
      <c r="AM175" s="7">
        <v>51.321449999999999</v>
      </c>
      <c r="AN175" s="120" t="s">
        <v>1000</v>
      </c>
      <c r="AO175" s="7">
        <v>73.791939999999997</v>
      </c>
      <c r="AP175" s="7">
        <v>70.705879999999993</v>
      </c>
      <c r="AQ175" s="7">
        <v>65.361760000000004</v>
      </c>
      <c r="AR175" s="7">
        <v>94.242859999999993</v>
      </c>
      <c r="AS175" s="7">
        <v>95.582560000000001</v>
      </c>
      <c r="AT175" s="120" t="s">
        <v>998</v>
      </c>
      <c r="AU175" s="7">
        <v>153.38919999999999</v>
      </c>
      <c r="AV175" s="7">
        <v>120.9319</v>
      </c>
      <c r="AW175" s="7">
        <v>223.2851</v>
      </c>
      <c r="AX175" s="7">
        <v>112.81399999999999</v>
      </c>
    </row>
    <row r="176" spans="1:50">
      <c r="O176" s="230" t="s">
        <v>2125</v>
      </c>
      <c r="P176" s="230"/>
      <c r="Q176" s="230"/>
      <c r="R176" s="230"/>
      <c r="S176" s="230"/>
      <c r="T176" s="230"/>
      <c r="U176" s="230" t="s">
        <v>2131</v>
      </c>
      <c r="V176" s="230"/>
      <c r="W176" s="230"/>
      <c r="X176" s="230"/>
      <c r="Y176" s="230"/>
      <c r="Z176" s="230"/>
      <c r="AA176" s="230" t="s">
        <v>2132</v>
      </c>
      <c r="AB176" s="230"/>
      <c r="AC176" s="230"/>
      <c r="AD176" s="230"/>
      <c r="AE176" s="230"/>
      <c r="AF176" s="230"/>
      <c r="AG176" s="230" t="s">
        <v>2133</v>
      </c>
      <c r="AH176" s="230"/>
      <c r="AI176" s="230"/>
      <c r="AJ176" s="230"/>
      <c r="AK176" s="230"/>
      <c r="AL176" s="230"/>
      <c r="AM176" s="230" t="s">
        <v>2134</v>
      </c>
      <c r="AN176" s="230"/>
      <c r="AO176" s="230"/>
      <c r="AP176" s="230"/>
      <c r="AQ176" s="230"/>
      <c r="AR176" s="230"/>
      <c r="AS176" s="230" t="s">
        <v>2135</v>
      </c>
      <c r="AT176" s="230"/>
      <c r="AU176" s="230"/>
      <c r="AV176" s="230"/>
      <c r="AW176" s="230"/>
      <c r="AX176" s="230"/>
    </row>
    <row r="177" spans="1:50" ht="15">
      <c r="A177" s="68" t="s">
        <v>2219</v>
      </c>
      <c r="B177" s="244" t="s">
        <v>2092</v>
      </c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5" t="s">
        <v>2093</v>
      </c>
      <c r="O177" s="218">
        <v>7.1399999999999996E-3</v>
      </c>
      <c r="P177" s="218"/>
      <c r="Q177" s="218">
        <v>-1.42E-3</v>
      </c>
      <c r="R177" s="218"/>
      <c r="S177" s="218">
        <v>5.9999999999999995E-4</v>
      </c>
      <c r="T177" s="218"/>
      <c r="U177" s="218">
        <v>0.17599999999999999</v>
      </c>
      <c r="V177" s="218"/>
      <c r="W177" s="218">
        <v>0.20499999999999999</v>
      </c>
      <c r="X177" s="218"/>
      <c r="Y177" s="218">
        <v>1.0269999999999999</v>
      </c>
      <c r="Z177" s="218"/>
      <c r="AA177" s="218">
        <v>0.57799999999999996</v>
      </c>
      <c r="AB177" s="218"/>
      <c r="AC177" s="218">
        <v>0.66200000000000003</v>
      </c>
      <c r="AD177" s="218"/>
      <c r="AE177" s="218">
        <v>2.177</v>
      </c>
      <c r="AF177" s="218"/>
      <c r="AG177" s="218">
        <v>1.772</v>
      </c>
      <c r="AH177" s="218"/>
      <c r="AI177" s="218">
        <v>2.028</v>
      </c>
      <c r="AJ177" s="218"/>
      <c r="AK177" s="218">
        <v>4.4450000000000003</v>
      </c>
      <c r="AL177" s="218"/>
      <c r="AM177" s="218">
        <v>4.2069999999999999</v>
      </c>
      <c r="AN177" s="218"/>
      <c r="AO177" s="218">
        <v>4.6669999999999998</v>
      </c>
      <c r="AP177" s="218"/>
      <c r="AQ177" s="218">
        <v>6.3239999999999998</v>
      </c>
      <c r="AR177" s="218"/>
      <c r="AS177" s="218">
        <v>7.8479999999999999</v>
      </c>
      <c r="AT177" s="218"/>
      <c r="AU177" s="218">
        <v>7.5140000000000002</v>
      </c>
      <c r="AV177" s="218"/>
      <c r="AW177" s="218">
        <v>7.718</v>
      </c>
      <c r="AX177" s="218"/>
    </row>
    <row r="178" spans="1:50">
      <c r="A178" s="4" t="s">
        <v>1725</v>
      </c>
      <c r="B178" s="258">
        <v>0</v>
      </c>
      <c r="C178" s="258"/>
      <c r="D178" s="258"/>
      <c r="E178" s="258"/>
      <c r="F178" s="258"/>
      <c r="G178" s="258"/>
      <c r="H178" s="260">
        <v>100</v>
      </c>
      <c r="I178" s="260"/>
      <c r="J178" s="260"/>
      <c r="K178" s="260"/>
      <c r="L178" s="260"/>
      <c r="M178" s="260"/>
      <c r="N178" s="7">
        <v>0</v>
      </c>
      <c r="O178" s="7">
        <v>2.6987000000000001E-2</v>
      </c>
      <c r="P178" s="7">
        <v>8.9918999999999999E-2</v>
      </c>
      <c r="Q178" s="7">
        <v>5.4535E-2</v>
      </c>
      <c r="R178" s="7">
        <v>4.7699999999999999E-2</v>
      </c>
      <c r="S178" s="7">
        <v>4.6107000000000002E-2</v>
      </c>
      <c r="T178" s="7">
        <v>4.2805000000000003E-2</v>
      </c>
      <c r="U178" s="7">
        <v>9.9444000000000005E-2</v>
      </c>
      <c r="V178" s="7">
        <v>3.2770000000000001E-2</v>
      </c>
      <c r="W178" s="7">
        <v>4.9979000000000003E-2</v>
      </c>
      <c r="X178" s="7">
        <v>4.8555000000000001E-2</v>
      </c>
      <c r="Y178" s="7">
        <v>4.9662999999999999E-2</v>
      </c>
      <c r="Z178" s="7">
        <v>4.7631E-2</v>
      </c>
      <c r="AA178" s="7">
        <v>3.8892999999999997E-2</v>
      </c>
      <c r="AB178" s="7">
        <v>9.9444000000000005E-2</v>
      </c>
      <c r="AC178" s="7">
        <v>6.2224000000000002E-2</v>
      </c>
      <c r="AD178" s="7">
        <v>5.6529000000000003E-2</v>
      </c>
      <c r="AE178" s="7">
        <v>5.5506E-2</v>
      </c>
      <c r="AF178" s="7">
        <v>4.8139000000000001E-2</v>
      </c>
      <c r="AG178" s="120" t="s">
        <v>1026</v>
      </c>
      <c r="AH178" s="120" t="s">
        <v>1027</v>
      </c>
      <c r="AI178" s="7">
        <v>0.127723</v>
      </c>
      <c r="AJ178" s="7">
        <v>0.120604</v>
      </c>
      <c r="AK178" s="7">
        <v>0.10478899999999999</v>
      </c>
      <c r="AL178" s="7">
        <v>0.10428</v>
      </c>
      <c r="AM178" s="7">
        <v>0.509015</v>
      </c>
      <c r="AN178" s="7">
        <v>0.20762</v>
      </c>
      <c r="AO178" s="7">
        <v>0.73800399999999999</v>
      </c>
      <c r="AP178" s="7">
        <v>0.88039299999999998</v>
      </c>
      <c r="AQ178" s="7">
        <v>0.60243899999999995</v>
      </c>
      <c r="AR178" s="7">
        <v>0.60751900000000003</v>
      </c>
      <c r="AS178" s="7">
        <v>0.65529000000000004</v>
      </c>
      <c r="AT178" s="7">
        <v>1.8527039999999999</v>
      </c>
      <c r="AU178" s="7">
        <v>2.4808490000000001</v>
      </c>
      <c r="AV178" s="7">
        <v>2.5264129999999998</v>
      </c>
      <c r="AW178" s="7">
        <v>2.3349419999999999</v>
      </c>
      <c r="AX178" s="7">
        <v>2.0555059999999998</v>
      </c>
    </row>
    <row r="179" spans="1:50">
      <c r="A179" s="4">
        <v>0</v>
      </c>
      <c r="B179" s="7">
        <v>2.6987000000000001E-2</v>
      </c>
      <c r="C179" s="7">
        <v>8.9918999999999999E-2</v>
      </c>
      <c r="D179" s="7">
        <v>5.4535E-2</v>
      </c>
      <c r="E179" s="7">
        <v>4.7699999999999999E-2</v>
      </c>
      <c r="F179" s="7">
        <v>4.6107000000000002E-2</v>
      </c>
      <c r="G179" s="7">
        <v>4.2805000000000003E-2</v>
      </c>
      <c r="H179" s="7">
        <v>3.243E-2</v>
      </c>
      <c r="I179" s="7">
        <v>9.1961000000000001E-2</v>
      </c>
      <c r="J179" s="7">
        <v>4.2290000000000001E-2</v>
      </c>
      <c r="K179" s="7">
        <v>4.2290000000000001E-2</v>
      </c>
      <c r="L179" s="7">
        <v>4.7884999999999997E-2</v>
      </c>
      <c r="M179" s="7">
        <v>5.1950000000000003E-2</v>
      </c>
      <c r="N179" s="7">
        <v>0.01</v>
      </c>
      <c r="O179" s="7">
        <v>2.4945999999999999E-2</v>
      </c>
      <c r="P179" s="7">
        <v>9.4682000000000002E-2</v>
      </c>
      <c r="Q179" s="7">
        <v>4.7699999999999999E-2</v>
      </c>
      <c r="R179" s="7">
        <v>4.9409000000000002E-2</v>
      </c>
      <c r="S179" s="7">
        <v>4.3820999999999999E-2</v>
      </c>
      <c r="T179" s="7">
        <v>4.9917000000000003E-2</v>
      </c>
      <c r="U179" s="7">
        <v>0.113051</v>
      </c>
      <c r="V179" s="7">
        <v>3.8212999999999997E-2</v>
      </c>
      <c r="W179" s="7">
        <v>5.8236999999999997E-2</v>
      </c>
      <c r="X179" s="7">
        <v>5.2256999999999998E-2</v>
      </c>
      <c r="Y179" s="7">
        <v>5.2457999999999998E-2</v>
      </c>
      <c r="Z179" s="7">
        <v>5.2712000000000002E-2</v>
      </c>
      <c r="AA179" s="7">
        <v>4.0253999999999998E-2</v>
      </c>
      <c r="AB179" s="7">
        <v>0.106588</v>
      </c>
      <c r="AC179" s="7">
        <v>7.6177999999999996E-2</v>
      </c>
      <c r="AD179" s="7">
        <v>7.1622000000000005E-2</v>
      </c>
      <c r="AE179" s="7">
        <v>5.8555000000000003E-2</v>
      </c>
      <c r="AF179" s="7">
        <v>6.7699999999999996E-2</v>
      </c>
      <c r="AG179" s="7">
        <v>0.11611299999999999</v>
      </c>
      <c r="AH179" s="120" t="s">
        <v>1028</v>
      </c>
      <c r="AI179" s="7">
        <v>0.28520600000000002</v>
      </c>
      <c r="AJ179" s="7">
        <v>0.26242300000000002</v>
      </c>
      <c r="AK179" s="7">
        <v>0.19344600000000001</v>
      </c>
      <c r="AL179" s="7">
        <v>0.19852700000000001</v>
      </c>
      <c r="AM179" s="7">
        <v>0.54643399999999998</v>
      </c>
      <c r="AN179" s="7">
        <v>0.26408900000000002</v>
      </c>
      <c r="AO179" s="7">
        <v>1.908444</v>
      </c>
      <c r="AP179" s="7">
        <v>2.2786559999999998</v>
      </c>
      <c r="AQ179" s="7">
        <v>1.580465</v>
      </c>
      <c r="AR179" s="7">
        <v>1.669376</v>
      </c>
      <c r="AS179" s="7">
        <v>0.74373500000000003</v>
      </c>
      <c r="AT179" s="7">
        <v>1.96156</v>
      </c>
      <c r="AU179" s="7">
        <v>5.7757370000000003</v>
      </c>
      <c r="AV179" s="7">
        <v>5.2973090000000003</v>
      </c>
      <c r="AW179" s="7">
        <v>5.1216819999999998</v>
      </c>
      <c r="AX179" s="7">
        <v>4.6847450000000004</v>
      </c>
    </row>
    <row r="180" spans="1:50">
      <c r="A180" s="4">
        <v>0.47</v>
      </c>
      <c r="B180" s="7">
        <v>9.9444000000000005E-2</v>
      </c>
      <c r="C180" s="7">
        <v>3.2770000000000001E-2</v>
      </c>
      <c r="D180" s="7">
        <v>4.9979000000000003E-2</v>
      </c>
      <c r="E180" s="7">
        <v>4.8555000000000001E-2</v>
      </c>
      <c r="F180" s="7">
        <v>4.9662999999999999E-2</v>
      </c>
      <c r="G180" s="7">
        <v>4.7631E-2</v>
      </c>
      <c r="H180" s="7">
        <v>1.151945</v>
      </c>
      <c r="I180" s="7">
        <v>3.7202630000000001</v>
      </c>
      <c r="J180" s="7">
        <v>6.1231669999999996</v>
      </c>
      <c r="K180" s="7">
        <v>5.9551470000000002</v>
      </c>
      <c r="L180" s="7">
        <v>4.1385750000000003</v>
      </c>
      <c r="M180" s="7">
        <v>3.8083320000000001</v>
      </c>
      <c r="N180" s="7">
        <v>0.1</v>
      </c>
      <c r="O180" s="7">
        <v>3.9232999999999997E-2</v>
      </c>
      <c r="P180" s="7">
        <v>0.103867</v>
      </c>
      <c r="Q180" s="7">
        <v>4.5991999999999998E-2</v>
      </c>
      <c r="R180" s="7">
        <v>4.9409000000000002E-2</v>
      </c>
      <c r="S180" s="7">
        <v>4.6107000000000002E-2</v>
      </c>
      <c r="T180" s="7">
        <v>4.7884999999999997E-2</v>
      </c>
      <c r="U180" s="7">
        <v>0.108969</v>
      </c>
      <c r="V180" s="7">
        <v>6.0324000000000003E-2</v>
      </c>
      <c r="W180" s="7">
        <v>0.106934</v>
      </c>
      <c r="X180" s="7">
        <v>9.6682000000000004E-2</v>
      </c>
      <c r="Y180" s="7">
        <v>7.4559E-2</v>
      </c>
      <c r="Z180" s="7">
        <v>8.3704000000000001E-2</v>
      </c>
      <c r="AA180" s="7">
        <v>0.120875</v>
      </c>
      <c r="AB180" s="7">
        <v>0.145368</v>
      </c>
      <c r="AC180" s="7">
        <v>0.67535199999999995</v>
      </c>
      <c r="AD180" s="7">
        <v>0.62694000000000005</v>
      </c>
      <c r="AE180" s="7">
        <v>0.31030099999999999</v>
      </c>
      <c r="AF180" s="7">
        <v>0.315382</v>
      </c>
      <c r="AG180" s="120" t="s">
        <v>1029</v>
      </c>
      <c r="AH180" s="7">
        <v>1.196167</v>
      </c>
      <c r="AI180" s="7">
        <v>6.8208739999999999</v>
      </c>
      <c r="AJ180" s="7">
        <v>6.1601879999999998</v>
      </c>
      <c r="AK180" s="7">
        <v>3.7956310000000002</v>
      </c>
      <c r="AL180" s="7">
        <v>4.3087770000000001</v>
      </c>
      <c r="AM180" s="7">
        <v>7.5506289999999998</v>
      </c>
      <c r="AN180" s="7">
        <v>4.172695</v>
      </c>
      <c r="AO180" s="7">
        <v>17.867439999999998</v>
      </c>
      <c r="AP180" s="7">
        <v>18.533819999999999</v>
      </c>
      <c r="AQ180" s="7">
        <v>14.233840000000001</v>
      </c>
      <c r="AR180" s="7">
        <v>14.14747</v>
      </c>
      <c r="AS180" s="7">
        <v>11.60891</v>
      </c>
      <c r="AT180" s="7">
        <v>14.78955</v>
      </c>
      <c r="AU180" s="7">
        <v>22.816890000000001</v>
      </c>
      <c r="AV180" s="7">
        <v>24.329059999999998</v>
      </c>
      <c r="AW180" s="7">
        <v>20.925059999999998</v>
      </c>
      <c r="AX180" s="7">
        <v>21.245139999999999</v>
      </c>
    </row>
    <row r="181" spans="1:50">
      <c r="A181" s="4">
        <v>1.1399999999999999</v>
      </c>
      <c r="B181" s="7">
        <v>3.8892999999999997E-2</v>
      </c>
      <c r="C181" s="7">
        <v>9.9444000000000005E-2</v>
      </c>
      <c r="D181" s="7">
        <v>6.2224000000000002E-2</v>
      </c>
      <c r="E181" s="7">
        <v>5.6529000000000003E-2</v>
      </c>
      <c r="F181" s="7">
        <v>5.5506E-2</v>
      </c>
      <c r="G181" s="7">
        <v>4.8139000000000001E-2</v>
      </c>
      <c r="H181" s="7">
        <v>15.531129999999999</v>
      </c>
      <c r="I181" s="7">
        <v>11.02041</v>
      </c>
      <c r="J181" s="7">
        <v>17.380459999999999</v>
      </c>
      <c r="K181" s="7">
        <v>16.75395</v>
      </c>
      <c r="L181" s="7">
        <v>14.017910000000001</v>
      </c>
      <c r="M181" s="7">
        <v>14.45485</v>
      </c>
      <c r="N181" s="7">
        <v>0.5</v>
      </c>
      <c r="O181" s="7">
        <v>3.175E-2</v>
      </c>
      <c r="P181" s="7">
        <v>9.9103999999999998E-2</v>
      </c>
      <c r="Q181" s="7">
        <v>4.7699999999999999E-2</v>
      </c>
      <c r="R181" s="7">
        <v>4.7416E-2</v>
      </c>
      <c r="S181" s="7">
        <v>5.0680000000000003E-2</v>
      </c>
      <c r="T181" s="7">
        <v>5.4489999999999997E-2</v>
      </c>
      <c r="U181" s="7">
        <v>0.17530299999999999</v>
      </c>
      <c r="V181" s="7">
        <v>0.24673999999999999</v>
      </c>
      <c r="W181" s="7">
        <v>0.60131000000000001</v>
      </c>
      <c r="X181" s="7">
        <v>0.510181</v>
      </c>
      <c r="Y181" s="7">
        <v>0.30776100000000001</v>
      </c>
      <c r="Z181" s="7">
        <v>0.36364800000000003</v>
      </c>
      <c r="AA181" s="7">
        <v>2.4071889999999998</v>
      </c>
      <c r="AB181" s="7">
        <v>0.81857400000000002</v>
      </c>
      <c r="AC181" s="7">
        <v>6.3339030000000003</v>
      </c>
      <c r="AD181" s="7">
        <v>5.6504339999999997</v>
      </c>
      <c r="AE181" s="7">
        <v>3.1605490000000001</v>
      </c>
      <c r="AF181" s="7">
        <v>3.0843389999999999</v>
      </c>
      <c r="AG181" s="7">
        <v>8.2820049999999998</v>
      </c>
      <c r="AH181" s="7">
        <v>13.12269</v>
      </c>
      <c r="AI181" s="7">
        <v>19.82386</v>
      </c>
      <c r="AJ181" s="7">
        <v>18.3658</v>
      </c>
      <c r="AK181" s="7">
        <v>15.796139999999999</v>
      </c>
      <c r="AL181" s="7">
        <v>16.28642</v>
      </c>
      <c r="AM181" s="7">
        <v>24.12734</v>
      </c>
      <c r="AN181" s="7">
        <v>29.519110000000001</v>
      </c>
      <c r="AO181" s="7">
        <v>25.861170000000001</v>
      </c>
      <c r="AP181" s="7">
        <v>27.57554</v>
      </c>
      <c r="AQ181" s="7">
        <v>25.13184</v>
      </c>
      <c r="AR181" s="7">
        <v>25.055630000000001</v>
      </c>
      <c r="AS181" s="7">
        <v>40.18018</v>
      </c>
      <c r="AT181" s="7">
        <v>27.600519999999999</v>
      </c>
      <c r="AU181" s="7">
        <v>28.518149999999999</v>
      </c>
      <c r="AV181" s="7">
        <v>29.762640000000001</v>
      </c>
      <c r="AW181" s="7">
        <v>28.30979</v>
      </c>
      <c r="AX181" s="7">
        <v>28.48508</v>
      </c>
    </row>
    <row r="182" spans="1:50">
      <c r="A182" s="4">
        <v>2.75</v>
      </c>
      <c r="B182" s="120" t="s">
        <v>1026</v>
      </c>
      <c r="C182" s="120" t="s">
        <v>1027</v>
      </c>
      <c r="D182" s="7">
        <v>0.127723</v>
      </c>
      <c r="E182" s="7">
        <v>0.120604</v>
      </c>
      <c r="F182" s="7">
        <v>0.10478899999999999</v>
      </c>
      <c r="G182" s="7">
        <v>0.10428</v>
      </c>
      <c r="H182" s="7">
        <v>32.448009999999996</v>
      </c>
      <c r="I182" s="7">
        <v>28.804739999999999</v>
      </c>
      <c r="J182" s="7">
        <v>26.90916</v>
      </c>
      <c r="K182" s="7">
        <v>26.90916</v>
      </c>
      <c r="L182" s="7">
        <v>26.22926</v>
      </c>
      <c r="M182" s="7">
        <v>26.795760000000001</v>
      </c>
      <c r="N182" s="7">
        <v>1</v>
      </c>
      <c r="O182" s="7">
        <v>3.0728999999999999E-2</v>
      </c>
      <c r="P182" s="7">
        <v>0.106588</v>
      </c>
      <c r="Q182" s="7">
        <v>5.0548000000000003E-2</v>
      </c>
      <c r="R182" s="7">
        <v>4.8555000000000001E-2</v>
      </c>
      <c r="S182" s="7">
        <v>4.5852999999999998E-2</v>
      </c>
      <c r="T182" s="7">
        <v>5.2712000000000002E-2</v>
      </c>
      <c r="U182" s="7">
        <v>0.26749099999999998</v>
      </c>
      <c r="V182" s="7">
        <v>0.641683</v>
      </c>
      <c r="W182" s="7">
        <v>1.1053679999999999</v>
      </c>
      <c r="X182" s="7">
        <v>0.88608900000000002</v>
      </c>
      <c r="Y182" s="7">
        <v>0.52876900000000004</v>
      </c>
      <c r="Z182" s="7">
        <v>0.55671300000000001</v>
      </c>
      <c r="AA182" s="7">
        <v>6.1627169999999998</v>
      </c>
      <c r="AB182" s="7">
        <v>1.794875</v>
      </c>
      <c r="AC182" s="7">
        <v>8.8314109999999992</v>
      </c>
      <c r="AD182" s="7">
        <v>8.4070909999999994</v>
      </c>
      <c r="AE182" s="7">
        <v>5.0759559999999997</v>
      </c>
      <c r="AF182" s="7">
        <v>4.9209959999999997</v>
      </c>
      <c r="AG182" s="7">
        <v>15.483499999999999</v>
      </c>
      <c r="AH182" s="7">
        <v>18.045020000000001</v>
      </c>
      <c r="AI182" s="7">
        <v>22.956430000000001</v>
      </c>
      <c r="AJ182" s="7">
        <v>20.755089999999999</v>
      </c>
      <c r="AK182" s="7">
        <v>18.745460000000001</v>
      </c>
      <c r="AL182" s="7">
        <v>19.682839999999999</v>
      </c>
      <c r="AM182" s="7">
        <v>26.933779999999999</v>
      </c>
      <c r="AN182" s="7">
        <v>36.88729</v>
      </c>
      <c r="AO182" s="7">
        <v>27.660969999999999</v>
      </c>
      <c r="AP182" s="7">
        <v>29.133279999999999</v>
      </c>
      <c r="AQ182" s="7">
        <v>25.83297</v>
      </c>
      <c r="AR182" s="7">
        <v>26.391850000000002</v>
      </c>
      <c r="AS182" s="7">
        <v>44.847369999999998</v>
      </c>
      <c r="AT182" s="7">
        <v>31.185960000000001</v>
      </c>
      <c r="AU182" s="7">
        <v>28.344439999999999</v>
      </c>
      <c r="AV182" s="7">
        <v>34.672220000000003</v>
      </c>
      <c r="AW182" s="7">
        <v>30.278549999999999</v>
      </c>
      <c r="AX182" s="7">
        <v>29.277660000000001</v>
      </c>
    </row>
    <row r="183" spans="1:50">
      <c r="A183" s="4">
        <v>5.07</v>
      </c>
      <c r="B183" s="7">
        <v>0.509015</v>
      </c>
      <c r="C183" s="7">
        <v>0.20762</v>
      </c>
      <c r="D183" s="7">
        <v>0.73800399999999999</v>
      </c>
      <c r="E183" s="7">
        <v>0.88039299999999998</v>
      </c>
      <c r="F183" s="7">
        <v>0.60243899999999995</v>
      </c>
      <c r="G183" s="7">
        <v>0.60751900000000003</v>
      </c>
      <c r="H183" s="7">
        <v>35.023130000000002</v>
      </c>
      <c r="I183" s="7">
        <v>45.952939999999998</v>
      </c>
      <c r="J183" s="7">
        <v>30.779299999999999</v>
      </c>
      <c r="K183" s="7">
        <v>33.424889999999998</v>
      </c>
      <c r="L183" s="7">
        <v>32.478470000000002</v>
      </c>
      <c r="M183" s="7">
        <v>32.778230000000001</v>
      </c>
      <c r="N183" s="7">
        <v>5</v>
      </c>
      <c r="O183" s="7">
        <v>3.8892999999999997E-2</v>
      </c>
      <c r="P183" s="7">
        <v>0.107949</v>
      </c>
      <c r="Q183" s="7">
        <v>4.6560999999999998E-2</v>
      </c>
      <c r="R183" s="7">
        <v>5.0833000000000003E-2</v>
      </c>
      <c r="S183" s="7">
        <v>5.1187999999999997E-2</v>
      </c>
      <c r="T183" s="7">
        <v>5.4235999999999999E-2</v>
      </c>
      <c r="U183" s="7">
        <v>0.42056900000000003</v>
      </c>
      <c r="V183" s="7">
        <v>1.3798619999999999</v>
      </c>
      <c r="W183" s="7">
        <v>2.2074609999999999</v>
      </c>
      <c r="X183" s="7">
        <v>2.2302430000000002</v>
      </c>
      <c r="Y183" s="7">
        <v>1.38486</v>
      </c>
      <c r="Z183" s="7">
        <v>1.2934079999999999</v>
      </c>
      <c r="AA183" s="7">
        <v>10.081530000000001</v>
      </c>
      <c r="AB183" s="7">
        <v>4.4244250000000003</v>
      </c>
      <c r="AC183" s="7">
        <v>13.689730000000001</v>
      </c>
      <c r="AD183" s="7">
        <v>12.450950000000001</v>
      </c>
      <c r="AE183" s="7">
        <v>8.9906009999999998</v>
      </c>
      <c r="AF183" s="7">
        <v>9.0185440000000003</v>
      </c>
      <c r="AG183" s="7">
        <v>22.834679999999999</v>
      </c>
      <c r="AH183" s="7">
        <v>24.202179999999998</v>
      </c>
      <c r="AI183" s="7">
        <v>25.940909999999999</v>
      </c>
      <c r="AJ183" s="7">
        <v>23.887650000000001</v>
      </c>
      <c r="AK183" s="7">
        <v>22.04026</v>
      </c>
      <c r="AL183" s="7">
        <v>22.446719999999999</v>
      </c>
      <c r="AM183" s="7">
        <v>30.71312</v>
      </c>
      <c r="AN183" s="7">
        <v>45.258989999999997</v>
      </c>
      <c r="AO183" s="7">
        <v>25.784279999999999</v>
      </c>
      <c r="AP183" s="7">
        <v>31.7333</v>
      </c>
      <c r="AQ183" s="7">
        <v>27.883019999999998</v>
      </c>
      <c r="AR183" s="7">
        <v>29.458020000000001</v>
      </c>
      <c r="AS183" s="7">
        <v>52.076090000000001</v>
      </c>
      <c r="AT183" s="7">
        <v>36.553919999999998</v>
      </c>
      <c r="AU183" s="7">
        <v>32.718640000000001</v>
      </c>
      <c r="AV183" s="7">
        <v>36.96754</v>
      </c>
      <c r="AW183" s="7">
        <v>33.895969999999998</v>
      </c>
      <c r="AX183" s="7">
        <v>33.69021</v>
      </c>
    </row>
    <row r="184" spans="1:50">
      <c r="A184" s="4">
        <v>7.69</v>
      </c>
      <c r="B184" s="7">
        <v>0.65529000000000004</v>
      </c>
      <c r="C184" s="7">
        <v>1.8527039999999999</v>
      </c>
      <c r="D184" s="7">
        <v>2.4808490000000001</v>
      </c>
      <c r="E184" s="7">
        <v>2.5264129999999998</v>
      </c>
      <c r="F184" s="7">
        <v>2.3349419999999999</v>
      </c>
      <c r="G184" s="7">
        <v>2.0555059999999998</v>
      </c>
      <c r="H184" s="7">
        <v>53.365349999999999</v>
      </c>
      <c r="I184" s="7">
        <v>40.55097</v>
      </c>
      <c r="J184" s="7">
        <v>35.529400000000003</v>
      </c>
      <c r="K184" s="7">
        <v>34.777589999999996</v>
      </c>
      <c r="L184" s="7">
        <v>37.602310000000003</v>
      </c>
      <c r="M184" s="7">
        <v>37.147590000000001</v>
      </c>
      <c r="N184" s="7">
        <v>10</v>
      </c>
      <c r="O184" s="7">
        <v>3.7192000000000003E-2</v>
      </c>
      <c r="P184" s="7">
        <v>0.107949</v>
      </c>
      <c r="Q184" s="7">
        <v>5.0833000000000003E-2</v>
      </c>
      <c r="R184" s="7">
        <v>5.0548000000000003E-2</v>
      </c>
      <c r="S184" s="7">
        <v>5.5506E-2</v>
      </c>
      <c r="T184" s="7">
        <v>5.8046E-2</v>
      </c>
      <c r="U184" s="7">
        <v>0.52602300000000002</v>
      </c>
      <c r="V184" s="7">
        <v>1.869713</v>
      </c>
      <c r="W184" s="7">
        <v>3.4006829999999999</v>
      </c>
      <c r="X184" s="7">
        <v>2.5662820000000002</v>
      </c>
      <c r="Y184" s="7">
        <v>1.8294170000000001</v>
      </c>
      <c r="Z184" s="7">
        <v>1.7989329999999999</v>
      </c>
      <c r="AA184" s="7">
        <v>11.5749</v>
      </c>
      <c r="AB184" s="7">
        <v>5.5980270000000001</v>
      </c>
      <c r="AC184" s="7">
        <v>15.09939</v>
      </c>
      <c r="AD184" s="7">
        <v>14.20234</v>
      </c>
      <c r="AE184" s="7">
        <v>10.57831</v>
      </c>
      <c r="AF184" s="7">
        <v>10.38524</v>
      </c>
      <c r="AG184" s="7">
        <v>26.12416</v>
      </c>
      <c r="AH184" s="7">
        <v>26.04252</v>
      </c>
      <c r="AI184" s="7">
        <v>26.829419999999999</v>
      </c>
      <c r="AJ184" s="7">
        <v>25.394130000000001</v>
      </c>
      <c r="AK184" s="7">
        <v>23.93535</v>
      </c>
      <c r="AL184" s="7">
        <v>24.750789999999999</v>
      </c>
      <c r="AM184" s="7">
        <v>34.597909999999999</v>
      </c>
      <c r="AN184" s="7">
        <v>46.517629999999997</v>
      </c>
      <c r="AO184" s="7">
        <v>30.500209999999999</v>
      </c>
      <c r="AP184" s="7">
        <v>32.618969999999997</v>
      </c>
      <c r="AQ184" s="7">
        <v>31.025400000000001</v>
      </c>
      <c r="AR184" s="7">
        <v>30.93141</v>
      </c>
      <c r="AS184" s="7">
        <v>55.692140000000002</v>
      </c>
      <c r="AT184" s="7">
        <v>43.765619999999998</v>
      </c>
      <c r="AU184" s="7">
        <v>34.461480000000002</v>
      </c>
      <c r="AV184" s="7">
        <v>41.133850000000002</v>
      </c>
      <c r="AW184" s="7">
        <v>37.147590000000001</v>
      </c>
      <c r="AX184" s="7">
        <v>36.695410000000003</v>
      </c>
    </row>
    <row r="185" spans="1:50">
      <c r="N185" s="7">
        <v>100</v>
      </c>
      <c r="O185" s="7">
        <v>3.243E-2</v>
      </c>
      <c r="P185" s="7">
        <v>9.1961000000000001E-2</v>
      </c>
      <c r="Q185" s="7">
        <v>4.2290000000000001E-2</v>
      </c>
      <c r="R185" s="7">
        <v>4.2290000000000001E-2</v>
      </c>
      <c r="S185" s="7">
        <v>4.7884999999999997E-2</v>
      </c>
      <c r="T185" s="7">
        <v>5.1950000000000003E-2</v>
      </c>
      <c r="U185" s="7">
        <v>1.151945</v>
      </c>
      <c r="V185" s="7">
        <v>3.7202630000000001</v>
      </c>
      <c r="W185" s="7">
        <v>6.1231669999999996</v>
      </c>
      <c r="X185" s="7">
        <v>5.9551470000000002</v>
      </c>
      <c r="Y185" s="7">
        <v>4.1385750000000003</v>
      </c>
      <c r="Z185" s="7">
        <v>3.8083320000000001</v>
      </c>
      <c r="AA185" s="7">
        <v>15.531129999999999</v>
      </c>
      <c r="AB185" s="7">
        <v>11.02041</v>
      </c>
      <c r="AC185" s="7">
        <v>17.380459999999999</v>
      </c>
      <c r="AD185" s="7">
        <v>16.75395</v>
      </c>
      <c r="AE185" s="7">
        <v>14.017910000000001</v>
      </c>
      <c r="AF185" s="7">
        <v>14.45485</v>
      </c>
      <c r="AG185" s="7">
        <v>32.448009999999996</v>
      </c>
      <c r="AH185" s="7">
        <v>28.804739999999999</v>
      </c>
      <c r="AI185" s="7">
        <v>26.90916</v>
      </c>
      <c r="AJ185" s="7">
        <v>26.90916</v>
      </c>
      <c r="AK185" s="7">
        <v>26.22926</v>
      </c>
      <c r="AL185" s="7">
        <v>26.795760000000001</v>
      </c>
      <c r="AM185" s="7">
        <v>35.023130000000002</v>
      </c>
      <c r="AN185" s="7">
        <v>45.952939999999998</v>
      </c>
      <c r="AO185" s="7">
        <v>30.779299999999999</v>
      </c>
      <c r="AP185" s="7">
        <v>33.424889999999998</v>
      </c>
      <c r="AQ185" s="7">
        <v>32.478470000000002</v>
      </c>
      <c r="AR185" s="7">
        <v>32.778230000000001</v>
      </c>
      <c r="AS185" s="7">
        <v>53.365349999999999</v>
      </c>
      <c r="AT185" s="7">
        <v>40.55097</v>
      </c>
      <c r="AU185" s="7">
        <v>35.529400000000003</v>
      </c>
      <c r="AV185" s="7">
        <v>34.777589999999996</v>
      </c>
      <c r="AW185" s="7">
        <v>37.602310000000003</v>
      </c>
      <c r="AX185" s="7">
        <v>37.147590000000001</v>
      </c>
    </row>
    <row r="186" spans="1:50">
      <c r="O186" s="230" t="s">
        <v>2125</v>
      </c>
      <c r="P186" s="230"/>
      <c r="Q186" s="230"/>
      <c r="R186" s="230"/>
      <c r="S186" s="230"/>
      <c r="T186" s="230"/>
      <c r="U186" s="230" t="s">
        <v>2131</v>
      </c>
      <c r="V186" s="230"/>
      <c r="W186" s="230"/>
      <c r="X186" s="230"/>
      <c r="Y186" s="230"/>
      <c r="Z186" s="230"/>
      <c r="AA186" s="230" t="s">
        <v>2132</v>
      </c>
      <c r="AB186" s="230"/>
      <c r="AC186" s="230"/>
      <c r="AD186" s="230"/>
      <c r="AE186" s="230"/>
      <c r="AF186" s="230"/>
      <c r="AG186" s="230" t="s">
        <v>2133</v>
      </c>
      <c r="AH186" s="230"/>
      <c r="AI186" s="230"/>
      <c r="AJ186" s="230"/>
      <c r="AK186" s="230"/>
      <c r="AL186" s="230"/>
      <c r="AM186" s="230" t="s">
        <v>2134</v>
      </c>
      <c r="AN186" s="230"/>
      <c r="AO186" s="230"/>
      <c r="AP186" s="230"/>
      <c r="AQ186" s="230"/>
      <c r="AR186" s="230"/>
      <c r="AS186" s="230" t="s">
        <v>2135</v>
      </c>
      <c r="AT186" s="230"/>
      <c r="AU186" s="230"/>
      <c r="AV186" s="230"/>
      <c r="AW186" s="230"/>
      <c r="AX186" s="230"/>
    </row>
    <row r="187" spans="1:50" ht="15">
      <c r="A187" s="68" t="s">
        <v>2220</v>
      </c>
      <c r="B187" s="244" t="s">
        <v>2094</v>
      </c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4" t="s">
        <v>2022</v>
      </c>
      <c r="O187" s="218">
        <v>7.1399999999999996E-3</v>
      </c>
      <c r="P187" s="218"/>
      <c r="Q187" s="218">
        <v>-1.42E-3</v>
      </c>
      <c r="R187" s="218"/>
      <c r="S187" s="218">
        <v>5.9999999999999995E-4</v>
      </c>
      <c r="T187" s="218"/>
      <c r="U187" s="218">
        <v>0.17599999999999999</v>
      </c>
      <c r="V187" s="218"/>
      <c r="W187" s="218">
        <v>0.20499999999999999</v>
      </c>
      <c r="X187" s="218"/>
      <c r="Y187" s="218">
        <v>1.0269999999999999</v>
      </c>
      <c r="Z187" s="218"/>
      <c r="AA187" s="218">
        <v>0.57799999999999996</v>
      </c>
      <c r="AB187" s="218"/>
      <c r="AC187" s="218">
        <v>0.66200000000000003</v>
      </c>
      <c r="AD187" s="218"/>
      <c r="AE187" s="218">
        <v>2.177</v>
      </c>
      <c r="AF187" s="218"/>
      <c r="AG187" s="218">
        <v>1.772</v>
      </c>
      <c r="AH187" s="218"/>
      <c r="AI187" s="218">
        <v>2.028</v>
      </c>
      <c r="AJ187" s="218"/>
      <c r="AK187" s="218">
        <v>4.4450000000000003</v>
      </c>
      <c r="AL187" s="218"/>
      <c r="AM187" s="218">
        <v>4.2069999999999999</v>
      </c>
      <c r="AN187" s="218"/>
      <c r="AO187" s="218">
        <v>4.6669999999999998</v>
      </c>
      <c r="AP187" s="218"/>
      <c r="AQ187" s="218">
        <v>6.3239999999999998</v>
      </c>
      <c r="AR187" s="218"/>
      <c r="AS187" s="218">
        <v>7.8479999999999999</v>
      </c>
      <c r="AT187" s="218"/>
      <c r="AU187" s="218">
        <v>7.5140000000000002</v>
      </c>
      <c r="AV187" s="218"/>
      <c r="AW187" s="218">
        <v>7.718</v>
      </c>
      <c r="AX187" s="218"/>
    </row>
    <row r="188" spans="1:50">
      <c r="A188" s="4" t="s">
        <v>1725</v>
      </c>
      <c r="B188" s="258">
        <v>0</v>
      </c>
      <c r="C188" s="258"/>
      <c r="D188" s="258"/>
      <c r="E188" s="258"/>
      <c r="F188" s="258"/>
      <c r="G188" s="258"/>
      <c r="H188" s="260">
        <v>10</v>
      </c>
      <c r="I188" s="260"/>
      <c r="J188" s="260"/>
      <c r="K188" s="260"/>
      <c r="L188" s="260"/>
      <c r="M188" s="260"/>
      <c r="N188" s="4">
        <v>0</v>
      </c>
      <c r="O188" s="4">
        <v>4.2042423000000002E-2</v>
      </c>
      <c r="P188" s="4">
        <v>4.2296456000000003E-2</v>
      </c>
      <c r="Q188" s="4">
        <v>3.8302719999999998E-2</v>
      </c>
      <c r="R188" s="4">
        <v>3.6309269999999998E-2</v>
      </c>
      <c r="S188" s="4">
        <v>2.2896474E-2</v>
      </c>
      <c r="T188" s="4">
        <v>2.8515241E-2</v>
      </c>
      <c r="U188" s="4">
        <v>3.6594047999999997E-2</v>
      </c>
      <c r="V188" s="4">
        <v>4.0011391E-2</v>
      </c>
      <c r="W188" s="4">
        <v>2.8515241E-2</v>
      </c>
      <c r="X188" s="4">
        <v>3.3291192999999997E-2</v>
      </c>
      <c r="Y188" s="4">
        <v>4.1720063000000002E-2</v>
      </c>
      <c r="Z188" s="4">
        <v>4.3428733999999997E-2</v>
      </c>
      <c r="AA188" s="4">
        <v>2.7110549000000001E-2</v>
      </c>
      <c r="AB188" s="4">
        <v>3.2167438999999999E-2</v>
      </c>
      <c r="AC188" s="4">
        <v>3.7215801E-2</v>
      </c>
      <c r="AD188" s="4">
        <v>4.1534358E-2</v>
      </c>
      <c r="AE188" s="4">
        <v>5.4250319999999998E-2</v>
      </c>
      <c r="AF188" s="4">
        <v>5.6528548999999997E-2</v>
      </c>
      <c r="AG188" s="4">
        <v>4.0314651E-2</v>
      </c>
      <c r="AH188" s="4">
        <v>4.3124033999999999E-2</v>
      </c>
      <c r="AI188" s="4">
        <v>4.2804521999999998E-2</v>
      </c>
      <c r="AJ188" s="4">
        <v>4.3820653000000001E-2</v>
      </c>
      <c r="AK188" s="4">
        <v>5.3473897999999999E-2</v>
      </c>
      <c r="AL188" s="4">
        <v>5.8554554000000002E-2</v>
      </c>
      <c r="AM188" s="4">
        <v>0.121742845</v>
      </c>
      <c r="AN188" s="4">
        <v>0.119179838</v>
      </c>
      <c r="AO188" s="4">
        <v>0.11139204900000001</v>
      </c>
      <c r="AP188" s="4">
        <v>0.10858266599999999</v>
      </c>
      <c r="AQ188" s="4">
        <v>0.13069986</v>
      </c>
      <c r="AR188" s="4">
        <v>0.13069986</v>
      </c>
      <c r="AS188" s="4">
        <v>0.29484478200000003</v>
      </c>
      <c r="AT188" s="4">
        <v>0.30608231499999999</v>
      </c>
      <c r="AU188" s="4">
        <v>0.31083582500000001</v>
      </c>
      <c r="AV188" s="4">
        <v>0.33361811200000002</v>
      </c>
      <c r="AW188" s="4">
        <v>0.325542995</v>
      </c>
      <c r="AX188" s="4">
        <v>0.34332528899999998</v>
      </c>
    </row>
    <row r="189" spans="1:50">
      <c r="A189" s="4">
        <v>0</v>
      </c>
      <c r="B189" s="4">
        <v>4.2042423000000002E-2</v>
      </c>
      <c r="C189" s="4">
        <v>4.2296456000000003E-2</v>
      </c>
      <c r="D189" s="4">
        <v>3.8302719999999998E-2</v>
      </c>
      <c r="E189" s="4">
        <v>3.6309269999999998E-2</v>
      </c>
      <c r="F189" s="4">
        <v>2.2896474E-2</v>
      </c>
      <c r="G189" s="4">
        <v>2.8515241E-2</v>
      </c>
      <c r="H189" s="4">
        <v>5.4235996000000002E-2</v>
      </c>
      <c r="I189" s="4">
        <v>5.3473897999999999E-2</v>
      </c>
      <c r="J189" s="4">
        <v>4.4852626999999999E-2</v>
      </c>
      <c r="K189" s="4">
        <v>4.7700412999999997E-2</v>
      </c>
      <c r="L189" s="4">
        <v>4.1719342999999999E-2</v>
      </c>
      <c r="M189" s="4">
        <v>4.2843095999999997E-2</v>
      </c>
      <c r="N189" s="4">
        <v>1E-3</v>
      </c>
      <c r="O189" s="4">
        <v>4.3312587E-2</v>
      </c>
      <c r="P189" s="4">
        <v>4.7123078999999998E-2</v>
      </c>
      <c r="Q189" s="4">
        <v>3.9726613000000001E-2</v>
      </c>
      <c r="R189" s="4">
        <v>4.3428733999999997E-2</v>
      </c>
      <c r="S189" s="4">
        <v>2.6267734000000001E-2</v>
      </c>
      <c r="T189" s="4">
        <v>2.5424919000000001E-2</v>
      </c>
      <c r="U189" s="4">
        <v>4.1720063000000002E-2</v>
      </c>
      <c r="V189" s="4">
        <v>4.5137405999999998E-2</v>
      </c>
      <c r="W189" s="4">
        <v>2.3739289E-2</v>
      </c>
      <c r="X189" s="4">
        <v>3.1324624000000002E-2</v>
      </c>
      <c r="Y189" s="4">
        <v>4.4567848E-2</v>
      </c>
      <c r="Z189" s="4">
        <v>4.5706963000000003E-2</v>
      </c>
      <c r="AA189" s="4">
        <v>2.8234302999999999E-2</v>
      </c>
      <c r="AB189" s="4">
        <v>3.4976822999999997E-2</v>
      </c>
      <c r="AC189" s="4">
        <v>4.0772259999999998E-2</v>
      </c>
      <c r="AD189" s="4">
        <v>4.4074686000000002E-2</v>
      </c>
      <c r="AE189" s="4">
        <v>5.7952442E-2</v>
      </c>
      <c r="AF189" s="4">
        <v>6.1939342000000001E-2</v>
      </c>
      <c r="AG189" s="4">
        <v>3.8067143999999997E-2</v>
      </c>
      <c r="AH189" s="4">
        <v>3.9190898000000002E-2</v>
      </c>
      <c r="AI189" s="4">
        <v>4.5598882E-2</v>
      </c>
      <c r="AJ189" s="4">
        <v>4.4836783999999998E-2</v>
      </c>
      <c r="AK189" s="4">
        <v>6.2619077999999995E-2</v>
      </c>
      <c r="AL189" s="4">
        <v>6.3381175999999997E-2</v>
      </c>
      <c r="AM189" s="4">
        <v>0.12829275200000001</v>
      </c>
      <c r="AN189" s="4">
        <v>0.121173288</v>
      </c>
      <c r="AO189" s="4">
        <v>0.11139204900000001</v>
      </c>
      <c r="AP189" s="4">
        <v>0.107458913</v>
      </c>
      <c r="AQ189" s="4">
        <v>0.12434904099999999</v>
      </c>
      <c r="AR189" s="4">
        <v>0.13069986</v>
      </c>
      <c r="AS189" s="4">
        <v>0.29484478200000003</v>
      </c>
      <c r="AT189" s="4">
        <v>0.26113218100000002</v>
      </c>
      <c r="AU189" s="4">
        <v>0.30229246799999998</v>
      </c>
      <c r="AV189" s="4">
        <v>0.32222696899999997</v>
      </c>
      <c r="AW189" s="4">
        <v>0.340784961</v>
      </c>
      <c r="AX189" s="4">
        <v>0.32808332299999998</v>
      </c>
    </row>
    <row r="190" spans="1:50">
      <c r="A190" s="4">
        <v>0.47</v>
      </c>
      <c r="B190" s="4">
        <v>3.6594047999999997E-2</v>
      </c>
      <c r="C190" s="4">
        <v>4.0011391E-2</v>
      </c>
      <c r="D190" s="4">
        <v>2.8515241E-2</v>
      </c>
      <c r="E190" s="4">
        <v>3.3291192999999997E-2</v>
      </c>
      <c r="F190" s="4">
        <v>4.1720063000000002E-2</v>
      </c>
      <c r="G190" s="4">
        <v>4.3428733999999997E-2</v>
      </c>
      <c r="H190" s="4">
        <v>0.12772319500000001</v>
      </c>
      <c r="I190" s="4">
        <v>0.12060373100000001</v>
      </c>
      <c r="J190" s="4">
        <v>0.117291754</v>
      </c>
      <c r="K190" s="4">
        <v>0.124034274</v>
      </c>
      <c r="L190" s="4">
        <v>0.72946034500000001</v>
      </c>
      <c r="M190" s="4">
        <v>0.79780720500000002</v>
      </c>
      <c r="N190" s="4">
        <v>0.01</v>
      </c>
      <c r="O190" s="4">
        <v>4.5090816999999998E-2</v>
      </c>
      <c r="P190" s="4">
        <v>4.7885177000000001E-2</v>
      </c>
      <c r="Q190" s="4">
        <v>3.9157055000000003E-2</v>
      </c>
      <c r="R190" s="4">
        <v>4.0865726999999998E-2</v>
      </c>
      <c r="S190" s="4">
        <v>3.1605563000000003E-2</v>
      </c>
      <c r="T190" s="4">
        <v>3.6100576000000002E-2</v>
      </c>
      <c r="U190" s="4">
        <v>4.1435284000000003E-2</v>
      </c>
      <c r="V190" s="4">
        <v>4.4567848E-2</v>
      </c>
      <c r="W190" s="4">
        <v>3.1324624000000002E-2</v>
      </c>
      <c r="X190" s="4">
        <v>4.2843095999999997E-2</v>
      </c>
      <c r="Y190" s="4">
        <v>4.7130855999999999E-2</v>
      </c>
      <c r="Z190" s="4">
        <v>4.7700412999999997E-2</v>
      </c>
      <c r="AA190" s="4">
        <v>3.9190898000000002E-2</v>
      </c>
      <c r="AB190" s="4">
        <v>4.5933417999999997E-2</v>
      </c>
      <c r="AC190" s="4">
        <v>4.7123078999999998E-2</v>
      </c>
      <c r="AD190" s="4">
        <v>4.8647274999999997E-2</v>
      </c>
      <c r="AE190" s="4">
        <v>6.3648014000000003E-2</v>
      </c>
      <c r="AF190" s="4">
        <v>6.9058807E-2</v>
      </c>
      <c r="AG190" s="4">
        <v>4.5371541000000001E-2</v>
      </c>
      <c r="AH190" s="4">
        <v>4.4247788000000003E-2</v>
      </c>
      <c r="AI190" s="4">
        <v>5.0679538000000003E-2</v>
      </c>
      <c r="AJ190" s="4">
        <v>4.8647274999999997E-2</v>
      </c>
      <c r="AK190" s="4">
        <v>6.8969897000000002E-2</v>
      </c>
      <c r="AL190" s="4">
        <v>6.8969897000000002E-2</v>
      </c>
      <c r="AM190" s="4">
        <v>0.148227253</v>
      </c>
      <c r="AN190" s="4">
        <v>0.14367079599999999</v>
      </c>
      <c r="AO190" s="4">
        <v>0.14285714299999999</v>
      </c>
      <c r="AP190" s="4">
        <v>0.139485883</v>
      </c>
      <c r="AQ190" s="4">
        <v>0.151276515</v>
      </c>
      <c r="AR190" s="4">
        <v>0.15381684200000001</v>
      </c>
      <c r="AS190" s="4">
        <v>0.35946059800000002</v>
      </c>
      <c r="AT190" s="4">
        <v>0.32293861499999998</v>
      </c>
      <c r="AU190" s="4">
        <v>0.35355261300000002</v>
      </c>
      <c r="AV190" s="4">
        <v>0.32222696899999997</v>
      </c>
      <c r="AW190" s="4">
        <v>0.391591515</v>
      </c>
      <c r="AX190" s="4">
        <v>0.39413184299999998</v>
      </c>
    </row>
    <row r="191" spans="1:50">
      <c r="A191" s="4">
        <v>1.1399999999999999</v>
      </c>
      <c r="B191" s="4">
        <v>2.7110549000000001E-2</v>
      </c>
      <c r="C191" s="4">
        <v>3.2167438999999999E-2</v>
      </c>
      <c r="D191" s="4">
        <v>3.7215801E-2</v>
      </c>
      <c r="E191" s="4">
        <v>4.1534358E-2</v>
      </c>
      <c r="F191" s="4">
        <v>5.4250319999999998E-2</v>
      </c>
      <c r="G191" s="4">
        <v>5.6528548999999997E-2</v>
      </c>
      <c r="H191" s="4">
        <v>0.77524933299999998</v>
      </c>
      <c r="I191" s="4">
        <v>0.95224048299999997</v>
      </c>
      <c r="J191" s="4">
        <v>0.110123206</v>
      </c>
      <c r="K191" s="4">
        <v>0.11596596000000001</v>
      </c>
      <c r="L191" s="4">
        <v>6.5133133990000003</v>
      </c>
      <c r="M191" s="4">
        <v>7.230955432</v>
      </c>
      <c r="N191" s="4">
        <v>0.1</v>
      </c>
      <c r="O191" s="4">
        <v>4.9155340999999998E-2</v>
      </c>
      <c r="P191" s="4">
        <v>4.7631144E-2</v>
      </c>
      <c r="Q191" s="4">
        <v>4.3143955999999997E-2</v>
      </c>
      <c r="R191" s="4">
        <v>4.0580947999999999E-2</v>
      </c>
      <c r="S191" s="4">
        <v>2.9077117999999999E-2</v>
      </c>
      <c r="T191" s="4">
        <v>3.6100576000000002E-2</v>
      </c>
      <c r="U191" s="4">
        <v>3.8872276999999997E-2</v>
      </c>
      <c r="V191" s="4">
        <v>4.4567848E-2</v>
      </c>
      <c r="W191" s="4">
        <v>3.7786206000000003E-2</v>
      </c>
      <c r="X191" s="4">
        <v>4.1719342999999999E-2</v>
      </c>
      <c r="Y191" s="4">
        <v>5.2826427000000002E-2</v>
      </c>
      <c r="Z191" s="4">
        <v>6.1369785000000003E-2</v>
      </c>
      <c r="AA191" s="4">
        <v>5.2394998999999998E-2</v>
      </c>
      <c r="AB191" s="4">
        <v>5.8575642999999997E-2</v>
      </c>
      <c r="AC191" s="4">
        <v>5.1187602999999998E-2</v>
      </c>
      <c r="AD191" s="4">
        <v>5.2457767000000002E-2</v>
      </c>
      <c r="AE191" s="4">
        <v>0.121742845</v>
      </c>
      <c r="AF191" s="4">
        <v>0.13199487400000001</v>
      </c>
      <c r="AG191" s="4">
        <v>0.13414805499999999</v>
      </c>
      <c r="AH191" s="4">
        <v>0.12656271899999999</v>
      </c>
      <c r="AI191" s="4">
        <v>5.5506159999999999E-2</v>
      </c>
      <c r="AJ191" s="4">
        <v>5.7030356999999997E-2</v>
      </c>
      <c r="AK191" s="4">
        <v>0.131207926</v>
      </c>
      <c r="AL191" s="4">
        <v>0.13603454800000001</v>
      </c>
      <c r="AM191" s="4">
        <v>0.55574540800000005</v>
      </c>
      <c r="AN191" s="4">
        <v>0.589918838</v>
      </c>
      <c r="AO191" s="4">
        <v>0.62916139900000001</v>
      </c>
      <c r="AP191" s="4">
        <v>0.59825818200000003</v>
      </c>
      <c r="AQ191" s="4">
        <v>0.57703543800000001</v>
      </c>
      <c r="AR191" s="4">
        <v>0.64308395799999996</v>
      </c>
      <c r="AS191" s="4">
        <v>1.441073184</v>
      </c>
      <c r="AT191" s="4">
        <v>1.368029218</v>
      </c>
      <c r="AU191" s="4">
        <v>1.3246475870000001</v>
      </c>
      <c r="AV191" s="4">
        <v>1.236366225</v>
      </c>
      <c r="AW191" s="4">
        <v>1.621110123</v>
      </c>
      <c r="AX191" s="4">
        <v>1.7938524069999999</v>
      </c>
    </row>
    <row r="192" spans="1:50">
      <c r="A192" s="4">
        <v>2.75</v>
      </c>
      <c r="B192" s="4">
        <v>4.0314651E-2</v>
      </c>
      <c r="C192" s="4">
        <v>4.3124033999999999E-2</v>
      </c>
      <c r="D192" s="4">
        <v>4.2804521999999998E-2</v>
      </c>
      <c r="E192" s="4">
        <v>4.3820653000000001E-2</v>
      </c>
      <c r="F192" s="4">
        <v>5.3473897999999999E-2</v>
      </c>
      <c r="G192" s="4">
        <v>5.8554554000000002E-2</v>
      </c>
      <c r="H192" s="4">
        <v>8.3633937350000007</v>
      </c>
      <c r="I192" s="4">
        <v>8.1611181350000006</v>
      </c>
      <c r="J192" s="4">
        <v>0.55417248799999996</v>
      </c>
      <c r="K192" s="4">
        <v>0.64562428599999999</v>
      </c>
      <c r="L192" s="4">
        <v>6.4731360349999996</v>
      </c>
      <c r="M192" s="4">
        <v>7.1844277910000001</v>
      </c>
      <c r="N192" s="4">
        <v>0.2</v>
      </c>
      <c r="O192" s="4">
        <v>4.6615012999999997E-2</v>
      </c>
      <c r="P192" s="4">
        <v>4.5852915000000001E-2</v>
      </c>
      <c r="Q192" s="4">
        <v>3.9157055000000003E-2</v>
      </c>
      <c r="R192" s="4">
        <v>4.0011391E-2</v>
      </c>
      <c r="S192" s="4">
        <v>2.4020228000000001E-2</v>
      </c>
      <c r="T192" s="4">
        <v>2.9077117999999999E-2</v>
      </c>
      <c r="U192" s="4">
        <v>4.4852626999999999E-2</v>
      </c>
      <c r="V192" s="4">
        <v>4.9409083999999999E-2</v>
      </c>
      <c r="W192" s="4">
        <v>4.1719342999999999E-2</v>
      </c>
      <c r="X192" s="4">
        <v>4.2000281E-2</v>
      </c>
      <c r="Y192" s="4">
        <v>6.8774028000000001E-2</v>
      </c>
      <c r="Z192" s="4">
        <v>6.9913142999999997E-2</v>
      </c>
      <c r="AA192" s="4">
        <v>6.7284731E-2</v>
      </c>
      <c r="AB192" s="4">
        <v>7.4027251000000002E-2</v>
      </c>
      <c r="AC192" s="4">
        <v>5.0171472000000002E-2</v>
      </c>
      <c r="AD192" s="4">
        <v>4.7123078999999998E-2</v>
      </c>
      <c r="AE192" s="4">
        <v>0.23679339299999999</v>
      </c>
      <c r="AF192" s="4">
        <v>0.242488965</v>
      </c>
      <c r="AG192" s="4">
        <v>0.235847731</v>
      </c>
      <c r="AH192" s="4">
        <v>0.22741958100000001</v>
      </c>
      <c r="AI192" s="4">
        <v>6.6429568999999994E-2</v>
      </c>
      <c r="AJ192" s="4">
        <v>6.5413438000000004E-2</v>
      </c>
      <c r="AK192" s="4">
        <v>0.216308904</v>
      </c>
      <c r="AL192" s="4">
        <v>0.226470215</v>
      </c>
      <c r="AM192" s="4">
        <v>1.2933219419999999</v>
      </c>
      <c r="AN192" s="4">
        <v>1.190801652</v>
      </c>
      <c r="AO192" s="4">
        <v>1.1994662169999999</v>
      </c>
      <c r="AP192" s="4">
        <v>1.230369434</v>
      </c>
      <c r="AQ192" s="4">
        <v>1.0952622889999999</v>
      </c>
      <c r="AR192" s="4">
        <v>1.039375079</v>
      </c>
      <c r="AS192" s="4">
        <v>2.8822868380000002</v>
      </c>
      <c r="AT192" s="4">
        <v>2.775530271</v>
      </c>
      <c r="AU192" s="4">
        <v>2.5121742839999999</v>
      </c>
      <c r="AV192" s="4">
        <v>2.552043286</v>
      </c>
      <c r="AW192" s="4">
        <v>2.7312333290000002</v>
      </c>
      <c r="AX192" s="4">
        <v>3.7499047380000001</v>
      </c>
    </row>
    <row r="193" spans="1:50">
      <c r="A193" s="4">
        <v>5.07</v>
      </c>
      <c r="B193" s="4">
        <v>0.121742845</v>
      </c>
      <c r="C193" s="4">
        <v>0.119179838</v>
      </c>
      <c r="D193" s="4">
        <v>0.11139204900000001</v>
      </c>
      <c r="E193" s="4">
        <v>0.10858266599999999</v>
      </c>
      <c r="F193" s="4">
        <v>0.13069986</v>
      </c>
      <c r="G193" s="4">
        <v>0.13069986</v>
      </c>
      <c r="H193" s="4">
        <v>19.946319240000001</v>
      </c>
      <c r="I193" s="4">
        <v>18.19777873</v>
      </c>
      <c r="J193" s="4">
        <v>20.157184999999998</v>
      </c>
      <c r="K193" s="4">
        <v>18.96319708</v>
      </c>
      <c r="L193" s="4">
        <v>19.20779881</v>
      </c>
      <c r="M193" s="4">
        <v>20.170583010000001</v>
      </c>
      <c r="N193" s="4">
        <v>0.5</v>
      </c>
      <c r="O193" s="4">
        <v>4.8647274999999997E-2</v>
      </c>
      <c r="P193" s="4">
        <v>4.8647274999999997E-2</v>
      </c>
      <c r="Q193" s="4">
        <v>3.0328918999999999E-2</v>
      </c>
      <c r="R193" s="4">
        <v>3.9157055000000003E-2</v>
      </c>
      <c r="S193" s="4">
        <v>2.8796179000000002E-2</v>
      </c>
      <c r="T193" s="4">
        <v>3.5538699E-2</v>
      </c>
      <c r="U193" s="4">
        <v>5.2826427000000002E-2</v>
      </c>
      <c r="V193" s="4">
        <v>5.5958991999999999E-2</v>
      </c>
      <c r="W193" s="4">
        <v>4.9023738999999997E-2</v>
      </c>
      <c r="X193" s="4">
        <v>4.7057171000000002E-2</v>
      </c>
      <c r="Y193" s="4">
        <v>0.11633205200000001</v>
      </c>
      <c r="Z193" s="4">
        <v>0.116901609</v>
      </c>
      <c r="AA193" s="4">
        <v>0.10240202299999999</v>
      </c>
      <c r="AB193" s="4">
        <v>0.106897036</v>
      </c>
      <c r="AC193" s="4">
        <v>5.8554554000000002E-2</v>
      </c>
      <c r="AD193" s="4">
        <v>5.2711800000000003E-2</v>
      </c>
      <c r="AE193" s="4">
        <v>0.78072048999999999</v>
      </c>
      <c r="AF193" s="4">
        <v>0.75509041700000001</v>
      </c>
      <c r="AG193" s="4">
        <v>0.86514959999999996</v>
      </c>
      <c r="AH193" s="4">
        <v>0.83986514999999995</v>
      </c>
      <c r="AI193" s="4">
        <v>0.104788518</v>
      </c>
      <c r="AJ193" s="4">
        <v>0.10783691099999999</v>
      </c>
      <c r="AK193" s="4">
        <v>0.77010034299999996</v>
      </c>
      <c r="AL193" s="4">
        <v>0.82598755199999996</v>
      </c>
      <c r="AM193" s="4">
        <v>4.6651003839999996</v>
      </c>
      <c r="AN193" s="4">
        <v>4.4002563009999998</v>
      </c>
      <c r="AO193" s="4">
        <v>4.3066441920000003</v>
      </c>
      <c r="AP193" s="4">
        <v>3.9358055909999998</v>
      </c>
      <c r="AQ193" s="4">
        <v>4.1512765150000002</v>
      </c>
      <c r="AR193" s="4">
        <v>3.8184935860000002</v>
      </c>
      <c r="AS193" s="4">
        <v>7.6020508500000004</v>
      </c>
      <c r="AT193" s="4">
        <v>8.4420564690000006</v>
      </c>
      <c r="AU193" s="4">
        <v>6.82087427</v>
      </c>
      <c r="AV193" s="4">
        <v>7.7122312400000004</v>
      </c>
      <c r="AW193" s="4">
        <v>7.618823828</v>
      </c>
      <c r="AX193" s="4">
        <v>9.1023752059999996</v>
      </c>
    </row>
    <row r="194" spans="1:50">
      <c r="A194" s="4">
        <v>7.69</v>
      </c>
      <c r="B194" s="4">
        <v>0.29484478200000003</v>
      </c>
      <c r="C194" s="4">
        <v>0.30608231499999999</v>
      </c>
      <c r="D194" s="4">
        <v>0.31083582500000001</v>
      </c>
      <c r="E194" s="4">
        <v>0.33361811200000002</v>
      </c>
      <c r="F194" s="4">
        <v>0.325542995</v>
      </c>
      <c r="G194" s="4">
        <v>0.34332528899999998</v>
      </c>
      <c r="H194" s="4">
        <v>24.663435880000002</v>
      </c>
      <c r="I194" s="4">
        <v>22.9890434</v>
      </c>
      <c r="J194" s="4">
        <v>24.704969389999999</v>
      </c>
      <c r="K194" s="4">
        <v>23.17001282</v>
      </c>
      <c r="L194" s="4">
        <v>25.286802999999999</v>
      </c>
      <c r="M194" s="4">
        <v>23.572081799999999</v>
      </c>
      <c r="N194" s="4">
        <v>1</v>
      </c>
      <c r="O194" s="4">
        <v>4.7123078999999998E-2</v>
      </c>
      <c r="P194" s="4">
        <v>4.8901307999999998E-2</v>
      </c>
      <c r="Q194" s="4">
        <v>3.8587497999999998E-2</v>
      </c>
      <c r="R194" s="4">
        <v>4.0865726999999998E-2</v>
      </c>
      <c r="S194" s="4">
        <v>3.7505268000000001E-2</v>
      </c>
      <c r="T194" s="4">
        <v>3.8909959000000001E-2</v>
      </c>
      <c r="U194" s="4">
        <v>6.7065357000000006E-2</v>
      </c>
      <c r="V194" s="4">
        <v>6.9913142999999997E-2</v>
      </c>
      <c r="W194" s="4">
        <v>7.1217868000000004E-2</v>
      </c>
      <c r="X194" s="4">
        <v>6.9813176000000005E-2</v>
      </c>
      <c r="Y194" s="4">
        <v>0.19037448400000001</v>
      </c>
      <c r="Z194" s="4">
        <v>0.19777872699999999</v>
      </c>
      <c r="AA194" s="4">
        <v>0.19792105600000001</v>
      </c>
      <c r="AB194" s="4">
        <v>0.21056328099999999</v>
      </c>
      <c r="AC194" s="4">
        <v>6.9731995000000005E-2</v>
      </c>
      <c r="AD194" s="4">
        <v>6.6175537000000006E-2</v>
      </c>
      <c r="AE194" s="4">
        <v>1.851487968</v>
      </c>
      <c r="AF194" s="4">
        <v>1.939769329</v>
      </c>
      <c r="AG194" s="4">
        <v>2.137800253</v>
      </c>
      <c r="AH194" s="4">
        <v>2.3513133869999998</v>
      </c>
      <c r="AI194" s="4">
        <v>0.159913629</v>
      </c>
      <c r="AJ194" s="4">
        <v>0.17312333299999999</v>
      </c>
      <c r="AK194" s="4">
        <v>1.6998602819999999</v>
      </c>
      <c r="AL194" s="4">
        <v>1.67953766</v>
      </c>
      <c r="AM194" s="4">
        <v>8.1507902609999991</v>
      </c>
      <c r="AN194" s="4">
        <v>8.1764203329999994</v>
      </c>
      <c r="AO194" s="4">
        <v>8.8409889029999995</v>
      </c>
      <c r="AP194" s="4">
        <v>8.0346958839999996</v>
      </c>
      <c r="AQ194" s="4">
        <v>7.5248317030000003</v>
      </c>
      <c r="AR194" s="4">
        <v>8.2005588720000002</v>
      </c>
      <c r="AS194" s="4">
        <v>12.504424780000001</v>
      </c>
      <c r="AT194" s="4">
        <v>13.17305801</v>
      </c>
      <c r="AU194" s="4">
        <v>13.276804780000001</v>
      </c>
      <c r="AV194" s="4">
        <v>13.68973373</v>
      </c>
      <c r="AW194" s="4">
        <v>12.867140859999999</v>
      </c>
      <c r="AX194" s="4">
        <v>14.63266861</v>
      </c>
    </row>
    <row r="195" spans="1:50">
      <c r="N195" s="4">
        <v>10</v>
      </c>
      <c r="O195" s="4">
        <v>5.4235996000000002E-2</v>
      </c>
      <c r="P195" s="4">
        <v>5.3473897999999999E-2</v>
      </c>
      <c r="Q195" s="4">
        <v>4.4852626999999999E-2</v>
      </c>
      <c r="R195" s="4">
        <v>4.7700412999999997E-2</v>
      </c>
      <c r="S195" s="4">
        <v>4.1719342999999999E-2</v>
      </c>
      <c r="T195" s="4">
        <v>4.2843095999999997E-2</v>
      </c>
      <c r="U195" s="4">
        <v>0.12772319500000001</v>
      </c>
      <c r="V195" s="4">
        <v>0.12060373100000001</v>
      </c>
      <c r="W195" s="4">
        <v>0.117291754</v>
      </c>
      <c r="X195" s="4">
        <v>0.124034274</v>
      </c>
      <c r="Y195" s="4">
        <v>0.72946034500000001</v>
      </c>
      <c r="Z195" s="4">
        <v>0.79780720500000002</v>
      </c>
      <c r="AA195" s="4">
        <v>0.77524933299999998</v>
      </c>
      <c r="AB195" s="4">
        <v>0.95224048299999997</v>
      </c>
      <c r="AC195" s="4">
        <v>0.110123206</v>
      </c>
      <c r="AD195" s="4">
        <v>0.11596596000000001</v>
      </c>
      <c r="AE195" s="4">
        <v>6.5133133990000003</v>
      </c>
      <c r="AF195" s="4">
        <v>7.230955432</v>
      </c>
      <c r="AG195" s="4">
        <v>8.3633937350000007</v>
      </c>
      <c r="AH195" s="4">
        <v>8.1611181350000006</v>
      </c>
      <c r="AI195" s="4">
        <v>0.55417248799999996</v>
      </c>
      <c r="AJ195" s="4">
        <v>0.64562428599999999</v>
      </c>
      <c r="AK195" s="4">
        <v>6.4731360349999996</v>
      </c>
      <c r="AL195" s="4">
        <v>7.1844277910000001</v>
      </c>
      <c r="AM195" s="4">
        <v>19.946319240000001</v>
      </c>
      <c r="AN195" s="4">
        <v>18.19777873</v>
      </c>
      <c r="AO195" s="4">
        <v>20.157184999999998</v>
      </c>
      <c r="AP195" s="4">
        <v>18.96319708</v>
      </c>
      <c r="AQ195" s="4">
        <v>19.20779881</v>
      </c>
      <c r="AR195" s="4">
        <v>20.170583010000001</v>
      </c>
      <c r="AS195" s="4">
        <v>24.663435880000002</v>
      </c>
      <c r="AT195" s="4">
        <v>22.9890434</v>
      </c>
      <c r="AU195" s="4">
        <v>24.704969389999999</v>
      </c>
      <c r="AV195" s="4">
        <v>23.17001282</v>
      </c>
      <c r="AW195" s="4">
        <v>25.286802999999999</v>
      </c>
      <c r="AX195" s="4">
        <v>23.572081799999999</v>
      </c>
    </row>
    <row r="197" spans="1:50">
      <c r="O197" s="230" t="s">
        <v>2125</v>
      </c>
      <c r="P197" s="230"/>
      <c r="Q197" s="230"/>
      <c r="R197" s="230"/>
      <c r="S197" s="230"/>
      <c r="T197" s="230"/>
      <c r="U197" s="230" t="s">
        <v>2142</v>
      </c>
      <c r="V197" s="230"/>
      <c r="W197" s="230"/>
      <c r="X197" s="230"/>
      <c r="Y197" s="230"/>
      <c r="Z197" s="230"/>
      <c r="AA197" s="230" t="s">
        <v>2143</v>
      </c>
      <c r="AB197" s="230"/>
      <c r="AC197" s="230"/>
      <c r="AD197" s="230"/>
      <c r="AE197" s="230"/>
      <c r="AF197" s="230"/>
      <c r="AG197" s="230" t="s">
        <v>2144</v>
      </c>
      <c r="AH197" s="230"/>
      <c r="AI197" s="230"/>
      <c r="AJ197" s="230"/>
      <c r="AK197" s="230"/>
      <c r="AL197" s="230"/>
      <c r="AM197" s="230" t="s">
        <v>2145</v>
      </c>
      <c r="AN197" s="230"/>
      <c r="AO197" s="230"/>
      <c r="AP197" s="230"/>
      <c r="AQ197" s="230"/>
      <c r="AR197" s="230"/>
      <c r="AS197" s="230" t="s">
        <v>2146</v>
      </c>
      <c r="AT197" s="230"/>
      <c r="AU197" s="230"/>
      <c r="AV197" s="230"/>
      <c r="AW197" s="230"/>
      <c r="AX197" s="230"/>
    </row>
    <row r="198" spans="1:50" ht="15">
      <c r="A198" s="68" t="s">
        <v>2221</v>
      </c>
      <c r="B198" s="244" t="s">
        <v>2095</v>
      </c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5" t="s">
        <v>2096</v>
      </c>
      <c r="O198" s="9">
        <v>-1.42E-3</v>
      </c>
      <c r="P198" s="9"/>
      <c r="Q198" s="218">
        <v>5.9999999999999995E-4</v>
      </c>
      <c r="R198" s="218"/>
      <c r="U198" s="218"/>
      <c r="V198" s="218"/>
      <c r="W198" s="218">
        <v>0.20499999999999999</v>
      </c>
      <c r="X198" s="218"/>
      <c r="Y198" s="218">
        <v>1.0269999999999999</v>
      </c>
      <c r="Z198" s="218"/>
      <c r="AA198" s="218"/>
      <c r="AB198" s="218"/>
      <c r="AC198" s="218">
        <v>0.66200000000000003</v>
      </c>
      <c r="AD198" s="218"/>
      <c r="AE198" s="218">
        <v>2.177</v>
      </c>
      <c r="AF198" s="218"/>
      <c r="AG198" s="218"/>
      <c r="AH198" s="218"/>
      <c r="AI198" s="218">
        <v>2.028</v>
      </c>
      <c r="AJ198" s="218"/>
      <c r="AK198" s="218">
        <v>4.4450000000000003</v>
      </c>
      <c r="AL198" s="218"/>
      <c r="AM198" s="218"/>
      <c r="AN198" s="218"/>
      <c r="AO198" s="218">
        <v>4.6669999999999998</v>
      </c>
      <c r="AP198" s="218"/>
      <c r="AQ198" s="218">
        <v>6.3239999999999998</v>
      </c>
      <c r="AR198" s="218"/>
      <c r="AS198" s="218"/>
      <c r="AT198" s="218"/>
      <c r="AU198" s="218">
        <v>7.5140000000000002</v>
      </c>
      <c r="AV198" s="218"/>
      <c r="AW198" s="218">
        <v>7.718</v>
      </c>
      <c r="AX198" s="218"/>
    </row>
    <row r="199" spans="1:50">
      <c r="A199" s="4" t="s">
        <v>1725</v>
      </c>
      <c r="B199" s="258">
        <v>0</v>
      </c>
      <c r="C199" s="258"/>
      <c r="D199" s="258"/>
      <c r="E199" s="258"/>
      <c r="F199" s="258"/>
      <c r="G199" s="258"/>
      <c r="H199" s="260">
        <v>1000</v>
      </c>
      <c r="I199" s="260"/>
      <c r="J199" s="260"/>
      <c r="K199" s="260"/>
      <c r="L199" s="260"/>
      <c r="M199" s="260"/>
      <c r="N199" s="7">
        <v>0</v>
      </c>
      <c r="O199" s="7">
        <v>9.9815000000000001E-2</v>
      </c>
      <c r="P199" s="7">
        <v>4.0866E-2</v>
      </c>
      <c r="Q199" s="7">
        <v>3.9756E-2</v>
      </c>
      <c r="R199" s="7">
        <v>8.9801000000000006E-2</v>
      </c>
      <c r="S199" s="7"/>
      <c r="T199" s="7"/>
      <c r="W199" s="7">
        <v>0.108928</v>
      </c>
      <c r="X199" s="7">
        <v>4.2005000000000001E-2</v>
      </c>
      <c r="Y199" s="7">
        <v>4.3312999999999997E-2</v>
      </c>
      <c r="Z199" s="7">
        <v>9.7930000000000003E-2</v>
      </c>
      <c r="AC199" s="7">
        <v>0.105226</v>
      </c>
      <c r="AD199" s="7">
        <v>5.1971999999999997E-2</v>
      </c>
      <c r="AE199" s="7">
        <v>4.0772000000000003E-2</v>
      </c>
      <c r="AF199" s="7">
        <v>9.9199999999999997E-2</v>
      </c>
      <c r="AI199" s="7">
        <v>0.114623</v>
      </c>
      <c r="AJ199" s="7">
        <v>6.9913000000000003E-2</v>
      </c>
      <c r="AK199" s="7">
        <v>0.105297</v>
      </c>
      <c r="AL199" s="7">
        <v>6.2364999999999997E-2</v>
      </c>
      <c r="AO199" s="7">
        <v>0.15876399999999999</v>
      </c>
      <c r="AP199" s="7">
        <v>0.12715399999999999</v>
      </c>
      <c r="AQ199" s="7">
        <v>0.115966</v>
      </c>
      <c r="AR199" s="7">
        <v>0.15127699999999999</v>
      </c>
      <c r="AU199" s="7">
        <v>0.43329099999999998</v>
      </c>
      <c r="AV199" s="7">
        <v>0.210309</v>
      </c>
      <c r="AW199" s="7">
        <v>0.19852700000000001</v>
      </c>
      <c r="AX199" s="7">
        <v>0.40429300000000001</v>
      </c>
    </row>
    <row r="200" spans="1:50">
      <c r="A200" s="4">
        <v>0</v>
      </c>
      <c r="B200" s="7">
        <v>9.9815000000000001E-2</v>
      </c>
      <c r="C200" s="7">
        <v>4.0866E-2</v>
      </c>
      <c r="D200" s="7">
        <v>3.9756E-2</v>
      </c>
      <c r="E200" s="7">
        <v>8.9801000000000006E-2</v>
      </c>
      <c r="H200" s="7">
        <v>0.13655100000000001</v>
      </c>
      <c r="I200" s="7">
        <v>4.9409000000000002E-2</v>
      </c>
      <c r="J200" s="7">
        <v>4.3312999999999997E-2</v>
      </c>
      <c r="K200" s="7">
        <v>0.105805</v>
      </c>
      <c r="N200" s="7">
        <v>1</v>
      </c>
      <c r="O200" s="7">
        <v>9.9815000000000001E-2</v>
      </c>
      <c r="P200" s="7">
        <v>4.3714000000000003E-2</v>
      </c>
      <c r="Q200" s="7">
        <v>4.2296E-2</v>
      </c>
      <c r="R200" s="7">
        <v>9.9199999999999997E-2</v>
      </c>
      <c r="S200" s="7"/>
      <c r="T200" s="7"/>
      <c r="W200" s="7">
        <v>0.107789</v>
      </c>
      <c r="X200" s="7">
        <v>4.8840000000000001E-2</v>
      </c>
      <c r="Y200" s="7">
        <v>4.3567000000000002E-2</v>
      </c>
      <c r="Z200" s="7">
        <v>0.10326399999999999</v>
      </c>
      <c r="AC200" s="7">
        <v>0.110067</v>
      </c>
      <c r="AD200" s="7">
        <v>4.8555000000000001E-2</v>
      </c>
      <c r="AE200" s="7">
        <v>4.6107000000000002E-2</v>
      </c>
      <c r="AF200" s="7">
        <v>9.7421999999999995E-2</v>
      </c>
      <c r="AI200" s="7">
        <v>0.110067</v>
      </c>
      <c r="AJ200" s="7">
        <v>6.8204000000000001E-2</v>
      </c>
      <c r="AK200" s="7">
        <v>0.10428</v>
      </c>
      <c r="AL200" s="7">
        <v>6.6175999999999999E-2</v>
      </c>
      <c r="AO200" s="7">
        <v>0.16161200000000001</v>
      </c>
      <c r="AP200" s="7">
        <v>0.13142499999999999</v>
      </c>
      <c r="AQ200" s="7">
        <v>0.124349</v>
      </c>
      <c r="AR200" s="7">
        <v>0.15584899999999999</v>
      </c>
      <c r="AU200" s="7">
        <v>0.43329099999999998</v>
      </c>
      <c r="AV200" s="7">
        <v>0.216859</v>
      </c>
      <c r="AW200" s="7">
        <v>0.201067</v>
      </c>
      <c r="AX200" s="7">
        <v>0.38651099999999999</v>
      </c>
    </row>
    <row r="201" spans="1:50">
      <c r="A201" s="4">
        <v>0.62</v>
      </c>
      <c r="B201" s="7">
        <v>0.108928</v>
      </c>
      <c r="C201" s="7">
        <v>4.2005000000000001E-2</v>
      </c>
      <c r="D201" s="7">
        <v>4.3312999999999997E-2</v>
      </c>
      <c r="E201" s="7">
        <v>9.7930000000000003E-2</v>
      </c>
      <c r="H201" s="7">
        <v>0.13911399999999999</v>
      </c>
      <c r="I201" s="7">
        <v>6.7919999999999994E-2</v>
      </c>
      <c r="J201" s="7">
        <v>6.5412999999999999E-2</v>
      </c>
      <c r="K201" s="7">
        <v>0.110123</v>
      </c>
      <c r="N201" s="7">
        <v>10</v>
      </c>
      <c r="O201" s="7">
        <v>0.104087</v>
      </c>
      <c r="P201" s="7">
        <v>4.0866E-2</v>
      </c>
      <c r="Q201" s="7">
        <v>4.4075000000000003E-2</v>
      </c>
      <c r="R201" s="7">
        <v>9.5896999999999996E-2</v>
      </c>
      <c r="S201" s="7"/>
      <c r="T201" s="7"/>
      <c r="W201" s="7">
        <v>0.110636</v>
      </c>
      <c r="X201" s="7">
        <v>5.2256999999999998E-2</v>
      </c>
      <c r="Y201" s="7">
        <v>4.3820999999999999E-2</v>
      </c>
      <c r="Z201" s="7">
        <v>0.10174</v>
      </c>
      <c r="AC201" s="7">
        <v>0.108928</v>
      </c>
      <c r="AD201" s="7">
        <v>5.0548000000000003E-2</v>
      </c>
      <c r="AE201" s="7">
        <v>5.0171E-2</v>
      </c>
      <c r="AF201" s="7">
        <v>0.103772</v>
      </c>
      <c r="AI201" s="7">
        <v>0.111206</v>
      </c>
      <c r="AJ201" s="7">
        <v>7.3899999999999993E-2</v>
      </c>
      <c r="AK201" s="7">
        <v>0.109615</v>
      </c>
      <c r="AL201" s="7">
        <v>7.6337000000000002E-2</v>
      </c>
      <c r="AO201" s="7">
        <v>0.175566</v>
      </c>
      <c r="AP201" s="7">
        <v>0.14224700000000001</v>
      </c>
      <c r="AQ201" s="7">
        <v>0.13476399999999999</v>
      </c>
      <c r="AR201" s="7">
        <v>0.17668</v>
      </c>
      <c r="AU201" s="7">
        <v>0.49024600000000002</v>
      </c>
      <c r="AV201" s="7">
        <v>0.231098</v>
      </c>
      <c r="AW201" s="7">
        <v>0.24679300000000001</v>
      </c>
      <c r="AX201" s="7">
        <v>0.44239800000000001</v>
      </c>
    </row>
    <row r="202" spans="1:50">
      <c r="A202" s="4">
        <v>1.42</v>
      </c>
      <c r="B202" s="7">
        <v>0.105226</v>
      </c>
      <c r="C202" s="7">
        <v>5.1971999999999997E-2</v>
      </c>
      <c r="D202" s="7">
        <v>4.0772000000000003E-2</v>
      </c>
      <c r="E202" s="7">
        <v>9.9199999999999997E-2</v>
      </c>
      <c r="H202" s="7">
        <v>0.198633</v>
      </c>
      <c r="I202" s="7">
        <v>0.172433</v>
      </c>
      <c r="J202" s="7">
        <v>0.18049000000000001</v>
      </c>
      <c r="K202" s="7">
        <v>0.171599</v>
      </c>
      <c r="N202" s="7">
        <v>20</v>
      </c>
      <c r="O202" s="7">
        <v>0.110636</v>
      </c>
      <c r="P202" s="7">
        <v>4.2005000000000001E-2</v>
      </c>
      <c r="Q202" s="7">
        <v>4.7122999999999998E-2</v>
      </c>
      <c r="R202" s="7">
        <v>8.8275999999999993E-2</v>
      </c>
      <c r="S202" s="7"/>
      <c r="T202" s="7"/>
      <c r="W202" s="7">
        <v>0.11747100000000001</v>
      </c>
      <c r="X202" s="7">
        <v>4.4568000000000003E-2</v>
      </c>
      <c r="Y202" s="7">
        <v>4.8647000000000003E-2</v>
      </c>
      <c r="Z202" s="7">
        <v>0.10478899999999999</v>
      </c>
      <c r="AC202" s="7">
        <v>0.116332</v>
      </c>
      <c r="AD202" s="7">
        <v>5.0548000000000003E-2</v>
      </c>
      <c r="AE202" s="7">
        <v>5.2712000000000002E-2</v>
      </c>
      <c r="AF202" s="7">
        <v>0.102756</v>
      </c>
      <c r="AI202" s="7">
        <v>0.112915</v>
      </c>
      <c r="AJ202" s="7">
        <v>7.4469999999999995E-2</v>
      </c>
      <c r="AK202" s="7">
        <v>0.105805</v>
      </c>
      <c r="AL202" s="7">
        <v>7.5066999999999995E-2</v>
      </c>
      <c r="AO202" s="7">
        <v>0.205183</v>
      </c>
      <c r="AP202" s="7">
        <v>0.15449199999999999</v>
      </c>
      <c r="AQ202" s="7">
        <v>0.144672</v>
      </c>
      <c r="AR202" s="7">
        <v>0.18557100000000001</v>
      </c>
      <c r="AU202" s="7">
        <v>0.510181</v>
      </c>
      <c r="AV202" s="7">
        <v>0.268119</v>
      </c>
      <c r="AW202" s="7">
        <v>0.264575</v>
      </c>
      <c r="AX202" s="7">
        <v>0.52114799999999994</v>
      </c>
    </row>
    <row r="203" spans="1:50">
      <c r="A203" s="4">
        <v>3.24</v>
      </c>
      <c r="B203" s="7">
        <v>0.114623</v>
      </c>
      <c r="C203" s="7">
        <v>6.9913000000000003E-2</v>
      </c>
      <c r="D203" s="7">
        <v>0.105297</v>
      </c>
      <c r="E203" s="7">
        <v>6.2364999999999997E-2</v>
      </c>
      <c r="H203" s="7">
        <v>0.78926399999999997</v>
      </c>
      <c r="I203" s="7">
        <v>1.5894919999999999</v>
      </c>
      <c r="J203" s="7">
        <v>0.94792299999999996</v>
      </c>
      <c r="K203" s="7">
        <v>2.0021589999999998</v>
      </c>
      <c r="N203" s="7">
        <v>50</v>
      </c>
      <c r="O203" s="7">
        <v>0.112915</v>
      </c>
      <c r="P203" s="7">
        <v>4.0580999999999999E-2</v>
      </c>
      <c r="Q203" s="7">
        <v>4.8901E-2</v>
      </c>
      <c r="R203" s="7">
        <v>0.10174</v>
      </c>
      <c r="S203" s="7"/>
      <c r="T203" s="7"/>
      <c r="W203" s="7">
        <v>0.115193</v>
      </c>
      <c r="X203" s="7">
        <v>4.6560999999999998E-2</v>
      </c>
      <c r="Y203" s="7">
        <v>5.3474000000000001E-2</v>
      </c>
      <c r="Z203" s="7">
        <v>0.10224800000000001</v>
      </c>
      <c r="AC203" s="7">
        <v>0.108358</v>
      </c>
      <c r="AD203" s="7">
        <v>4.6276999999999999E-2</v>
      </c>
      <c r="AE203" s="7">
        <v>5.5506E-2</v>
      </c>
      <c r="AF203" s="7">
        <v>0.10478899999999999</v>
      </c>
      <c r="AI203" s="7">
        <v>0.120034</v>
      </c>
      <c r="AJ203" s="7">
        <v>9.2126E-2</v>
      </c>
      <c r="AK203" s="7">
        <v>0.112664</v>
      </c>
      <c r="AL203" s="7">
        <v>9.3865000000000004E-2</v>
      </c>
      <c r="AO203" s="7">
        <v>0.27950999999999998</v>
      </c>
      <c r="AP203" s="7">
        <v>0.20689199999999999</v>
      </c>
      <c r="AQ203" s="7">
        <v>0.179728</v>
      </c>
      <c r="AR203" s="7">
        <v>0.27981699999999998</v>
      </c>
      <c r="AU203" s="7">
        <v>0.71806899999999996</v>
      </c>
      <c r="AV203" s="7">
        <v>0.38772600000000002</v>
      </c>
      <c r="AW203" s="7">
        <v>0.406833</v>
      </c>
      <c r="AX203" s="7">
        <v>0.83868900000000002</v>
      </c>
    </row>
    <row r="204" spans="1:50">
      <c r="A204" s="4">
        <v>5.5</v>
      </c>
      <c r="B204" s="7">
        <v>0.15876399999999999</v>
      </c>
      <c r="C204" s="7">
        <v>0.12715399999999999</v>
      </c>
      <c r="D204" s="7">
        <v>0.115966</v>
      </c>
      <c r="E204" s="7">
        <v>0.15127699999999999</v>
      </c>
      <c r="H204" s="7">
        <v>9.0506910000000005</v>
      </c>
      <c r="I204" s="7">
        <v>7.2537380000000002</v>
      </c>
      <c r="J204" s="7">
        <v>7.1412420000000001</v>
      </c>
      <c r="K204" s="7">
        <v>9.6485459999999996</v>
      </c>
      <c r="N204" s="7">
        <v>80</v>
      </c>
      <c r="O204" s="7">
        <v>0.108928</v>
      </c>
      <c r="P204" s="7">
        <v>4.1435E-2</v>
      </c>
      <c r="Q204" s="7">
        <v>4.6107000000000002E-2</v>
      </c>
      <c r="R204" s="7">
        <v>9.4372999999999999E-2</v>
      </c>
      <c r="S204" s="7"/>
      <c r="T204" s="7"/>
      <c r="W204" s="7">
        <v>0.112345</v>
      </c>
      <c r="X204" s="7">
        <v>4.7416E-2</v>
      </c>
      <c r="Y204" s="7">
        <v>5.4489999999999997E-2</v>
      </c>
      <c r="Z204" s="7">
        <v>0.10732899999999999</v>
      </c>
      <c r="AC204" s="7">
        <v>0.107789</v>
      </c>
      <c r="AD204" s="7">
        <v>5.1686999999999997E-2</v>
      </c>
      <c r="AE204" s="7">
        <v>5.6014000000000001E-2</v>
      </c>
      <c r="AF204" s="7">
        <v>0.10428</v>
      </c>
      <c r="AI204" s="7">
        <v>0.121173</v>
      </c>
      <c r="AJ204" s="7">
        <v>0.112915</v>
      </c>
      <c r="AK204" s="7">
        <v>0.116982</v>
      </c>
      <c r="AL204" s="7">
        <v>0.102756</v>
      </c>
      <c r="AO204" s="7">
        <v>0.39342199999999999</v>
      </c>
      <c r="AP204" s="7">
        <v>0.21970700000000001</v>
      </c>
      <c r="AQ204" s="7">
        <v>0.22392999999999999</v>
      </c>
      <c r="AR204" s="7">
        <v>0.38905099999999998</v>
      </c>
      <c r="AU204" s="7">
        <v>1.062651</v>
      </c>
      <c r="AV204" s="7">
        <v>0.60131000000000001</v>
      </c>
      <c r="AW204" s="7">
        <v>0.59989800000000004</v>
      </c>
      <c r="AX204" s="7">
        <v>1.059698</v>
      </c>
    </row>
    <row r="205" spans="1:50">
      <c r="A205" s="4">
        <v>7.62</v>
      </c>
      <c r="B205" s="7">
        <v>0.43329099999999998</v>
      </c>
      <c r="C205" s="7">
        <v>0.210309</v>
      </c>
      <c r="D205" s="7">
        <v>0.19852700000000001</v>
      </c>
      <c r="E205" s="7">
        <v>0.40429300000000001</v>
      </c>
      <c r="H205" s="7">
        <v>16.70269</v>
      </c>
      <c r="I205" s="7">
        <v>18.30884</v>
      </c>
      <c r="J205" s="7">
        <v>18.68703</v>
      </c>
      <c r="K205" s="7">
        <v>14.721579999999999</v>
      </c>
      <c r="N205" s="7">
        <v>100</v>
      </c>
      <c r="O205" s="7">
        <v>0.110636</v>
      </c>
      <c r="P205" s="7">
        <v>4.4283000000000003E-2</v>
      </c>
      <c r="Q205" s="7">
        <v>4.1279999999999997E-2</v>
      </c>
      <c r="R205" s="7">
        <v>0.10732899999999999</v>
      </c>
      <c r="S205" s="7"/>
      <c r="T205" s="7"/>
      <c r="W205" s="7">
        <v>0.115193</v>
      </c>
      <c r="X205" s="7">
        <v>5.2825999999999998E-2</v>
      </c>
      <c r="Y205" s="7">
        <v>5.3474000000000001E-2</v>
      </c>
      <c r="Z205" s="7">
        <v>0.110123</v>
      </c>
      <c r="AC205" s="7">
        <v>0.115193</v>
      </c>
      <c r="AD205" s="7">
        <v>6.6211000000000006E-2</v>
      </c>
      <c r="AE205" s="7">
        <v>5.7284000000000002E-2</v>
      </c>
      <c r="AF205" s="7">
        <v>0.107837</v>
      </c>
      <c r="AI205" s="7">
        <v>0.15107499999999999</v>
      </c>
      <c r="AJ205" s="7">
        <v>0.13712099999999999</v>
      </c>
      <c r="AK205" s="7">
        <v>0.14721200000000001</v>
      </c>
      <c r="AL205" s="7">
        <v>0.119268</v>
      </c>
      <c r="AO205" s="7">
        <v>0.59561399999999998</v>
      </c>
      <c r="AP205" s="7">
        <v>0.35639999999999999</v>
      </c>
      <c r="AQ205" s="7">
        <v>0.32046200000000002</v>
      </c>
      <c r="AR205" s="7">
        <v>0.56179299999999999</v>
      </c>
      <c r="AU205" s="7">
        <v>1.7375769999999999</v>
      </c>
      <c r="AV205" s="7">
        <v>1.0484119999999999</v>
      </c>
      <c r="AW205" s="7">
        <v>0.96570599999999995</v>
      </c>
      <c r="AX205" s="7">
        <v>1.664296</v>
      </c>
    </row>
    <row r="206" spans="1:50">
      <c r="N206" s="7">
        <v>1000</v>
      </c>
      <c r="O206" s="7">
        <v>0.13655100000000001</v>
      </c>
      <c r="P206" s="7">
        <v>4.9409000000000002E-2</v>
      </c>
      <c r="Q206" s="7">
        <v>4.3312999999999997E-2</v>
      </c>
      <c r="R206" s="7">
        <v>0.105805</v>
      </c>
      <c r="S206" s="7"/>
      <c r="T206" s="7"/>
      <c r="W206" s="7">
        <v>0.13911399999999999</v>
      </c>
      <c r="X206" s="7">
        <v>6.7919999999999994E-2</v>
      </c>
      <c r="Y206" s="7">
        <v>6.5412999999999999E-2</v>
      </c>
      <c r="Z206" s="7">
        <v>0.110123</v>
      </c>
      <c r="AC206" s="7">
        <v>0.198633</v>
      </c>
      <c r="AD206" s="7">
        <v>0.172433</v>
      </c>
      <c r="AE206" s="7">
        <v>0.18049000000000001</v>
      </c>
      <c r="AF206" s="7">
        <v>0.171599</v>
      </c>
      <c r="AI206" s="7">
        <v>0.78926399999999997</v>
      </c>
      <c r="AJ206" s="7">
        <v>1.5894919999999999</v>
      </c>
      <c r="AK206" s="7">
        <v>0.94792299999999996</v>
      </c>
      <c r="AL206" s="7">
        <v>2.0021589999999998</v>
      </c>
      <c r="AO206" s="7">
        <v>9.0506910000000005</v>
      </c>
      <c r="AP206" s="7">
        <v>7.2537380000000002</v>
      </c>
      <c r="AQ206" s="7">
        <v>7.1412420000000001</v>
      </c>
      <c r="AR206" s="7">
        <v>9.6485459999999996</v>
      </c>
      <c r="AU206" s="7">
        <v>16.70269</v>
      </c>
      <c r="AV206" s="7">
        <v>18.30884</v>
      </c>
      <c r="AW206" s="7">
        <v>18.68703</v>
      </c>
      <c r="AX206" s="7">
        <v>14.721579999999999</v>
      </c>
    </row>
    <row r="207" spans="1:50">
      <c r="O207" s="230" t="s">
        <v>783</v>
      </c>
      <c r="P207" s="230"/>
      <c r="Q207" s="230"/>
      <c r="R207" s="230"/>
      <c r="S207" s="230"/>
      <c r="T207" s="230"/>
      <c r="U207" s="230" t="s">
        <v>2118</v>
      </c>
      <c r="V207" s="230"/>
      <c r="W207" s="230"/>
      <c r="X207" s="230"/>
      <c r="Y207" s="230"/>
      <c r="Z207" s="230"/>
      <c r="AA207" s="230" t="s">
        <v>2119</v>
      </c>
      <c r="AB207" s="230"/>
      <c r="AC207" s="230"/>
      <c r="AD207" s="230"/>
      <c r="AE207" s="230"/>
      <c r="AF207" s="230"/>
      <c r="AG207" s="230" t="s">
        <v>2120</v>
      </c>
      <c r="AH207" s="230"/>
      <c r="AI207" s="230"/>
      <c r="AJ207" s="230"/>
      <c r="AK207" s="230"/>
      <c r="AL207" s="230"/>
      <c r="AM207" s="230" t="s">
        <v>2121</v>
      </c>
      <c r="AN207" s="230"/>
      <c r="AO207" s="230"/>
      <c r="AP207" s="230"/>
      <c r="AQ207" s="230"/>
      <c r="AR207" s="230"/>
      <c r="AS207" s="230" t="s">
        <v>2122</v>
      </c>
      <c r="AT207" s="230"/>
      <c r="AU207" s="230"/>
      <c r="AV207" s="230"/>
      <c r="AW207" s="230"/>
      <c r="AX207" s="230"/>
    </row>
    <row r="208" spans="1:50" ht="16.5">
      <c r="A208" s="68" t="s">
        <v>2117</v>
      </c>
      <c r="B208" s="244" t="s">
        <v>1888</v>
      </c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5" t="s">
        <v>727</v>
      </c>
      <c r="O208" s="218">
        <v>2.2949426262392738E-2</v>
      </c>
      <c r="P208" s="218"/>
      <c r="Q208" s="218">
        <v>4.3754410726887811E-3</v>
      </c>
      <c r="R208" s="218"/>
      <c r="S208" s="218">
        <v>4.0000000000000001E-3</v>
      </c>
      <c r="T208" s="218"/>
      <c r="U208" s="218">
        <v>0.1806629834100584</v>
      </c>
      <c r="V208" s="218"/>
      <c r="W208" s="218">
        <v>0.18955539872971067</v>
      </c>
      <c r="X208" s="218"/>
      <c r="Y208" s="218">
        <v>0.126770246</v>
      </c>
      <c r="Z208" s="218"/>
      <c r="AA208" s="218">
        <v>1.1257968549829327</v>
      </c>
      <c r="AB208" s="218"/>
      <c r="AC208" s="218">
        <v>0.6485532815808045</v>
      </c>
      <c r="AD208" s="218"/>
      <c r="AE208" s="218">
        <v>0.40327237700000002</v>
      </c>
      <c r="AF208" s="218"/>
      <c r="AG208" s="218">
        <v>2.0807479811236083</v>
      </c>
      <c r="AH208" s="218"/>
      <c r="AI208" s="218">
        <v>2.0825688073394497</v>
      </c>
      <c r="AJ208" s="218"/>
      <c r="AK208" s="218">
        <v>1.515605665</v>
      </c>
      <c r="AL208" s="218"/>
      <c r="AM208" s="218">
        <v>4.6816829575281194</v>
      </c>
      <c r="AN208" s="218"/>
      <c r="AO208" s="218">
        <v>4.857445306986591</v>
      </c>
      <c r="AP208" s="218"/>
      <c r="AQ208" s="218">
        <v>4.3246253269999997</v>
      </c>
      <c r="AR208" s="218"/>
      <c r="AS208" s="218">
        <v>8.0883977893677521</v>
      </c>
      <c r="AT208" s="218"/>
      <c r="AU208" s="218">
        <v>6.9181369089625973</v>
      </c>
      <c r="AV208" s="218"/>
      <c r="AW208" s="218">
        <v>7.0868967410000003</v>
      </c>
      <c r="AX208" s="218"/>
    </row>
    <row r="209" spans="1:50">
      <c r="A209" s="4" t="s">
        <v>1725</v>
      </c>
      <c r="B209" s="258">
        <v>0</v>
      </c>
      <c r="C209" s="258"/>
      <c r="D209" s="258"/>
      <c r="E209" s="258"/>
      <c r="F209" s="258"/>
      <c r="G209" s="258"/>
      <c r="H209" s="260">
        <v>10000</v>
      </c>
      <c r="I209" s="260"/>
      <c r="J209" s="260"/>
      <c r="K209" s="260"/>
      <c r="L209" s="260"/>
      <c r="M209" s="260"/>
      <c r="N209" s="7">
        <v>0</v>
      </c>
      <c r="O209" s="120" t="s">
        <v>1765</v>
      </c>
      <c r="P209" s="120" t="s">
        <v>1766</v>
      </c>
      <c r="Q209" s="7">
        <v>4.2484000000000001E-2</v>
      </c>
      <c r="R209" s="7">
        <v>4.1637E-2</v>
      </c>
      <c r="S209" s="7">
        <v>1.7461999999999998E-2</v>
      </c>
      <c r="T209" s="7">
        <v>1.5537E-2</v>
      </c>
      <c r="U209" s="7">
        <v>6.9868E-2</v>
      </c>
      <c r="V209" s="7">
        <v>6.4003000000000004E-2</v>
      </c>
      <c r="W209" s="7">
        <v>9.0755000000000002E-2</v>
      </c>
      <c r="X209" s="7">
        <v>7.8335000000000002E-2</v>
      </c>
      <c r="Y209" s="7">
        <v>3.3686000000000001E-2</v>
      </c>
      <c r="Z209" s="7">
        <v>3.1210999999999999E-2</v>
      </c>
      <c r="AA209" s="7">
        <v>0.39141500000000001</v>
      </c>
      <c r="AB209" s="7">
        <v>0.39651500000000001</v>
      </c>
      <c r="AC209" s="7">
        <v>0.19350700000000001</v>
      </c>
      <c r="AD209" s="7">
        <v>0.19181400000000001</v>
      </c>
      <c r="AE209" s="7">
        <v>8.4283999999999998E-2</v>
      </c>
      <c r="AF209" s="7">
        <v>7.7685000000000004E-2</v>
      </c>
      <c r="AG209" s="7">
        <v>1.041649</v>
      </c>
      <c r="AH209" s="7">
        <v>1.079898</v>
      </c>
      <c r="AI209" s="7">
        <v>1.0084690000000001</v>
      </c>
      <c r="AJ209" s="7">
        <v>0.94354300000000002</v>
      </c>
      <c r="AK209" s="7">
        <v>0.56689100000000003</v>
      </c>
      <c r="AL209" s="7">
        <v>0.564141</v>
      </c>
      <c r="AM209" s="7">
        <v>5.0348490000000004</v>
      </c>
      <c r="AN209" s="7">
        <v>5.2413939999999997</v>
      </c>
      <c r="AO209" s="7">
        <v>4.0402259999999997</v>
      </c>
      <c r="AP209" s="7">
        <v>4.3761469999999996</v>
      </c>
      <c r="AQ209" s="7">
        <v>3.5395300000000001</v>
      </c>
      <c r="AR209" s="7">
        <v>3.421284</v>
      </c>
      <c r="AS209" s="7">
        <v>11.84318</v>
      </c>
      <c r="AT209" s="7">
        <v>12.248620000000001</v>
      </c>
      <c r="AU209" s="7">
        <v>9.0282289999999996</v>
      </c>
      <c r="AV209" s="7">
        <v>8.7035990000000005</v>
      </c>
      <c r="AW209" s="7">
        <v>9.7597970000000007</v>
      </c>
      <c r="AX209" s="7">
        <v>10.125529999999999</v>
      </c>
    </row>
    <row r="210" spans="1:50">
      <c r="A210" s="4">
        <v>0.01</v>
      </c>
      <c r="B210" s="120" t="s">
        <v>1765</v>
      </c>
      <c r="C210" s="120" t="s">
        <v>1766</v>
      </c>
      <c r="D210" s="7">
        <v>4.2484000000000001E-2</v>
      </c>
      <c r="E210" s="7">
        <v>4.1637E-2</v>
      </c>
      <c r="F210" s="7">
        <v>1.7461999999999998E-2</v>
      </c>
      <c r="G210" s="7">
        <v>1.5537E-2</v>
      </c>
      <c r="H210" s="7">
        <v>0.399065</v>
      </c>
      <c r="I210" s="7">
        <v>0.41691499999999998</v>
      </c>
      <c r="J210" s="7">
        <v>0.36485499999999998</v>
      </c>
      <c r="K210" s="7">
        <v>0.26605499999999999</v>
      </c>
      <c r="L210" s="7">
        <v>0.42389700000000002</v>
      </c>
      <c r="M210" s="7">
        <v>0.27815200000000001</v>
      </c>
      <c r="N210" s="7">
        <v>1</v>
      </c>
      <c r="O210" s="120" t="s">
        <v>1767</v>
      </c>
      <c r="P210" s="120" t="s">
        <v>1768</v>
      </c>
      <c r="Q210" s="7">
        <v>4.1355000000000003E-2</v>
      </c>
      <c r="R210" s="7">
        <v>3.4861999999999997E-2</v>
      </c>
      <c r="S210" s="7">
        <v>1.3337E-2</v>
      </c>
      <c r="T210" s="7">
        <v>1.4711999999999999E-2</v>
      </c>
      <c r="U210" s="7">
        <v>8.3382999999999999E-2</v>
      </c>
      <c r="V210" s="7">
        <v>8.9758000000000004E-2</v>
      </c>
      <c r="W210" s="7">
        <v>9.3296000000000004E-2</v>
      </c>
      <c r="X210" s="7">
        <v>8.0028000000000002E-2</v>
      </c>
      <c r="Y210" s="7">
        <v>3.2310999999999999E-2</v>
      </c>
      <c r="Z210" s="7">
        <v>2.7910999999999998E-2</v>
      </c>
      <c r="AA210" s="7">
        <v>0.38376500000000002</v>
      </c>
      <c r="AB210" s="7">
        <v>0.399065</v>
      </c>
      <c r="AC210" s="7">
        <v>0.16838400000000001</v>
      </c>
      <c r="AD210" s="7">
        <v>0.179393</v>
      </c>
      <c r="AE210" s="7">
        <v>7.8784999999999994E-2</v>
      </c>
      <c r="AF210" s="7">
        <v>7.9884999999999998E-2</v>
      </c>
      <c r="AG210" s="7">
        <v>1.1538459999999999</v>
      </c>
      <c r="AH210" s="7">
        <v>1.235444</v>
      </c>
      <c r="AI210" s="7">
        <v>1.0112909999999999</v>
      </c>
      <c r="AJ210" s="7">
        <v>0.93225100000000005</v>
      </c>
      <c r="AK210" s="7">
        <v>0.63563899999999995</v>
      </c>
      <c r="AL210" s="7">
        <v>0.52289300000000005</v>
      </c>
      <c r="AM210" s="7">
        <v>5.5065869999999997</v>
      </c>
      <c r="AN210" s="7">
        <v>5.9477260000000003</v>
      </c>
      <c r="AO210" s="7">
        <v>4.3648550000000004</v>
      </c>
      <c r="AP210" s="7">
        <v>4.6556100000000002</v>
      </c>
      <c r="AQ210" s="7">
        <v>3.770521</v>
      </c>
      <c r="AR210" s="7">
        <v>3.9025159999999999</v>
      </c>
      <c r="AS210" s="7">
        <v>13.10285</v>
      </c>
      <c r="AT210" s="7">
        <v>13.062049999999999</v>
      </c>
      <c r="AU210" s="7">
        <v>10.33522</v>
      </c>
      <c r="AV210" s="7">
        <v>9.5419900000000002</v>
      </c>
      <c r="AW210" s="7">
        <v>10.095280000000001</v>
      </c>
      <c r="AX210" s="7">
        <v>10.411519999999999</v>
      </c>
    </row>
    <row r="211" spans="1:50">
      <c r="A211" s="4">
        <v>0.16</v>
      </c>
      <c r="B211" s="7">
        <v>6.9868E-2</v>
      </c>
      <c r="C211" s="7">
        <v>6.4003000000000004E-2</v>
      </c>
      <c r="D211" s="7">
        <v>9.0755000000000002E-2</v>
      </c>
      <c r="E211" s="7">
        <v>7.8335000000000002E-2</v>
      </c>
      <c r="F211" s="7">
        <v>3.3686000000000001E-2</v>
      </c>
      <c r="G211" s="7">
        <v>3.1210999999999999E-2</v>
      </c>
      <c r="H211" s="7">
        <v>26.479810000000001</v>
      </c>
      <c r="I211" s="7">
        <v>26.237570000000002</v>
      </c>
      <c r="J211" s="7">
        <v>27.588570000000001</v>
      </c>
      <c r="K211" s="7">
        <v>28.184190000000001</v>
      </c>
      <c r="L211" s="7">
        <v>22.409320000000001</v>
      </c>
      <c r="M211" s="7">
        <v>22.75581</v>
      </c>
      <c r="N211" s="7">
        <v>10</v>
      </c>
      <c r="O211" s="120" t="s">
        <v>1769</v>
      </c>
      <c r="P211" s="120" t="s">
        <v>1770</v>
      </c>
      <c r="Q211" s="7">
        <v>5.0105999999999998E-2</v>
      </c>
      <c r="R211" s="7">
        <v>3.6274000000000001E-2</v>
      </c>
      <c r="S211" s="7">
        <v>1.4437E-2</v>
      </c>
      <c r="T211" s="7">
        <v>1.5262E-2</v>
      </c>
      <c r="U211" s="7">
        <v>0.150701</v>
      </c>
      <c r="V211" s="7">
        <v>0.18232000000000001</v>
      </c>
      <c r="W211" s="7">
        <v>0.21524299999999999</v>
      </c>
      <c r="X211" s="7">
        <v>0.17713499999999999</v>
      </c>
      <c r="Y211" s="7">
        <v>7.0260000000000003E-2</v>
      </c>
      <c r="Z211" s="7">
        <v>0.106559</v>
      </c>
      <c r="AA211" s="7">
        <v>5.8227789999999997</v>
      </c>
      <c r="AB211" s="7">
        <v>6.4245640000000002</v>
      </c>
      <c r="AC211" s="7">
        <v>1.8016939999999999</v>
      </c>
      <c r="AD211" s="7">
        <v>1.9992939999999999</v>
      </c>
      <c r="AE211" s="7">
        <v>1.0756220000000001</v>
      </c>
      <c r="AF211" s="7">
        <v>1.779596</v>
      </c>
      <c r="AG211" s="7">
        <v>11.37909</v>
      </c>
      <c r="AH211" s="7">
        <v>11.20824</v>
      </c>
      <c r="AI211" s="7">
        <v>10.72195</v>
      </c>
      <c r="AJ211" s="7">
        <v>10.46224</v>
      </c>
      <c r="AK211" s="7">
        <v>8.7615839999999992</v>
      </c>
      <c r="AL211" s="7">
        <v>8.3930980000000002</v>
      </c>
      <c r="AM211" s="7">
        <v>20.862300000000001</v>
      </c>
      <c r="AN211" s="7">
        <v>21.509989999999998</v>
      </c>
      <c r="AO211" s="7">
        <v>17.98518</v>
      </c>
      <c r="AP211" s="7">
        <v>17.553280000000001</v>
      </c>
      <c r="AQ211" s="7">
        <v>17.11852</v>
      </c>
      <c r="AR211" s="7">
        <v>17.542000000000002</v>
      </c>
      <c r="AS211" s="7">
        <v>26.237570000000002</v>
      </c>
      <c r="AT211" s="7">
        <v>25.839780000000001</v>
      </c>
      <c r="AU211" s="7">
        <v>24.342269999999999</v>
      </c>
      <c r="AV211" s="7">
        <v>22.62032</v>
      </c>
      <c r="AW211" s="7">
        <v>21.33961</v>
      </c>
      <c r="AX211" s="7">
        <v>21.537600000000001</v>
      </c>
    </row>
    <row r="212" spans="1:50">
      <c r="A212" s="4">
        <v>0.72</v>
      </c>
      <c r="B212" s="7">
        <v>0.39141500000000001</v>
      </c>
      <c r="C212" s="7">
        <v>0.39651500000000001</v>
      </c>
      <c r="D212" s="7">
        <v>0.19350700000000001</v>
      </c>
      <c r="E212" s="7">
        <v>0.19181400000000001</v>
      </c>
      <c r="F212" s="7">
        <v>8.4283999999999998E-2</v>
      </c>
      <c r="G212" s="7">
        <v>7.7685000000000004E-2</v>
      </c>
      <c r="H212" s="7">
        <v>37.732680000000002</v>
      </c>
      <c r="I212" s="7">
        <v>39.379939999999998</v>
      </c>
      <c r="J212" s="7">
        <v>31.362739999999999</v>
      </c>
      <c r="K212" s="7">
        <v>31.653490000000001</v>
      </c>
      <c r="L212" s="7">
        <v>26.92465</v>
      </c>
      <c r="M212" s="7">
        <v>26.03369</v>
      </c>
      <c r="N212" s="7">
        <v>50</v>
      </c>
      <c r="O212" s="7">
        <v>7.4457999999999996E-2</v>
      </c>
      <c r="P212" s="7">
        <v>6.8593000000000001E-2</v>
      </c>
      <c r="Q212" s="7">
        <v>3.458E-2</v>
      </c>
      <c r="R212" s="7">
        <v>4.5588999999999998E-2</v>
      </c>
      <c r="S212" s="7">
        <v>1.8837E-2</v>
      </c>
      <c r="T212" s="7">
        <v>2.2412000000000001E-2</v>
      </c>
      <c r="U212" s="7">
        <v>6.5648109999999997</v>
      </c>
      <c r="V212" s="7">
        <v>7.1793459999999998</v>
      </c>
      <c r="W212" s="7">
        <v>8.8927309999999995</v>
      </c>
      <c r="X212" s="7">
        <v>9.2822870000000002</v>
      </c>
      <c r="Y212" s="7">
        <v>5.3929600000000004</v>
      </c>
      <c r="Z212" s="7">
        <v>5.6322010000000002</v>
      </c>
      <c r="AA212" s="7">
        <v>23.218440000000001</v>
      </c>
      <c r="AB212" s="7">
        <v>24.159369999999999</v>
      </c>
      <c r="AC212" s="7">
        <v>18.487649999999999</v>
      </c>
      <c r="AD212" s="7">
        <v>18.944949999999999</v>
      </c>
      <c r="AE212" s="7">
        <v>12.2897</v>
      </c>
      <c r="AF212" s="7">
        <v>12.831429999999999</v>
      </c>
      <c r="AG212" s="7">
        <v>27.97663</v>
      </c>
      <c r="AH212" s="7">
        <v>26.076920000000001</v>
      </c>
      <c r="AI212" s="7">
        <v>25.482710000000001</v>
      </c>
      <c r="AJ212" s="7">
        <v>26.758649999999999</v>
      </c>
      <c r="AK212" s="7">
        <v>20.82263</v>
      </c>
      <c r="AL212" s="7">
        <v>21.144369999999999</v>
      </c>
      <c r="AM212" s="7">
        <v>31.997879999999999</v>
      </c>
      <c r="AN212" s="7">
        <v>31.322140000000001</v>
      </c>
      <c r="AO212" s="7">
        <v>30.513059999999999</v>
      </c>
      <c r="AP212" s="7">
        <v>34.795340000000003</v>
      </c>
      <c r="AQ212" s="7">
        <v>25.483709999999999</v>
      </c>
      <c r="AR212" s="7">
        <v>25.483709999999999</v>
      </c>
      <c r="AS212" s="7">
        <v>39.140250000000002</v>
      </c>
      <c r="AT212" s="7">
        <v>39.986829999999998</v>
      </c>
      <c r="AU212" s="7">
        <v>45.652079999999998</v>
      </c>
      <c r="AV212" s="7">
        <v>38.129150000000003</v>
      </c>
      <c r="AW212" s="7">
        <v>30.989000000000001</v>
      </c>
      <c r="AX212" s="7">
        <v>32.146709999999999</v>
      </c>
    </row>
    <row r="213" spans="1:50">
      <c r="A213" s="4">
        <v>1.89</v>
      </c>
      <c r="B213" s="7">
        <v>1.041649</v>
      </c>
      <c r="C213" s="7">
        <v>1.079898</v>
      </c>
      <c r="D213" s="7">
        <v>1.0084690000000001</v>
      </c>
      <c r="E213" s="7">
        <v>0.94354300000000002</v>
      </c>
      <c r="F213" s="7">
        <v>0.56689100000000003</v>
      </c>
      <c r="G213" s="7">
        <v>0.564141</v>
      </c>
      <c r="H213" s="7">
        <v>62.42371</v>
      </c>
      <c r="I213" s="7">
        <v>57.137700000000002</v>
      </c>
      <c r="J213" s="7">
        <v>42.428370000000001</v>
      </c>
      <c r="K213" s="7">
        <v>48.96895</v>
      </c>
      <c r="L213" s="7">
        <v>42.189329999999998</v>
      </c>
      <c r="M213" s="7">
        <v>42.970300000000002</v>
      </c>
      <c r="N213" s="7">
        <v>100</v>
      </c>
      <c r="O213" s="7">
        <v>7.5478000000000003E-2</v>
      </c>
      <c r="P213" s="7">
        <v>7.6243000000000005E-2</v>
      </c>
      <c r="Q213" s="7">
        <v>3.9378999999999997E-2</v>
      </c>
      <c r="R213" s="7">
        <v>4.6435999999999998E-2</v>
      </c>
      <c r="S213" s="7">
        <v>2.2962E-2</v>
      </c>
      <c r="T213" s="7">
        <v>1.9112000000000001E-2</v>
      </c>
      <c r="U213" s="7">
        <v>13.062049999999999</v>
      </c>
      <c r="V213" s="7">
        <v>13.93158</v>
      </c>
      <c r="W213" s="7">
        <v>15.57728</v>
      </c>
      <c r="X213" s="7">
        <v>16.610440000000001</v>
      </c>
      <c r="Y213" s="7">
        <v>10.18878</v>
      </c>
      <c r="Z213" s="7">
        <v>10.474769999999999</v>
      </c>
      <c r="AA213" s="7">
        <v>27.216740000000001</v>
      </c>
      <c r="AB213" s="7">
        <v>27.38504</v>
      </c>
      <c r="AC213" s="7">
        <v>26.033169999999998</v>
      </c>
      <c r="AD213" s="7">
        <v>26.354980000000001</v>
      </c>
      <c r="AE213" s="7">
        <v>17.487010000000001</v>
      </c>
      <c r="AF213" s="7">
        <v>17.649249999999999</v>
      </c>
      <c r="AG213" s="7">
        <v>29.82788</v>
      </c>
      <c r="AH213" s="7">
        <v>30.473009999999999</v>
      </c>
      <c r="AI213" s="7">
        <v>31.94425</v>
      </c>
      <c r="AJ213" s="7">
        <v>31.554690000000001</v>
      </c>
      <c r="AK213" s="7">
        <v>21.669599999999999</v>
      </c>
      <c r="AL213" s="7">
        <v>23.751270000000002</v>
      </c>
      <c r="AM213" s="7">
        <v>39.74203</v>
      </c>
      <c r="AN213" s="7">
        <v>40.109220000000001</v>
      </c>
      <c r="AO213" s="7">
        <v>42.041640000000001</v>
      </c>
      <c r="AP213" s="7">
        <v>41.784759999999999</v>
      </c>
      <c r="AQ213" s="7">
        <v>29.600300000000001</v>
      </c>
      <c r="AR213" s="7">
        <v>30.150279999999999</v>
      </c>
      <c r="AS213" s="120" t="s">
        <v>1771</v>
      </c>
      <c r="AT213" s="120" t="s">
        <v>1772</v>
      </c>
      <c r="AU213" s="120" t="s">
        <v>1773</v>
      </c>
      <c r="AV213" s="120" t="s">
        <v>1773</v>
      </c>
      <c r="AW213" s="120" t="s">
        <v>1774</v>
      </c>
      <c r="AX213" s="120" t="s">
        <v>1775</v>
      </c>
    </row>
    <row r="214" spans="1:50">
      <c r="A214" s="4">
        <v>4.62</v>
      </c>
      <c r="B214" s="7">
        <v>5.0348490000000004</v>
      </c>
      <c r="C214" s="7">
        <v>5.2413939999999997</v>
      </c>
      <c r="D214" s="7">
        <v>4.0402259999999997</v>
      </c>
      <c r="E214" s="7">
        <v>4.3761469999999996</v>
      </c>
      <c r="F214" s="7">
        <v>3.5395300000000001</v>
      </c>
      <c r="G214" s="7">
        <v>3.421284</v>
      </c>
      <c r="H214" s="120" t="s">
        <v>1776</v>
      </c>
      <c r="I214" s="120" t="s">
        <v>1777</v>
      </c>
      <c r="J214" s="120" t="s">
        <v>1721</v>
      </c>
      <c r="K214" s="120" t="s">
        <v>1778</v>
      </c>
      <c r="L214" s="120" t="s">
        <v>1779</v>
      </c>
      <c r="M214" s="120" t="s">
        <v>1780</v>
      </c>
      <c r="N214" s="7">
        <v>500</v>
      </c>
      <c r="O214" s="7">
        <v>0.11168699999999999</v>
      </c>
      <c r="P214" s="7">
        <v>0.112452</v>
      </c>
      <c r="Q214" s="7">
        <v>7.3817999999999995E-2</v>
      </c>
      <c r="R214" s="7">
        <v>7.1276999999999993E-2</v>
      </c>
      <c r="S214" s="7">
        <v>6.2560000000000004E-2</v>
      </c>
      <c r="T214" s="7">
        <v>5.7610000000000001E-2</v>
      </c>
      <c r="U214" s="7">
        <v>23.649380000000001</v>
      </c>
      <c r="V214" s="7">
        <v>24.457709999999999</v>
      </c>
      <c r="W214" s="7">
        <v>24.268879999999999</v>
      </c>
      <c r="X214" s="7">
        <v>24.045870000000001</v>
      </c>
      <c r="Y214" s="7">
        <v>17.434760000000001</v>
      </c>
      <c r="Z214" s="7">
        <v>18.823460000000001</v>
      </c>
      <c r="AA214" s="7">
        <v>32.097320000000003</v>
      </c>
      <c r="AB214" s="7">
        <v>31.900980000000001</v>
      </c>
      <c r="AC214" s="7">
        <v>29.959769999999999</v>
      </c>
      <c r="AD214" s="7">
        <v>27.588570000000001</v>
      </c>
      <c r="AE214" s="7">
        <v>21.936340000000001</v>
      </c>
      <c r="AF214" s="7">
        <v>23.679770000000001</v>
      </c>
      <c r="AG214" s="7">
        <v>38.783259999999999</v>
      </c>
      <c r="AH214" s="7">
        <v>40.109220000000001</v>
      </c>
      <c r="AI214" s="7">
        <v>33.03387</v>
      </c>
      <c r="AJ214" s="7">
        <v>31.362739999999999</v>
      </c>
      <c r="AK214" s="7">
        <v>28.709340000000001</v>
      </c>
      <c r="AL214" s="7">
        <v>29.600300000000001</v>
      </c>
      <c r="AM214" s="120" t="s">
        <v>1781</v>
      </c>
      <c r="AN214" s="120" t="s">
        <v>1782</v>
      </c>
      <c r="AO214" s="120" t="s">
        <v>1783</v>
      </c>
      <c r="AP214" s="120" t="s">
        <v>1784</v>
      </c>
      <c r="AQ214" s="120" t="s">
        <v>1785</v>
      </c>
      <c r="AR214" s="120" t="s">
        <v>1786</v>
      </c>
      <c r="AS214" s="120" t="s">
        <v>1787</v>
      </c>
      <c r="AT214" s="120" t="s">
        <v>1787</v>
      </c>
      <c r="AU214" s="120" t="s">
        <v>1788</v>
      </c>
      <c r="AV214" s="120" t="s">
        <v>1788</v>
      </c>
      <c r="AW214" s="120" t="s">
        <v>1789</v>
      </c>
      <c r="AX214" s="120" t="s">
        <v>1790</v>
      </c>
    </row>
    <row r="215" spans="1:50">
      <c r="A215" s="4">
        <v>7.36</v>
      </c>
      <c r="B215" s="7">
        <v>11.84318</v>
      </c>
      <c r="C215" s="7">
        <v>12.248620000000001</v>
      </c>
      <c r="D215" s="7">
        <v>9.0282289999999996</v>
      </c>
      <c r="E215" s="7">
        <v>8.7035990000000005</v>
      </c>
      <c r="F215" s="7">
        <v>9.7597970000000007</v>
      </c>
      <c r="G215" s="7">
        <v>10.125529999999999</v>
      </c>
      <c r="H215" s="120" t="s">
        <v>1791</v>
      </c>
      <c r="I215" s="120" t="s">
        <v>1792</v>
      </c>
      <c r="J215" s="120" t="s">
        <v>1793</v>
      </c>
      <c r="K215" s="120" t="s">
        <v>1794</v>
      </c>
      <c r="L215" s="120" t="s">
        <v>1795</v>
      </c>
      <c r="M215" s="120" t="s">
        <v>1796</v>
      </c>
      <c r="N215" s="7">
        <v>1000</v>
      </c>
      <c r="O215" s="7">
        <v>0.15121100000000001</v>
      </c>
      <c r="P215" s="7">
        <v>0.147896</v>
      </c>
      <c r="Q215" s="7">
        <v>0.106281</v>
      </c>
      <c r="R215" s="7">
        <v>8.6521000000000001E-2</v>
      </c>
      <c r="S215" s="7">
        <v>9.6109E-2</v>
      </c>
      <c r="T215" s="7">
        <v>7.9335000000000003E-2</v>
      </c>
      <c r="U215" s="7">
        <v>25.447089999999999</v>
      </c>
      <c r="V215" s="7">
        <v>26.398219999999998</v>
      </c>
      <c r="W215" s="7">
        <v>24.491879999999998</v>
      </c>
      <c r="X215" s="7">
        <v>25.406490000000002</v>
      </c>
      <c r="Y215" s="7">
        <v>20.071909999999999</v>
      </c>
      <c r="Z215" s="7">
        <v>19.827169999999999</v>
      </c>
      <c r="AA215" s="7">
        <v>32.68891</v>
      </c>
      <c r="AB215" s="7">
        <v>34.430509999999998</v>
      </c>
      <c r="AC215" s="7">
        <v>28.971769999999999</v>
      </c>
      <c r="AD215" s="7">
        <v>28.881440000000001</v>
      </c>
      <c r="AE215" s="7">
        <v>23.24804</v>
      </c>
      <c r="AF215" s="7">
        <v>23.897020000000001</v>
      </c>
      <c r="AG215" s="7">
        <v>48.167020000000001</v>
      </c>
      <c r="AH215" s="7">
        <v>48.019120000000001</v>
      </c>
      <c r="AI215" s="7">
        <v>33.954129999999999</v>
      </c>
      <c r="AJ215" s="7">
        <v>34.583629999999999</v>
      </c>
      <c r="AK215" s="7">
        <v>34.173380000000002</v>
      </c>
      <c r="AL215" s="7">
        <v>35.124850000000002</v>
      </c>
      <c r="AM215" s="120" t="s">
        <v>1797</v>
      </c>
      <c r="AN215" s="120" t="s">
        <v>1798</v>
      </c>
      <c r="AO215" s="120" t="s">
        <v>1799</v>
      </c>
      <c r="AP215" s="120" t="s">
        <v>1800</v>
      </c>
      <c r="AQ215" s="120" t="s">
        <v>1801</v>
      </c>
      <c r="AR215" s="120" t="s">
        <v>1802</v>
      </c>
      <c r="AS215" s="120" t="s">
        <v>1792</v>
      </c>
      <c r="AT215" s="120" t="s">
        <v>1803</v>
      </c>
      <c r="AU215" s="120" t="s">
        <v>1804</v>
      </c>
      <c r="AV215" s="120" t="s">
        <v>1805</v>
      </c>
      <c r="AW215" s="120" t="s">
        <v>1806</v>
      </c>
      <c r="AX215" s="120" t="s">
        <v>1807</v>
      </c>
    </row>
    <row r="216" spans="1:50">
      <c r="N216" s="7">
        <v>10000</v>
      </c>
      <c r="O216" s="7">
        <v>0.399065</v>
      </c>
      <c r="P216" s="7">
        <v>0.41691499999999998</v>
      </c>
      <c r="Q216" s="7">
        <v>0.36485499999999998</v>
      </c>
      <c r="R216" s="7">
        <v>0.26605499999999999</v>
      </c>
      <c r="S216" s="7">
        <v>0.42389700000000002</v>
      </c>
      <c r="T216" s="7">
        <v>0.27815200000000001</v>
      </c>
      <c r="U216" s="7">
        <v>26.479810000000001</v>
      </c>
      <c r="V216" s="7">
        <v>26.237570000000002</v>
      </c>
      <c r="W216" s="7">
        <v>27.588570000000001</v>
      </c>
      <c r="X216" s="7">
        <v>28.184190000000001</v>
      </c>
      <c r="Y216" s="7">
        <v>22.409320000000001</v>
      </c>
      <c r="Z216" s="7">
        <v>22.75581</v>
      </c>
      <c r="AA216" s="7">
        <v>37.732680000000002</v>
      </c>
      <c r="AB216" s="7">
        <v>39.379939999999998</v>
      </c>
      <c r="AC216" s="7">
        <v>31.362739999999999</v>
      </c>
      <c r="AD216" s="7">
        <v>31.653490000000001</v>
      </c>
      <c r="AE216" s="7">
        <v>26.92465</v>
      </c>
      <c r="AF216" s="7">
        <v>26.03369</v>
      </c>
      <c r="AG216" s="7">
        <v>62.42371</v>
      </c>
      <c r="AH216" s="7">
        <v>57.137700000000002</v>
      </c>
      <c r="AI216" s="7">
        <v>42.428370000000001</v>
      </c>
      <c r="AJ216" s="7">
        <v>48.96895</v>
      </c>
      <c r="AK216" s="7">
        <v>42.189329999999998</v>
      </c>
      <c r="AL216" s="7">
        <v>42.970300000000002</v>
      </c>
      <c r="AM216" s="120" t="s">
        <v>1776</v>
      </c>
      <c r="AN216" s="120" t="s">
        <v>1777</v>
      </c>
      <c r="AO216" s="120" t="s">
        <v>1721</v>
      </c>
      <c r="AP216" s="120" t="s">
        <v>1778</v>
      </c>
      <c r="AQ216" s="120" t="s">
        <v>1779</v>
      </c>
      <c r="AR216" s="120" t="s">
        <v>1780</v>
      </c>
      <c r="AS216" s="120" t="s">
        <v>1791</v>
      </c>
      <c r="AT216" s="120" t="s">
        <v>1792</v>
      </c>
      <c r="AU216" s="120" t="s">
        <v>1793</v>
      </c>
      <c r="AV216" s="120" t="s">
        <v>1794</v>
      </c>
      <c r="AW216" s="120" t="s">
        <v>1795</v>
      </c>
      <c r="AX216" s="120" t="s">
        <v>1796</v>
      </c>
    </row>
    <row r="217" spans="1:50">
      <c r="O217" s="230" t="s">
        <v>783</v>
      </c>
      <c r="P217" s="230"/>
      <c r="Q217" s="230"/>
      <c r="R217" s="230"/>
      <c r="S217" s="230"/>
      <c r="T217" s="230"/>
      <c r="U217" s="230" t="s">
        <v>2118</v>
      </c>
      <c r="V217" s="230"/>
      <c r="W217" s="230"/>
      <c r="X217" s="230"/>
      <c r="Y217" s="230"/>
      <c r="Z217" s="230"/>
      <c r="AA217" s="230" t="s">
        <v>2119</v>
      </c>
      <c r="AB217" s="230"/>
      <c r="AC217" s="230"/>
      <c r="AD217" s="230"/>
      <c r="AE217" s="230"/>
      <c r="AF217" s="230"/>
      <c r="AG217" s="230" t="s">
        <v>2120</v>
      </c>
      <c r="AH217" s="230"/>
      <c r="AI217" s="230"/>
      <c r="AJ217" s="230"/>
      <c r="AK217" s="230"/>
      <c r="AL217" s="230"/>
      <c r="AM217" s="230" t="s">
        <v>2121</v>
      </c>
      <c r="AN217" s="230"/>
      <c r="AO217" s="230"/>
      <c r="AP217" s="230"/>
      <c r="AQ217" s="230"/>
      <c r="AR217" s="230"/>
      <c r="AS217" s="230" t="s">
        <v>2122</v>
      </c>
      <c r="AT217" s="230"/>
      <c r="AU217" s="230"/>
      <c r="AV217" s="230"/>
      <c r="AW217" s="230"/>
      <c r="AX217" s="230"/>
    </row>
    <row r="218" spans="1:50" ht="16.5">
      <c r="A218" s="68" t="s">
        <v>2123</v>
      </c>
      <c r="B218" s="244" t="s">
        <v>1889</v>
      </c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5" t="s">
        <v>728</v>
      </c>
      <c r="O218" s="218">
        <v>2.2949426262392738E-2</v>
      </c>
      <c r="P218" s="218"/>
      <c r="Q218" s="218">
        <v>4.3754410726887811E-3</v>
      </c>
      <c r="R218" s="218"/>
      <c r="S218" s="218">
        <v>4.0000000000000001E-3</v>
      </c>
      <c r="T218" s="218"/>
      <c r="U218" s="218">
        <v>0.1806629834100584</v>
      </c>
      <c r="V218" s="218"/>
      <c r="W218" s="218">
        <v>0.18955539872971067</v>
      </c>
      <c r="X218" s="218"/>
      <c r="Y218" s="218">
        <v>0.126770246</v>
      </c>
      <c r="Z218" s="218"/>
      <c r="AA218" s="218">
        <v>1.1257968549829327</v>
      </c>
      <c r="AB218" s="218"/>
      <c r="AC218" s="218">
        <v>0.6485532815808045</v>
      </c>
      <c r="AD218" s="218"/>
      <c r="AE218" s="218">
        <v>0.40327237700000002</v>
      </c>
      <c r="AF218" s="218"/>
      <c r="AG218" s="218">
        <v>2.0807479811236083</v>
      </c>
      <c r="AH218" s="218"/>
      <c r="AI218" s="218">
        <v>2.0825688073394497</v>
      </c>
      <c r="AJ218" s="218"/>
      <c r="AK218" s="218">
        <v>1.515605665</v>
      </c>
      <c r="AL218" s="218"/>
      <c r="AM218" s="218">
        <v>4.6816829575281194</v>
      </c>
      <c r="AN218" s="218"/>
      <c r="AO218" s="218">
        <v>4.857445306986591</v>
      </c>
      <c r="AP218" s="218"/>
      <c r="AQ218" s="218">
        <v>4.3246253269999997</v>
      </c>
      <c r="AR218" s="218"/>
      <c r="AS218" s="218">
        <v>8.0883977893677521</v>
      </c>
      <c r="AT218" s="218"/>
      <c r="AU218" s="218">
        <v>6.9181369089625973</v>
      </c>
      <c r="AV218" s="218"/>
      <c r="AW218" s="218">
        <v>7.0868967410000003</v>
      </c>
      <c r="AX218" s="218"/>
    </row>
    <row r="219" spans="1:50">
      <c r="A219" s="4" t="s">
        <v>1725</v>
      </c>
      <c r="B219" s="258">
        <v>0</v>
      </c>
      <c r="C219" s="258"/>
      <c r="D219" s="258"/>
      <c r="E219" s="258"/>
      <c r="F219" s="258"/>
      <c r="G219" s="258"/>
      <c r="H219" s="260">
        <v>1000</v>
      </c>
      <c r="I219" s="260"/>
      <c r="J219" s="260"/>
      <c r="K219" s="260"/>
      <c r="L219" s="260"/>
      <c r="M219" s="260"/>
      <c r="N219" s="7">
        <v>0</v>
      </c>
      <c r="O219" s="7">
        <v>5.0638000000000002E-2</v>
      </c>
      <c r="P219" s="7">
        <v>5.4584000000000001E-2</v>
      </c>
      <c r="Q219" s="7">
        <v>5.0105999999999998E-2</v>
      </c>
      <c r="R219" s="7">
        <v>4.7848000000000002E-2</v>
      </c>
      <c r="S219" s="7">
        <v>2.5987E-2</v>
      </c>
      <c r="T219" s="7">
        <v>3.2861000000000001E-2</v>
      </c>
      <c r="U219" s="7">
        <v>0.305537</v>
      </c>
      <c r="V219" s="7">
        <v>0.31079800000000002</v>
      </c>
      <c r="W219" s="7">
        <v>0.83909699999999998</v>
      </c>
      <c r="X219" s="7">
        <v>0.74311899999999997</v>
      </c>
      <c r="Y219" s="7">
        <v>0.36339900000000003</v>
      </c>
      <c r="Z219" s="7">
        <v>0.35789900000000002</v>
      </c>
      <c r="AA219" s="7">
        <v>2.7756150000000002</v>
      </c>
      <c r="AB219" s="7">
        <v>2.9544920000000001</v>
      </c>
      <c r="AC219" s="7">
        <v>5.9795340000000001</v>
      </c>
      <c r="AD219" s="7">
        <v>6.1291460000000004</v>
      </c>
      <c r="AE219" s="7">
        <v>2.9428019999999999</v>
      </c>
      <c r="AF219" s="7">
        <v>3.2645400000000002</v>
      </c>
      <c r="AG219" s="7">
        <v>13.016310000000001</v>
      </c>
      <c r="AH219" s="7">
        <v>14.4026</v>
      </c>
      <c r="AI219" s="7">
        <v>17.553280000000001</v>
      </c>
      <c r="AJ219" s="7">
        <v>18.7163</v>
      </c>
      <c r="AK219" s="7">
        <v>13.89564</v>
      </c>
      <c r="AL219" s="7">
        <v>13.474909999999999</v>
      </c>
      <c r="AM219" s="7">
        <v>25.06155</v>
      </c>
      <c r="AN219" s="7">
        <v>25.761279999999999</v>
      </c>
      <c r="AO219" s="7">
        <v>26.597740000000002</v>
      </c>
      <c r="AP219" s="7">
        <v>27.42202</v>
      </c>
      <c r="AQ219" s="7">
        <v>22.478069999999999</v>
      </c>
      <c r="AR219" s="7">
        <v>23.971260000000001</v>
      </c>
      <c r="AS219" s="7">
        <v>30.106929999999998</v>
      </c>
      <c r="AT219" s="7">
        <v>29.64922</v>
      </c>
      <c r="AU219" s="7">
        <v>29.327449999999999</v>
      </c>
      <c r="AV219" s="7">
        <v>27.337330000000001</v>
      </c>
      <c r="AW219" s="7">
        <v>27.007149999999999</v>
      </c>
      <c r="AX219" s="7">
        <v>28.973330000000001</v>
      </c>
    </row>
    <row r="220" spans="1:50">
      <c r="A220" s="4">
        <v>0.01</v>
      </c>
      <c r="B220" s="7">
        <v>5.0638000000000002E-2</v>
      </c>
      <c r="C220" s="7">
        <v>5.4584000000000001E-2</v>
      </c>
      <c r="D220" s="7">
        <v>5.0105999999999998E-2</v>
      </c>
      <c r="E220" s="7">
        <v>4.7848000000000002E-2</v>
      </c>
      <c r="F220" s="7">
        <v>2.5987E-2</v>
      </c>
      <c r="G220" s="7">
        <v>3.2861000000000001E-2</v>
      </c>
      <c r="H220" s="7">
        <v>4.9585999999999998E-2</v>
      </c>
      <c r="I220" s="7">
        <v>4.5902999999999999E-2</v>
      </c>
      <c r="J220" s="7">
        <v>7.1559999999999999E-2</v>
      </c>
      <c r="K220" s="7">
        <v>8.0875000000000002E-2</v>
      </c>
      <c r="L220" s="7">
        <v>3.0661000000000001E-2</v>
      </c>
      <c r="M220" s="7">
        <v>3.3135999999999999E-2</v>
      </c>
      <c r="N220" s="7">
        <v>0.1</v>
      </c>
      <c r="O220" s="7">
        <v>3.9853E-2</v>
      </c>
      <c r="P220" s="7">
        <v>4.8533E-2</v>
      </c>
      <c r="Q220" s="7">
        <v>8.1722000000000003E-2</v>
      </c>
      <c r="R220" s="7">
        <v>6.6477999999999995E-2</v>
      </c>
      <c r="S220" s="7">
        <v>2.9010999999999999E-2</v>
      </c>
      <c r="T220" s="7">
        <v>2.9010999999999999E-2</v>
      </c>
      <c r="U220" s="7">
        <v>0.22662099999999999</v>
      </c>
      <c r="V220" s="7">
        <v>0.23714299999999999</v>
      </c>
      <c r="W220" s="7">
        <v>0.36203200000000002</v>
      </c>
      <c r="X220" s="7">
        <v>0.34509499999999999</v>
      </c>
      <c r="Y220" s="7">
        <v>0.399148</v>
      </c>
      <c r="Z220" s="7">
        <v>0.41014699999999998</v>
      </c>
      <c r="AA220" s="7">
        <v>2.3862950000000001</v>
      </c>
      <c r="AB220" s="7">
        <v>2.5099300000000002</v>
      </c>
      <c r="AC220" s="7">
        <v>3.0155259999999999</v>
      </c>
      <c r="AD220" s="7">
        <v>3.5123500000000001</v>
      </c>
      <c r="AE220" s="7">
        <v>3.1930429999999999</v>
      </c>
      <c r="AF220" s="7">
        <v>3.1710440000000002</v>
      </c>
      <c r="AG220" s="7">
        <v>12.7401</v>
      </c>
      <c r="AH220" s="7">
        <v>14.18164</v>
      </c>
      <c r="AI220" s="7">
        <v>14.69936</v>
      </c>
      <c r="AJ220" s="7">
        <v>14.518700000000001</v>
      </c>
      <c r="AK220" s="7">
        <v>13.474909999999999</v>
      </c>
      <c r="AL220" s="7">
        <v>14.506119999999999</v>
      </c>
      <c r="AM220" s="7">
        <v>23.938310000000001</v>
      </c>
      <c r="AN220" s="7">
        <v>24.085619999999999</v>
      </c>
      <c r="AO220" s="7">
        <v>25.637969999999999</v>
      </c>
      <c r="AP220" s="7">
        <v>24.491879999999998</v>
      </c>
      <c r="AQ220" s="7">
        <v>23.971260000000001</v>
      </c>
      <c r="AR220" s="7">
        <v>23.825520000000001</v>
      </c>
      <c r="AS220" s="7">
        <v>26.887149999999998</v>
      </c>
      <c r="AT220" s="7">
        <v>28.757459999999998</v>
      </c>
      <c r="AU220" s="7">
        <v>28.61891</v>
      </c>
      <c r="AV220" s="7">
        <v>28.271699999999999</v>
      </c>
      <c r="AW220" s="7">
        <v>27.760619999999999</v>
      </c>
      <c r="AX220" s="7">
        <v>28.360099999999999</v>
      </c>
    </row>
    <row r="221" spans="1:50">
      <c r="A221" s="4">
        <v>0.16</v>
      </c>
      <c r="B221" s="7">
        <v>0.305537</v>
      </c>
      <c r="C221" s="7">
        <v>0.31079800000000002</v>
      </c>
      <c r="D221" s="7">
        <v>0.83909699999999998</v>
      </c>
      <c r="E221" s="7">
        <v>0.74311899999999997</v>
      </c>
      <c r="F221" s="7">
        <v>0.36339900000000003</v>
      </c>
      <c r="G221" s="7">
        <v>0.35789900000000002</v>
      </c>
      <c r="H221" s="7">
        <v>9.5729319999999998</v>
      </c>
      <c r="I221" s="7">
        <v>9.3703800000000008</v>
      </c>
      <c r="J221" s="7">
        <v>12.268879999999999</v>
      </c>
      <c r="K221" s="7">
        <v>11.15667</v>
      </c>
      <c r="L221" s="7">
        <v>11.52248</v>
      </c>
      <c r="M221" s="7">
        <v>11.55823</v>
      </c>
      <c r="N221" s="7">
        <v>1</v>
      </c>
      <c r="O221" s="7">
        <v>5.1427E-2</v>
      </c>
      <c r="P221" s="7">
        <v>5.9582000000000003E-2</v>
      </c>
      <c r="Q221" s="7">
        <v>7.7204999999999996E-2</v>
      </c>
      <c r="R221" s="7">
        <v>7.2405999999999998E-2</v>
      </c>
      <c r="S221" s="7">
        <v>2.7636000000000001E-2</v>
      </c>
      <c r="T221" s="7">
        <v>2.3237000000000001E-2</v>
      </c>
      <c r="U221" s="7">
        <v>0.479153</v>
      </c>
      <c r="V221" s="7">
        <v>0.45547799999999999</v>
      </c>
      <c r="W221" s="7">
        <v>0.59633000000000003</v>
      </c>
      <c r="X221" s="7">
        <v>0.49470700000000001</v>
      </c>
      <c r="Y221" s="7">
        <v>0.462395</v>
      </c>
      <c r="Z221" s="7">
        <v>0.462395</v>
      </c>
      <c r="AA221" s="7">
        <v>2.399448</v>
      </c>
      <c r="AB221" s="7">
        <v>2.1758519999999999</v>
      </c>
      <c r="AC221" s="7">
        <v>3.8793229999999999</v>
      </c>
      <c r="AD221" s="7">
        <v>3.6788989999999999</v>
      </c>
      <c r="AE221" s="7">
        <v>2.6843119999999998</v>
      </c>
      <c r="AF221" s="7">
        <v>3.7100230000000001</v>
      </c>
      <c r="AG221" s="7">
        <v>13.54505</v>
      </c>
      <c r="AH221" s="7">
        <v>14.01065</v>
      </c>
      <c r="AI221" s="7">
        <v>15.38814</v>
      </c>
      <c r="AJ221" s="7">
        <v>16.816510000000001</v>
      </c>
      <c r="AK221" s="7">
        <v>14.68486</v>
      </c>
      <c r="AL221" s="7">
        <v>14.957100000000001</v>
      </c>
      <c r="AM221" s="7">
        <v>26.07957</v>
      </c>
      <c r="AN221" s="7">
        <v>26.724060000000001</v>
      </c>
      <c r="AO221" s="7">
        <v>28.359210000000001</v>
      </c>
      <c r="AP221" s="7">
        <v>27.84263</v>
      </c>
      <c r="AQ221" s="7">
        <v>24.71649</v>
      </c>
      <c r="AR221" s="7">
        <v>25.7972</v>
      </c>
      <c r="AS221" s="7">
        <v>28.933710000000001</v>
      </c>
      <c r="AT221" s="7">
        <v>29.47034</v>
      </c>
      <c r="AU221" s="7">
        <v>28.184190000000001</v>
      </c>
      <c r="AV221" s="7">
        <v>28.359210000000001</v>
      </c>
      <c r="AW221" s="7">
        <v>27.845870000000001</v>
      </c>
      <c r="AX221" s="7">
        <v>27.760619999999999</v>
      </c>
    </row>
    <row r="222" spans="1:50">
      <c r="A222" s="4">
        <v>0.72</v>
      </c>
      <c r="B222" s="7">
        <v>2.7756150000000002</v>
      </c>
      <c r="C222" s="7">
        <v>2.9544920000000001</v>
      </c>
      <c r="D222" s="7">
        <v>5.9795340000000001</v>
      </c>
      <c r="E222" s="7">
        <v>6.1291460000000004</v>
      </c>
      <c r="F222" s="7">
        <v>2.9428019999999999</v>
      </c>
      <c r="G222" s="7">
        <v>3.2645400000000002</v>
      </c>
      <c r="H222" s="7">
        <v>19.442720000000001</v>
      </c>
      <c r="I222" s="7">
        <v>20.481780000000001</v>
      </c>
      <c r="J222" s="7">
        <v>22.007760000000001</v>
      </c>
      <c r="K222" s="7">
        <v>23.252649999999999</v>
      </c>
      <c r="L222" s="7">
        <v>20.69614</v>
      </c>
      <c r="M222" s="7">
        <v>20.63289</v>
      </c>
      <c r="N222" s="7">
        <v>5</v>
      </c>
      <c r="O222" s="7">
        <v>6.1422999999999998E-2</v>
      </c>
      <c r="P222" s="7">
        <v>6.4054E-2</v>
      </c>
      <c r="Q222" s="7">
        <v>5.8009999999999999E-2</v>
      </c>
      <c r="R222" s="7">
        <v>8.2850999999999994E-2</v>
      </c>
      <c r="S222" s="7">
        <v>3.3135999999999999E-2</v>
      </c>
      <c r="T222" s="7">
        <v>3.0386E-2</v>
      </c>
      <c r="U222" s="7">
        <v>2.5730629999999999</v>
      </c>
      <c r="V222" s="7">
        <v>2.6046299999999998</v>
      </c>
      <c r="W222" s="7">
        <v>2.8433310000000001</v>
      </c>
      <c r="X222" s="7">
        <v>2.7050109999999998</v>
      </c>
      <c r="Y222" s="7">
        <v>0.74013499999999999</v>
      </c>
      <c r="Z222" s="7">
        <v>1.0013749999999999</v>
      </c>
      <c r="AA222" s="7">
        <v>6.5951599999999999</v>
      </c>
      <c r="AB222" s="7">
        <v>6.1795340000000003</v>
      </c>
      <c r="AC222" s="7">
        <v>11.935779999999999</v>
      </c>
      <c r="AD222" s="7">
        <v>11.61115</v>
      </c>
      <c r="AE222" s="7">
        <v>5.6679500000000003</v>
      </c>
      <c r="AF222" s="7">
        <v>6.2206789999999996</v>
      </c>
      <c r="AG222" s="7">
        <v>19.56372</v>
      </c>
      <c r="AH222" s="7">
        <v>19.266470000000002</v>
      </c>
      <c r="AI222" s="7">
        <v>24.71771</v>
      </c>
      <c r="AJ222" s="7">
        <v>26.19407</v>
      </c>
      <c r="AK222" s="7">
        <v>18.765709999999999</v>
      </c>
      <c r="AL222" s="7">
        <v>18.421970000000002</v>
      </c>
      <c r="AM222" s="7">
        <v>29.378270000000001</v>
      </c>
      <c r="AN222" s="7">
        <v>29.199390000000001</v>
      </c>
      <c r="AO222" s="7">
        <v>30.143260000000001</v>
      </c>
      <c r="AP222" s="7">
        <v>30.888500000000001</v>
      </c>
      <c r="AQ222" s="7">
        <v>25.249970000000001</v>
      </c>
      <c r="AR222" s="7">
        <v>26.92465</v>
      </c>
      <c r="AS222" s="7">
        <v>31.230170000000001</v>
      </c>
      <c r="AT222" s="7">
        <v>29.47034</v>
      </c>
      <c r="AU222" s="7">
        <v>33.440370000000001</v>
      </c>
      <c r="AV222" s="7">
        <v>33.03387</v>
      </c>
      <c r="AW222" s="7">
        <v>27.592880000000001</v>
      </c>
      <c r="AX222" s="7">
        <v>27.845870000000001</v>
      </c>
    </row>
    <row r="223" spans="1:50">
      <c r="A223" s="4">
        <v>1.89</v>
      </c>
      <c r="B223" s="7">
        <v>13.016310000000001</v>
      </c>
      <c r="C223" s="7">
        <v>14.4026</v>
      </c>
      <c r="D223" s="7">
        <v>17.553280000000001</v>
      </c>
      <c r="E223" s="7">
        <v>18.7163</v>
      </c>
      <c r="F223" s="7">
        <v>13.89564</v>
      </c>
      <c r="G223" s="7">
        <v>13.474909999999999</v>
      </c>
      <c r="H223" s="7">
        <v>26.887149999999998</v>
      </c>
      <c r="I223" s="7">
        <v>27.218599999999999</v>
      </c>
      <c r="J223" s="7">
        <v>28.971769999999999</v>
      </c>
      <c r="K223" s="7">
        <v>30.05293</v>
      </c>
      <c r="L223" s="7">
        <v>26.355419999999999</v>
      </c>
      <c r="M223" s="7">
        <v>26.435169999999999</v>
      </c>
      <c r="N223" s="7">
        <v>10</v>
      </c>
      <c r="O223" s="7">
        <v>6.0371000000000001E-2</v>
      </c>
      <c r="P223" s="7">
        <v>6.4579999999999999E-2</v>
      </c>
      <c r="Q223" s="7">
        <v>6.8171999999999996E-2</v>
      </c>
      <c r="R223" s="7">
        <v>7.6076000000000005E-2</v>
      </c>
      <c r="S223" s="7">
        <v>2.7636000000000001E-2</v>
      </c>
      <c r="T223" s="7">
        <v>2.8736000000000001E-2</v>
      </c>
      <c r="U223" s="120" t="s">
        <v>1808</v>
      </c>
      <c r="V223" s="120" t="s">
        <v>1809</v>
      </c>
      <c r="W223" s="7">
        <v>5.6040929999999998</v>
      </c>
      <c r="X223" s="7">
        <v>4.460833</v>
      </c>
      <c r="Y223" s="7">
        <v>1.7685960000000001</v>
      </c>
      <c r="Z223" s="7">
        <v>1.6943490000000001</v>
      </c>
      <c r="AA223" s="7">
        <v>9.7228729999999999</v>
      </c>
      <c r="AB223" s="7">
        <v>9.6623699999999992</v>
      </c>
      <c r="AC223" s="7">
        <v>16.51164</v>
      </c>
      <c r="AD223" s="7">
        <v>15.673249999999999</v>
      </c>
      <c r="AE223" s="7">
        <v>10.31528</v>
      </c>
      <c r="AF223" s="7">
        <v>9.4628080000000008</v>
      </c>
      <c r="AG223" s="7">
        <v>22.588850000000001</v>
      </c>
      <c r="AH223" s="7">
        <v>22.44943</v>
      </c>
      <c r="AI223" s="7">
        <v>26.515879999999999</v>
      </c>
      <c r="AJ223" s="7">
        <v>27.00423</v>
      </c>
      <c r="AK223" s="7">
        <v>20.50639</v>
      </c>
      <c r="AL223" s="7">
        <v>21.86759</v>
      </c>
      <c r="AM223" s="7">
        <v>30.291070000000001</v>
      </c>
      <c r="AN223" s="7">
        <v>30.946069999999999</v>
      </c>
      <c r="AO223" s="7">
        <v>31.653490000000001</v>
      </c>
      <c r="AP223" s="7">
        <v>32.435429999999997</v>
      </c>
      <c r="AQ223" s="7">
        <v>27.760619999999999</v>
      </c>
      <c r="AR223" s="7">
        <v>25.7972</v>
      </c>
      <c r="AS223" s="7">
        <v>31.040769999999998</v>
      </c>
      <c r="AT223" s="7">
        <v>30.66461</v>
      </c>
      <c r="AU223" s="7">
        <v>36.201129999999999</v>
      </c>
      <c r="AV223" s="7">
        <v>33.237119999999997</v>
      </c>
      <c r="AW223" s="7">
        <v>29.242819999999998</v>
      </c>
      <c r="AX223" s="7">
        <v>29.152069999999998</v>
      </c>
    </row>
    <row r="224" spans="1:50">
      <c r="A224" s="4">
        <v>4.62</v>
      </c>
      <c r="B224" s="7">
        <v>25.06155</v>
      </c>
      <c r="C224" s="7">
        <v>25.761279999999999</v>
      </c>
      <c r="D224" s="7">
        <v>26.597740000000002</v>
      </c>
      <c r="E224" s="7">
        <v>27.42202</v>
      </c>
      <c r="F224" s="7">
        <v>22.478069999999999</v>
      </c>
      <c r="G224" s="7">
        <v>23.971260000000001</v>
      </c>
      <c r="H224" s="120" t="s">
        <v>1810</v>
      </c>
      <c r="I224" s="120" t="s">
        <v>1811</v>
      </c>
      <c r="J224" s="120" t="s">
        <v>1812</v>
      </c>
      <c r="K224" s="120" t="s">
        <v>1813</v>
      </c>
      <c r="L224" s="120" t="s">
        <v>1814</v>
      </c>
      <c r="M224" s="120" t="s">
        <v>1815</v>
      </c>
      <c r="N224" s="7">
        <v>50</v>
      </c>
      <c r="O224" s="7">
        <v>5.774E-2</v>
      </c>
      <c r="P224" s="7">
        <v>5.8002999999999999E-2</v>
      </c>
      <c r="Q224" s="7">
        <v>7.3817999999999995E-2</v>
      </c>
      <c r="R224" s="7">
        <v>8.0875000000000002E-2</v>
      </c>
      <c r="S224" s="7">
        <v>3.5335999999999999E-2</v>
      </c>
      <c r="T224" s="7">
        <v>3.4511E-2</v>
      </c>
      <c r="U224" s="7">
        <v>5.5639880000000002</v>
      </c>
      <c r="V224" s="7">
        <v>6.1795340000000003</v>
      </c>
      <c r="W224" s="7">
        <v>11.15667</v>
      </c>
      <c r="X224" s="7">
        <v>10.55822</v>
      </c>
      <c r="Y224" s="7">
        <v>7.5791279999999999</v>
      </c>
      <c r="Z224" s="7">
        <v>7.103396</v>
      </c>
      <c r="AA224" s="7">
        <v>17.845980000000001</v>
      </c>
      <c r="AB224" s="7">
        <v>18.066949999999999</v>
      </c>
      <c r="AC224" s="7">
        <v>21.940010000000001</v>
      </c>
      <c r="AD224" s="7">
        <v>21.27946</v>
      </c>
      <c r="AE224" s="7">
        <v>17.704249999999998</v>
      </c>
      <c r="AF224" s="7">
        <v>18.650210000000001</v>
      </c>
      <c r="AG224" s="7">
        <v>25.99803</v>
      </c>
      <c r="AH224" s="7">
        <v>27.052869999999999</v>
      </c>
      <c r="AI224" s="7">
        <v>27.927309999999999</v>
      </c>
      <c r="AJ224" s="7">
        <v>28.443899999999999</v>
      </c>
      <c r="AK224" s="7">
        <v>25.640450000000001</v>
      </c>
      <c r="AL224" s="7">
        <v>26.67991</v>
      </c>
      <c r="AM224" s="7">
        <v>30.75667</v>
      </c>
      <c r="AN224" s="7">
        <v>31.230170000000001</v>
      </c>
      <c r="AO224" s="7">
        <v>34.795340000000003</v>
      </c>
      <c r="AP224" s="7">
        <v>34.795340000000003</v>
      </c>
      <c r="AQ224" s="7">
        <v>31.274989999999999</v>
      </c>
      <c r="AR224" s="7">
        <v>30.056789999999999</v>
      </c>
      <c r="AS224" s="120" t="s">
        <v>1816</v>
      </c>
      <c r="AT224" s="120" t="s">
        <v>1817</v>
      </c>
      <c r="AU224" s="120" t="s">
        <v>1818</v>
      </c>
      <c r="AV224" s="120" t="s">
        <v>1819</v>
      </c>
      <c r="AW224" s="120" t="s">
        <v>1820</v>
      </c>
      <c r="AX224" s="120" t="s">
        <v>1821</v>
      </c>
    </row>
    <row r="225" spans="1:50">
      <c r="A225" s="4">
        <v>7.36</v>
      </c>
      <c r="B225" s="7">
        <v>30.106929999999998</v>
      </c>
      <c r="C225" s="7">
        <v>29.64922</v>
      </c>
      <c r="D225" s="7">
        <v>29.327449999999999</v>
      </c>
      <c r="E225" s="7">
        <v>27.337330000000001</v>
      </c>
      <c r="F225" s="7">
        <v>27.007149999999999</v>
      </c>
      <c r="G225" s="7">
        <v>28.973330000000001</v>
      </c>
      <c r="H225" s="120" t="s">
        <v>1822</v>
      </c>
      <c r="I225" s="120" t="s">
        <v>1817</v>
      </c>
      <c r="J225" s="120" t="s">
        <v>1823</v>
      </c>
      <c r="K225" s="120" t="s">
        <v>1824</v>
      </c>
      <c r="L225" s="120" t="s">
        <v>1825</v>
      </c>
      <c r="M225" s="120" t="s">
        <v>1826</v>
      </c>
      <c r="N225" s="7">
        <v>100</v>
      </c>
      <c r="O225" s="7">
        <v>4.4325000000000003E-2</v>
      </c>
      <c r="P225" s="7">
        <v>4.4588000000000003E-2</v>
      </c>
      <c r="Q225" s="7">
        <v>7.2970999999999994E-2</v>
      </c>
      <c r="R225" s="7">
        <v>8.0592999999999998E-2</v>
      </c>
      <c r="S225" s="7">
        <v>3.8086000000000002E-2</v>
      </c>
      <c r="T225" s="7">
        <v>3.2310999999999999E-2</v>
      </c>
      <c r="U225" s="7">
        <v>7.4606079999999997</v>
      </c>
      <c r="V225" s="7">
        <v>7.4369329999999998</v>
      </c>
      <c r="W225" s="7">
        <v>9.9908260000000002</v>
      </c>
      <c r="X225" s="7">
        <v>9.7480589999999996</v>
      </c>
      <c r="Y225" s="7">
        <v>10.125529999999999</v>
      </c>
      <c r="Z225" s="7">
        <v>10.158530000000001</v>
      </c>
      <c r="AA225" s="7">
        <v>17.95646</v>
      </c>
      <c r="AB225" s="7">
        <v>17.738130000000002</v>
      </c>
      <c r="AC225" s="7">
        <v>20.765699999999999</v>
      </c>
      <c r="AD225" s="7">
        <v>20.703600000000002</v>
      </c>
      <c r="AE225" s="7">
        <v>20.382650000000002</v>
      </c>
      <c r="AF225" s="7">
        <v>20.135159999999999</v>
      </c>
      <c r="AG225" s="7">
        <v>26.318950000000001</v>
      </c>
      <c r="AH225" s="7">
        <v>27.052869999999999</v>
      </c>
      <c r="AI225" s="7">
        <v>27.503879999999999</v>
      </c>
      <c r="AJ225" s="7">
        <v>28.099509999999999</v>
      </c>
      <c r="AK225" s="7">
        <v>27.592880000000001</v>
      </c>
      <c r="AL225" s="7">
        <v>25.953939999999999</v>
      </c>
      <c r="AM225" s="120" t="s">
        <v>1827</v>
      </c>
      <c r="AN225" s="120" t="s">
        <v>1828</v>
      </c>
      <c r="AO225" s="120" t="s">
        <v>1829</v>
      </c>
      <c r="AP225" s="120" t="s">
        <v>1830</v>
      </c>
      <c r="AQ225" s="120" t="s">
        <v>1831</v>
      </c>
      <c r="AR225" s="120" t="s">
        <v>1832</v>
      </c>
      <c r="AS225" s="120" t="s">
        <v>1833</v>
      </c>
      <c r="AT225" s="120" t="s">
        <v>1834</v>
      </c>
      <c r="AU225" s="120" t="s">
        <v>1835</v>
      </c>
      <c r="AV225" s="120" t="s">
        <v>1836</v>
      </c>
      <c r="AW225" s="120" t="s">
        <v>1837</v>
      </c>
      <c r="AX225" s="120" t="s">
        <v>1838</v>
      </c>
    </row>
    <row r="226" spans="1:50">
      <c r="N226" s="7">
        <v>1000</v>
      </c>
      <c r="O226" s="7">
        <v>4.9585999999999998E-2</v>
      </c>
      <c r="P226" s="7">
        <v>4.5902999999999999E-2</v>
      </c>
      <c r="Q226" s="7">
        <v>7.1559999999999999E-2</v>
      </c>
      <c r="R226" s="7">
        <v>8.0875000000000002E-2</v>
      </c>
      <c r="S226" s="7">
        <v>3.0661000000000001E-2</v>
      </c>
      <c r="T226" s="7">
        <v>3.3135999999999999E-2</v>
      </c>
      <c r="U226" s="7">
        <v>9.5729319999999998</v>
      </c>
      <c r="V226" s="7">
        <v>9.3703800000000008</v>
      </c>
      <c r="W226" s="7">
        <v>12.268879999999999</v>
      </c>
      <c r="X226" s="7">
        <v>11.15667</v>
      </c>
      <c r="Y226" s="7">
        <v>11.52248</v>
      </c>
      <c r="Z226" s="7">
        <v>11.55823</v>
      </c>
      <c r="AA226" s="7">
        <v>19.442720000000001</v>
      </c>
      <c r="AB226" s="7">
        <v>20.481780000000001</v>
      </c>
      <c r="AC226" s="7">
        <v>22.007760000000001</v>
      </c>
      <c r="AD226" s="7">
        <v>23.252649999999999</v>
      </c>
      <c r="AE226" s="7">
        <v>20.69614</v>
      </c>
      <c r="AF226" s="7">
        <v>20.63289</v>
      </c>
      <c r="AG226" s="7">
        <v>26.887149999999998</v>
      </c>
      <c r="AH226" s="7">
        <v>27.218599999999999</v>
      </c>
      <c r="AI226" s="7">
        <v>28.971769999999999</v>
      </c>
      <c r="AJ226" s="7">
        <v>30.05293</v>
      </c>
      <c r="AK226" s="7">
        <v>26.355419999999999</v>
      </c>
      <c r="AL226" s="7">
        <v>26.435169999999999</v>
      </c>
      <c r="AM226" s="120" t="s">
        <v>1810</v>
      </c>
      <c r="AN226" s="120" t="s">
        <v>1811</v>
      </c>
      <c r="AO226" s="120" t="s">
        <v>1812</v>
      </c>
      <c r="AP226" s="120" t="s">
        <v>1813</v>
      </c>
      <c r="AQ226" s="120" t="s">
        <v>1814</v>
      </c>
      <c r="AR226" s="120" t="s">
        <v>1815</v>
      </c>
      <c r="AS226" s="120" t="s">
        <v>1822</v>
      </c>
      <c r="AT226" s="120" t="s">
        <v>1817</v>
      </c>
      <c r="AU226" s="120" t="s">
        <v>1823</v>
      </c>
      <c r="AV226" s="120" t="s">
        <v>1824</v>
      </c>
      <c r="AW226" s="120" t="s">
        <v>1825</v>
      </c>
      <c r="AX226" s="120" t="s">
        <v>1826</v>
      </c>
    </row>
    <row r="227" spans="1:50">
      <c r="O227" s="230" t="s">
        <v>783</v>
      </c>
      <c r="P227" s="230"/>
      <c r="Q227" s="230"/>
      <c r="R227" s="230"/>
      <c r="S227" s="230"/>
      <c r="T227" s="230"/>
      <c r="U227" s="230" t="s">
        <v>2118</v>
      </c>
      <c r="V227" s="230"/>
      <c r="W227" s="230"/>
      <c r="X227" s="230"/>
      <c r="Y227" s="230"/>
      <c r="Z227" s="230"/>
      <c r="AA227" s="230" t="s">
        <v>2119</v>
      </c>
      <c r="AB227" s="230"/>
      <c r="AC227" s="230"/>
      <c r="AD227" s="230"/>
      <c r="AE227" s="230"/>
      <c r="AF227" s="230"/>
      <c r="AG227" s="230" t="s">
        <v>2120</v>
      </c>
      <c r="AH227" s="230"/>
      <c r="AI227" s="230"/>
      <c r="AJ227" s="230"/>
      <c r="AK227" s="230"/>
      <c r="AL227" s="230"/>
      <c r="AM227" s="230" t="s">
        <v>2121</v>
      </c>
      <c r="AN227" s="230"/>
      <c r="AO227" s="230"/>
      <c r="AP227" s="230"/>
      <c r="AQ227" s="230"/>
      <c r="AR227" s="230"/>
      <c r="AS227" s="230" t="s">
        <v>2122</v>
      </c>
      <c r="AT227" s="230"/>
      <c r="AU227" s="230"/>
      <c r="AV227" s="230"/>
      <c r="AW227" s="230"/>
      <c r="AX227" s="230"/>
    </row>
    <row r="228" spans="1:50" ht="16.5">
      <c r="A228" s="68" t="s">
        <v>2222</v>
      </c>
      <c r="B228" s="244" t="s">
        <v>2086</v>
      </c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5" t="s">
        <v>2097</v>
      </c>
      <c r="O228" s="218">
        <v>2.2949426262392738E-2</v>
      </c>
      <c r="P228" s="218"/>
      <c r="Q228" s="218">
        <v>4.3754410726887811E-3</v>
      </c>
      <c r="R228" s="218"/>
      <c r="S228" s="218">
        <v>4.0000000000000001E-3</v>
      </c>
      <c r="T228" s="218"/>
      <c r="U228" s="218">
        <v>0.1806629834100584</v>
      </c>
      <c r="V228" s="218"/>
      <c r="W228" s="218">
        <v>0.18955539872971067</v>
      </c>
      <c r="X228" s="218"/>
      <c r="Y228" s="218">
        <v>0.126770246</v>
      </c>
      <c r="Z228" s="218"/>
      <c r="AA228" s="218">
        <v>1.1257968549829327</v>
      </c>
      <c r="AB228" s="218"/>
      <c r="AC228" s="218">
        <v>0.6485532815808045</v>
      </c>
      <c r="AD228" s="218"/>
      <c r="AE228" s="218">
        <v>0.40327237700000002</v>
      </c>
      <c r="AF228" s="218"/>
      <c r="AG228" s="218">
        <v>2.0807479811236083</v>
      </c>
      <c r="AH228" s="218"/>
      <c r="AI228" s="218">
        <v>2.0825688073394497</v>
      </c>
      <c r="AJ228" s="218"/>
      <c r="AK228" s="218">
        <v>1.515605665</v>
      </c>
      <c r="AL228" s="218"/>
      <c r="AM228" s="218">
        <v>4.6816829575281194</v>
      </c>
      <c r="AN228" s="218"/>
      <c r="AO228" s="218">
        <v>4.857445306986591</v>
      </c>
      <c r="AP228" s="218"/>
      <c r="AQ228" s="218">
        <v>4.3246253269999997</v>
      </c>
      <c r="AR228" s="218"/>
      <c r="AS228" s="218">
        <v>8.0883977893677521</v>
      </c>
      <c r="AT228" s="218"/>
      <c r="AU228" s="218">
        <v>6.9181369089625973</v>
      </c>
      <c r="AV228" s="218"/>
      <c r="AW228" s="218">
        <v>7.0868967410000003</v>
      </c>
      <c r="AX228" s="218"/>
    </row>
    <row r="229" spans="1:50">
      <c r="A229" s="4" t="s">
        <v>1725</v>
      </c>
      <c r="B229" s="258">
        <v>0</v>
      </c>
      <c r="C229" s="258"/>
      <c r="D229" s="258"/>
      <c r="E229" s="258"/>
      <c r="F229" s="258"/>
      <c r="G229" s="258"/>
      <c r="H229" s="260">
        <v>1000</v>
      </c>
      <c r="I229" s="260"/>
      <c r="J229" s="260"/>
      <c r="K229" s="260"/>
      <c r="L229" s="260"/>
      <c r="M229" s="260"/>
      <c r="N229" s="7">
        <v>0</v>
      </c>
      <c r="O229" s="7">
        <v>2.7085999999999999E-2</v>
      </c>
      <c r="P229" s="7">
        <v>2.2137E-2</v>
      </c>
      <c r="Q229" s="7">
        <v>4.3612999999999999E-2</v>
      </c>
      <c r="R229" s="7">
        <v>3.7402999999999999E-2</v>
      </c>
      <c r="S229" s="7">
        <v>3.9853E-2</v>
      </c>
      <c r="T229" s="7">
        <v>3.0383E-2</v>
      </c>
      <c r="U229" s="7">
        <v>4.3860999999999997E-2</v>
      </c>
      <c r="V229" s="7">
        <v>3.6985999999999998E-2</v>
      </c>
      <c r="W229" s="7">
        <v>7.6923000000000005E-2</v>
      </c>
      <c r="X229" s="7">
        <v>6.2525999999999998E-2</v>
      </c>
      <c r="Y229" s="7">
        <v>4.4588000000000003E-2</v>
      </c>
      <c r="Z229" s="7">
        <v>4.5902999999999999E-2</v>
      </c>
      <c r="AA229" s="7">
        <v>7.3010000000000005E-2</v>
      </c>
      <c r="AB229" s="7">
        <v>7.9335000000000003E-2</v>
      </c>
      <c r="AC229" s="7">
        <v>0.143543</v>
      </c>
      <c r="AD229" s="7">
        <v>0.13959099999999999</v>
      </c>
      <c r="AE229" s="7">
        <v>8.3256999999999998E-2</v>
      </c>
      <c r="AF229" s="7">
        <v>7.7995999999999996E-2</v>
      </c>
      <c r="AG229" s="7">
        <v>0.39639799999999997</v>
      </c>
      <c r="AH229" s="7">
        <v>0.38814799999999999</v>
      </c>
      <c r="AI229" s="7">
        <v>0.76852500000000001</v>
      </c>
      <c r="AJ229" s="7">
        <v>0.73182800000000003</v>
      </c>
      <c r="AK229" s="7">
        <v>0.29238500000000001</v>
      </c>
      <c r="AL229" s="7">
        <v>0.36603999999999998</v>
      </c>
      <c r="AM229" s="7">
        <v>2.6678120000000001</v>
      </c>
      <c r="AN229" s="7">
        <v>2.8850539999999998</v>
      </c>
      <c r="AO229" s="7">
        <v>3.5575160000000001</v>
      </c>
      <c r="AP229" s="7">
        <v>3.6337329999999999</v>
      </c>
      <c r="AQ229" s="7">
        <v>2.5730629999999999</v>
      </c>
      <c r="AR229" s="7">
        <v>2.3468369999999998</v>
      </c>
      <c r="AS229" s="7">
        <v>7.5103809999999998</v>
      </c>
      <c r="AT229" s="7">
        <v>7.3948850000000004</v>
      </c>
      <c r="AU229" s="7">
        <v>8.5172899999999991</v>
      </c>
      <c r="AV229" s="7">
        <v>8.1841919999999995</v>
      </c>
      <c r="AW229" s="7">
        <v>7.2554249999999998</v>
      </c>
      <c r="AX229" s="7">
        <v>7.2107060000000001</v>
      </c>
    </row>
    <row r="230" spans="1:50">
      <c r="A230" s="4">
        <v>0.01</v>
      </c>
      <c r="B230" s="7">
        <v>2.7085999999999999E-2</v>
      </c>
      <c r="C230" s="7">
        <v>2.2137E-2</v>
      </c>
      <c r="D230" s="7">
        <v>4.3612999999999999E-2</v>
      </c>
      <c r="E230" s="7">
        <v>3.7402999999999999E-2</v>
      </c>
      <c r="F230" s="7">
        <v>3.9853E-2</v>
      </c>
      <c r="G230" s="7">
        <v>3.0383E-2</v>
      </c>
      <c r="H230" s="7">
        <v>3.712E-3</v>
      </c>
      <c r="I230" s="7">
        <v>2.8869999999999998E-3</v>
      </c>
      <c r="J230" s="7">
        <v>4.6435999999999998E-2</v>
      </c>
      <c r="K230" s="7">
        <v>4.1637E-2</v>
      </c>
      <c r="L230" s="7">
        <v>1.4073E-2</v>
      </c>
      <c r="M230" s="7">
        <v>1.1443E-2</v>
      </c>
      <c r="N230" s="7">
        <v>1</v>
      </c>
      <c r="O230" s="7">
        <v>2.7085999999999999E-2</v>
      </c>
      <c r="P230" s="7">
        <v>2.6262000000000001E-2</v>
      </c>
      <c r="Q230" s="7">
        <v>4.0225999999999998E-2</v>
      </c>
      <c r="R230" s="7">
        <v>3.6555999999999998E-2</v>
      </c>
      <c r="S230" s="7">
        <v>4.3008999999999999E-2</v>
      </c>
      <c r="T230" s="7">
        <v>4.4588000000000003E-2</v>
      </c>
      <c r="U230" s="7">
        <v>3.2861000000000001E-2</v>
      </c>
      <c r="V230" s="7">
        <v>3.8911000000000001E-2</v>
      </c>
      <c r="W230" s="7">
        <v>9.3859999999999999E-2</v>
      </c>
      <c r="X230" s="7">
        <v>8.1439999999999999E-2</v>
      </c>
      <c r="Y230" s="7">
        <v>4.8533E-2</v>
      </c>
      <c r="Z230" s="7">
        <v>5.4058000000000002E-2</v>
      </c>
      <c r="AA230" s="7">
        <v>7.7685000000000004E-2</v>
      </c>
      <c r="AB230" s="7">
        <v>7.4935000000000002E-2</v>
      </c>
      <c r="AC230" s="7">
        <v>0.14551900000000001</v>
      </c>
      <c r="AD230" s="7">
        <v>0.14890600000000001</v>
      </c>
      <c r="AE230" s="7">
        <v>8.2203999999999999E-2</v>
      </c>
      <c r="AF230" s="7">
        <v>8.3782999999999996E-2</v>
      </c>
      <c r="AG230" s="7">
        <v>0.41014699999999998</v>
      </c>
      <c r="AH230" s="7">
        <v>0.41839700000000002</v>
      </c>
      <c r="AI230" s="7">
        <v>0.74594199999999999</v>
      </c>
      <c r="AJ230" s="7">
        <v>0.81086800000000003</v>
      </c>
      <c r="AK230" s="7">
        <v>0.37130099999999999</v>
      </c>
      <c r="AL230" s="7">
        <v>0.42917300000000003</v>
      </c>
      <c r="AM230" s="7">
        <v>2.6843119999999998</v>
      </c>
      <c r="AN230" s="7">
        <v>2.824557</v>
      </c>
      <c r="AO230" s="7">
        <v>3.5123500000000001</v>
      </c>
      <c r="AP230" s="7">
        <v>3.5349330000000001</v>
      </c>
      <c r="AQ230" s="7">
        <v>2.7493089999999998</v>
      </c>
      <c r="AR230" s="7">
        <v>2.4941469999999999</v>
      </c>
      <c r="AS230" s="7">
        <v>7.6973739999999999</v>
      </c>
      <c r="AT230" s="7">
        <v>7.6973739999999999</v>
      </c>
      <c r="AU230" s="7">
        <v>8.2095979999999997</v>
      </c>
      <c r="AV230" s="7">
        <v>8.2095979999999997</v>
      </c>
      <c r="AW230" s="7">
        <v>6.9713269999999996</v>
      </c>
      <c r="AX230" s="7">
        <v>7.8367750000000003</v>
      </c>
    </row>
    <row r="231" spans="1:50">
      <c r="A231" s="4">
        <v>0.16</v>
      </c>
      <c r="B231" s="7">
        <v>4.3860999999999997E-2</v>
      </c>
      <c r="C231" s="7">
        <v>3.6985999999999998E-2</v>
      </c>
      <c r="D231" s="7">
        <v>7.6923000000000005E-2</v>
      </c>
      <c r="E231" s="7">
        <v>6.2525999999999998E-2</v>
      </c>
      <c r="F231" s="7">
        <v>4.4588000000000003E-2</v>
      </c>
      <c r="G231" s="7">
        <v>4.5902999999999999E-2</v>
      </c>
      <c r="H231" s="7">
        <v>3.421284</v>
      </c>
      <c r="I231" s="7">
        <v>3.3992849999999999</v>
      </c>
      <c r="J231" s="7">
        <v>5.5532820000000003</v>
      </c>
      <c r="K231" s="7">
        <v>5.7791110000000003</v>
      </c>
      <c r="L231" s="7">
        <v>2.304748</v>
      </c>
      <c r="M231" s="7">
        <v>2.4546890000000001</v>
      </c>
      <c r="N231" s="7">
        <v>5</v>
      </c>
      <c r="O231" s="7">
        <v>1.8561999999999999E-2</v>
      </c>
      <c r="P231" s="7">
        <v>2.1861999999999999E-2</v>
      </c>
      <c r="Q231" s="7">
        <v>5.1235000000000003E-2</v>
      </c>
      <c r="R231" s="7">
        <v>3.9944E-2</v>
      </c>
      <c r="S231" s="7">
        <v>4.8797E-2</v>
      </c>
      <c r="T231" s="7">
        <v>4.9322999999999999E-2</v>
      </c>
      <c r="U231" s="7">
        <v>3.6436000000000003E-2</v>
      </c>
      <c r="V231" s="7">
        <v>3.5610999999999997E-2</v>
      </c>
      <c r="W231" s="7">
        <v>9.8377000000000006E-2</v>
      </c>
      <c r="X231" s="7">
        <v>0.10091700000000001</v>
      </c>
      <c r="Y231" s="7">
        <v>6.2212000000000003E-2</v>
      </c>
      <c r="Z231" s="7">
        <v>6.0897E-2</v>
      </c>
      <c r="AA231" s="7">
        <v>6.4210000000000003E-2</v>
      </c>
      <c r="AB231" s="7">
        <v>8.0984E-2</v>
      </c>
      <c r="AC231" s="7">
        <v>0.15285799999999999</v>
      </c>
      <c r="AD231" s="7">
        <v>0.154834</v>
      </c>
      <c r="AE231" s="7">
        <v>8.3256999999999998E-2</v>
      </c>
      <c r="AF231" s="7">
        <v>8.2203999999999999E-2</v>
      </c>
      <c r="AG231" s="7">
        <v>0.44314599999999998</v>
      </c>
      <c r="AH231" s="7">
        <v>0.456895</v>
      </c>
      <c r="AI231" s="7">
        <v>1.0112909999999999</v>
      </c>
      <c r="AJ231" s="7">
        <v>1.005646</v>
      </c>
      <c r="AK231" s="7">
        <v>0.40549800000000003</v>
      </c>
      <c r="AL231" s="7">
        <v>0.38445400000000002</v>
      </c>
      <c r="AM231" s="7">
        <v>3.9740129999999998</v>
      </c>
      <c r="AN231" s="7">
        <v>3.770521</v>
      </c>
      <c r="AO231" s="7">
        <v>4.7882850000000001</v>
      </c>
      <c r="AP231" s="7">
        <v>4.7148909999999997</v>
      </c>
      <c r="AQ231" s="7">
        <v>3.28857</v>
      </c>
      <c r="AR231" s="7">
        <v>3.4464030000000001</v>
      </c>
      <c r="AS231" s="7">
        <v>10.034789999999999</v>
      </c>
      <c r="AT231" s="7">
        <v>9.850543</v>
      </c>
      <c r="AU231" s="7">
        <v>10.753</v>
      </c>
      <c r="AV231" s="7">
        <v>10.08398</v>
      </c>
      <c r="AW231" s="7">
        <v>9.6913060000000009</v>
      </c>
      <c r="AX231" s="7">
        <v>9.5439959999999999</v>
      </c>
    </row>
    <row r="232" spans="1:50">
      <c r="A232" s="4">
        <v>0.72</v>
      </c>
      <c r="B232" s="7">
        <v>7.3010000000000005E-2</v>
      </c>
      <c r="C232" s="7">
        <v>7.9335000000000003E-2</v>
      </c>
      <c r="D232" s="7">
        <v>0.143543</v>
      </c>
      <c r="E232" s="7">
        <v>0.13959099999999999</v>
      </c>
      <c r="F232" s="7">
        <v>8.3256999999999998E-2</v>
      </c>
      <c r="G232" s="7">
        <v>7.7995999999999996E-2</v>
      </c>
      <c r="H232" s="7">
        <v>10.901</v>
      </c>
      <c r="I232" s="7">
        <v>12.176959999999999</v>
      </c>
      <c r="J232" s="7">
        <v>15.29499</v>
      </c>
      <c r="K232" s="7">
        <v>15.484120000000001</v>
      </c>
      <c r="L232" s="7">
        <v>9.2546359999999996</v>
      </c>
      <c r="M232" s="7">
        <v>10.306850000000001</v>
      </c>
      <c r="N232" s="7">
        <v>10</v>
      </c>
      <c r="O232" s="7">
        <v>2.5711999999999999E-2</v>
      </c>
      <c r="P232" s="7">
        <v>2.3237000000000001E-2</v>
      </c>
      <c r="Q232" s="7">
        <v>3.9097E-2</v>
      </c>
      <c r="R232" s="7">
        <v>3.6555999999999998E-2</v>
      </c>
      <c r="S232" s="7">
        <v>5.4058000000000002E-2</v>
      </c>
      <c r="T232" s="7">
        <v>5.2741999999999997E-2</v>
      </c>
      <c r="U232" s="7">
        <v>4.5511000000000003E-2</v>
      </c>
      <c r="V232" s="7">
        <v>4.3860999999999997E-2</v>
      </c>
      <c r="W232" s="7">
        <v>0.115596</v>
      </c>
      <c r="X232" s="7">
        <v>0.113903</v>
      </c>
      <c r="Y232" s="7">
        <v>7.5102000000000002E-2</v>
      </c>
      <c r="Z232" s="7">
        <v>7.6942999999999998E-2</v>
      </c>
      <c r="AA232" s="7">
        <v>0.106559</v>
      </c>
      <c r="AB232" s="7">
        <v>0.109033</v>
      </c>
      <c r="AC232" s="7">
        <v>0.24629499999999999</v>
      </c>
      <c r="AD232" s="7">
        <v>0.212421</v>
      </c>
      <c r="AE232" s="7">
        <v>0.12218900000000001</v>
      </c>
      <c r="AF232" s="7">
        <v>0.120347</v>
      </c>
      <c r="AG232" s="7">
        <v>0.96012600000000003</v>
      </c>
      <c r="AH232" s="7">
        <v>1.0316240000000001</v>
      </c>
      <c r="AI232" s="7">
        <v>1.7367680000000001</v>
      </c>
      <c r="AJ232" s="7">
        <v>1.685956</v>
      </c>
      <c r="AK232" s="7">
        <v>0.77377399999999996</v>
      </c>
      <c r="AL232" s="7">
        <v>0.85268999999999995</v>
      </c>
      <c r="AM232" s="7">
        <v>5.4947059999999999</v>
      </c>
      <c r="AN232" s="7">
        <v>5.2939639999999999</v>
      </c>
      <c r="AO232" s="7">
        <v>7.2159490000000002</v>
      </c>
      <c r="AP232" s="7">
        <v>7.1933660000000001</v>
      </c>
      <c r="AQ232" s="7">
        <v>5.4955939999999996</v>
      </c>
      <c r="AR232" s="7">
        <v>5.6665789999999996</v>
      </c>
      <c r="AS232" s="7">
        <v>11.84422</v>
      </c>
      <c r="AT232" s="7">
        <v>11.77272</v>
      </c>
      <c r="AU232" s="7">
        <v>13.28511</v>
      </c>
      <c r="AV232" s="7">
        <v>13.28511</v>
      </c>
      <c r="AW232" s="7">
        <v>13.095230000000001</v>
      </c>
      <c r="AX232" s="7">
        <v>13.297779999999999</v>
      </c>
    </row>
    <row r="233" spans="1:50">
      <c r="A233" s="4">
        <v>1.89</v>
      </c>
      <c r="B233" s="7">
        <v>0.39639799999999997</v>
      </c>
      <c r="C233" s="7">
        <v>0.38814799999999999</v>
      </c>
      <c r="D233" s="7">
        <v>0.76852500000000001</v>
      </c>
      <c r="E233" s="7">
        <v>0.73182800000000003</v>
      </c>
      <c r="F233" s="7">
        <v>0.29238500000000001</v>
      </c>
      <c r="G233" s="7">
        <v>0.36603999999999998</v>
      </c>
      <c r="H233" s="7">
        <v>22.071079999999998</v>
      </c>
      <c r="I233" s="7">
        <v>21.936340000000001</v>
      </c>
      <c r="J233" s="7">
        <v>23.464359999999999</v>
      </c>
      <c r="K233" s="7">
        <v>25.095980000000001</v>
      </c>
      <c r="L233" s="7">
        <v>20.481780000000001</v>
      </c>
      <c r="M233" s="7">
        <v>21.441929999999999</v>
      </c>
      <c r="N233" s="7">
        <v>20</v>
      </c>
      <c r="O233" s="7">
        <v>2.3237000000000001E-2</v>
      </c>
      <c r="P233" s="7">
        <v>2.2137E-2</v>
      </c>
      <c r="Q233" s="7">
        <v>4.3612999999999999E-2</v>
      </c>
      <c r="R233" s="7">
        <v>3.8249999999999999E-2</v>
      </c>
      <c r="S233" s="7">
        <v>5.1952999999999999E-2</v>
      </c>
      <c r="T233" s="7">
        <v>5.1952999999999999E-2</v>
      </c>
      <c r="U233" s="7">
        <v>4.4685999999999997E-2</v>
      </c>
      <c r="V233" s="7">
        <v>4.8260999999999998E-2</v>
      </c>
      <c r="W233" s="7">
        <v>0.120113</v>
      </c>
      <c r="X233" s="7">
        <v>0.117855</v>
      </c>
      <c r="Y233" s="7">
        <v>7.6942999999999998E-2</v>
      </c>
      <c r="Z233" s="7">
        <v>8.2730999999999999E-2</v>
      </c>
      <c r="AA233" s="7">
        <v>0.19015499999999999</v>
      </c>
      <c r="AB233" s="7">
        <v>0.201155</v>
      </c>
      <c r="AC233" s="7">
        <v>0.39308399999999999</v>
      </c>
      <c r="AD233" s="7">
        <v>0.35356399999999999</v>
      </c>
      <c r="AE233" s="7">
        <v>0.14849399999999999</v>
      </c>
      <c r="AF233" s="7">
        <v>0.15296599999999999</v>
      </c>
      <c r="AG233" s="7">
        <v>2.3433250000000001</v>
      </c>
      <c r="AH233" s="7">
        <v>1.8675919999999999</v>
      </c>
      <c r="AI233" s="7">
        <v>2.8687369999999999</v>
      </c>
      <c r="AJ233" s="7">
        <v>2.9957660000000002</v>
      </c>
      <c r="AK233" s="7">
        <v>1.33934</v>
      </c>
      <c r="AL233" s="7">
        <v>1.4156249999999999</v>
      </c>
      <c r="AM233" s="7">
        <v>8.5498419999999999</v>
      </c>
      <c r="AN233" s="7">
        <v>8.6020900000000005</v>
      </c>
      <c r="AO233" s="7">
        <v>11.02117</v>
      </c>
      <c r="AP233" s="7">
        <v>10.589270000000001</v>
      </c>
      <c r="AQ233" s="7">
        <v>7.9840850000000003</v>
      </c>
      <c r="AR233" s="7">
        <v>8.2076809999999991</v>
      </c>
      <c r="AS233" s="7">
        <v>15.80682</v>
      </c>
      <c r="AT233" s="7">
        <v>15.75732</v>
      </c>
      <c r="AU233" s="7"/>
      <c r="AV233" s="7"/>
      <c r="AW233" s="7">
        <v>16.030909999999999</v>
      </c>
      <c r="AX233" s="7">
        <v>14.94187</v>
      </c>
    </row>
    <row r="234" spans="1:50">
      <c r="A234" s="4">
        <v>4.62</v>
      </c>
      <c r="B234" s="7">
        <v>2.6678120000000001</v>
      </c>
      <c r="C234" s="7">
        <v>2.8850539999999998</v>
      </c>
      <c r="D234" s="7">
        <v>3.5575160000000001</v>
      </c>
      <c r="E234" s="7">
        <v>3.6337329999999999</v>
      </c>
      <c r="F234" s="7">
        <v>2.5730629999999999</v>
      </c>
      <c r="G234" s="7">
        <v>2.3468369999999998</v>
      </c>
      <c r="H234" s="7">
        <v>28.709340000000001</v>
      </c>
      <c r="I234" s="7">
        <v>28.797329999999999</v>
      </c>
      <c r="J234" s="7">
        <v>35.007060000000003</v>
      </c>
      <c r="K234" s="7">
        <v>34.47636</v>
      </c>
      <c r="L234" s="7">
        <v>27.384319999999999</v>
      </c>
      <c r="M234" s="7">
        <v>27.468499999999999</v>
      </c>
      <c r="N234" s="7">
        <v>50</v>
      </c>
      <c r="O234" s="7">
        <v>2.7636000000000001E-2</v>
      </c>
      <c r="P234" s="7">
        <v>2.5711999999999999E-2</v>
      </c>
      <c r="Q234" s="7">
        <v>5.4905000000000002E-2</v>
      </c>
      <c r="R234" s="7">
        <v>3.9944E-2</v>
      </c>
      <c r="S234" s="7">
        <v>5.0901000000000002E-2</v>
      </c>
      <c r="T234" s="7">
        <v>4.5377000000000001E-2</v>
      </c>
      <c r="U234" s="7">
        <v>8.7308999999999998E-2</v>
      </c>
      <c r="V234" s="7">
        <v>9.1983999999999996E-2</v>
      </c>
      <c r="W234" s="7">
        <v>0.19012000000000001</v>
      </c>
      <c r="X234" s="7">
        <v>0.21524299999999999</v>
      </c>
      <c r="Y234" s="7">
        <v>9.1411000000000006E-2</v>
      </c>
      <c r="Z234" s="7">
        <v>9.4830999999999999E-2</v>
      </c>
      <c r="AA234" s="7">
        <v>0.86938000000000004</v>
      </c>
      <c r="AB234" s="7">
        <v>0.76763400000000004</v>
      </c>
      <c r="AC234" s="7">
        <v>1.406493</v>
      </c>
      <c r="AD234" s="7">
        <v>1.9992939999999999</v>
      </c>
      <c r="AE234" s="7">
        <v>0.44232500000000002</v>
      </c>
      <c r="AF234" s="7">
        <v>0.45284799999999997</v>
      </c>
      <c r="AG234" s="7">
        <v>6.2014300000000002</v>
      </c>
      <c r="AH234" s="7">
        <v>6.7624089999999999</v>
      </c>
      <c r="AI234" s="7">
        <v>8.2095979999999997</v>
      </c>
      <c r="AJ234" s="7">
        <v>8.8645019999999999</v>
      </c>
      <c r="AK234" s="7">
        <v>5.4613969999999998</v>
      </c>
      <c r="AL234" s="7">
        <v>4.9905299999999997</v>
      </c>
      <c r="AM234" s="7">
        <v>14.728859999999999</v>
      </c>
      <c r="AN234" s="7">
        <v>14.68486</v>
      </c>
      <c r="AO234" s="7">
        <v>18.041640000000001</v>
      </c>
      <c r="AP234" s="7">
        <v>18.151730000000001</v>
      </c>
      <c r="AQ234" s="7">
        <v>14.09483</v>
      </c>
      <c r="AR234" s="7">
        <v>14.4026</v>
      </c>
      <c r="AS234" s="7">
        <v>20.56964</v>
      </c>
      <c r="AT234" s="7">
        <v>21.669599999999999</v>
      </c>
      <c r="AU234" s="7">
        <v>20.89273</v>
      </c>
      <c r="AV234" s="7">
        <v>20.957660000000001</v>
      </c>
      <c r="AW234" s="7">
        <v>20.355519999999999</v>
      </c>
      <c r="AX234" s="7">
        <v>20.73432</v>
      </c>
    </row>
    <row r="235" spans="1:50">
      <c r="A235" s="4">
        <v>7.36</v>
      </c>
      <c r="B235" s="7">
        <v>7.5103809999999998</v>
      </c>
      <c r="C235" s="7">
        <v>7.3948850000000004</v>
      </c>
      <c r="D235" s="7">
        <v>8.5172899999999991</v>
      </c>
      <c r="E235" s="7">
        <v>8.1841919999999995</v>
      </c>
      <c r="F235" s="7">
        <v>7.2554249999999998</v>
      </c>
      <c r="G235" s="7">
        <v>7.2107060000000001</v>
      </c>
      <c r="H235" s="120" t="s">
        <v>1839</v>
      </c>
      <c r="I235" s="120" t="s">
        <v>1840</v>
      </c>
      <c r="J235" s="120" t="s">
        <v>1841</v>
      </c>
      <c r="K235" s="120" t="s">
        <v>1783</v>
      </c>
      <c r="L235" s="120" t="s">
        <v>1842</v>
      </c>
      <c r="M235" s="120" t="s">
        <v>1842</v>
      </c>
      <c r="N235" s="7">
        <v>100</v>
      </c>
      <c r="O235" s="7">
        <v>1.9937E-2</v>
      </c>
      <c r="P235" s="7">
        <v>1.9937E-2</v>
      </c>
      <c r="Q235" s="7">
        <v>4.4741999999999997E-2</v>
      </c>
      <c r="R235" s="7">
        <v>4.2484000000000001E-2</v>
      </c>
      <c r="S235" s="7">
        <v>3.9064000000000002E-2</v>
      </c>
      <c r="T235" s="7">
        <v>4.5114000000000001E-2</v>
      </c>
      <c r="U235" s="7">
        <v>0.27265200000000001</v>
      </c>
      <c r="V235" s="7">
        <v>0.294651</v>
      </c>
      <c r="W235" s="7">
        <v>0.63020500000000002</v>
      </c>
      <c r="X235" s="7">
        <v>0.70077599999999995</v>
      </c>
      <c r="Y235" s="7">
        <v>0.169012</v>
      </c>
      <c r="Z235" s="7">
        <v>0.14849399999999999</v>
      </c>
      <c r="AA235" s="7">
        <v>2.9785509999999999</v>
      </c>
      <c r="AB235" s="7">
        <v>2.9703010000000001</v>
      </c>
      <c r="AC235" s="7">
        <v>4.4862390000000003</v>
      </c>
      <c r="AD235" s="7">
        <v>4.6132669999999996</v>
      </c>
      <c r="AE235" s="7">
        <v>2.0101279999999999</v>
      </c>
      <c r="AF235" s="7">
        <v>2.2968570000000001</v>
      </c>
      <c r="AG235" s="7">
        <v>11.1045</v>
      </c>
      <c r="AH235" s="7">
        <v>12.06696</v>
      </c>
      <c r="AI235" s="7">
        <v>14.431190000000001</v>
      </c>
      <c r="AJ235" s="7">
        <v>15.063510000000001</v>
      </c>
      <c r="AK235" s="7">
        <v>10.18059</v>
      </c>
      <c r="AL235" s="7">
        <v>10.14902</v>
      </c>
      <c r="AM235" s="7">
        <v>21.6036</v>
      </c>
      <c r="AN235" s="7">
        <v>19.88767</v>
      </c>
      <c r="AO235" s="7">
        <v>23.755120000000002</v>
      </c>
      <c r="AP235" s="7">
        <v>23.681719999999999</v>
      </c>
      <c r="AQ235" s="7">
        <v>19.148099999999999</v>
      </c>
      <c r="AR235" s="7">
        <v>19.38485</v>
      </c>
      <c r="AS235" s="7">
        <v>26.113430000000001</v>
      </c>
      <c r="AT235" s="7">
        <v>25.403960000000001</v>
      </c>
      <c r="AU235" s="7">
        <v>27.337330000000001</v>
      </c>
      <c r="AV235" s="7">
        <v>28.271699999999999</v>
      </c>
      <c r="AW235" s="7">
        <v>24.30659</v>
      </c>
      <c r="AX235" s="7">
        <v>24.011970000000002</v>
      </c>
    </row>
    <row r="236" spans="1:50">
      <c r="N236" s="7">
        <v>1000</v>
      </c>
      <c r="O236" s="7">
        <v>3.712E-3</v>
      </c>
      <c r="P236" s="7">
        <v>2.8869999999999998E-3</v>
      </c>
      <c r="Q236" s="7">
        <v>4.6435999999999998E-2</v>
      </c>
      <c r="R236" s="7">
        <v>4.1637E-2</v>
      </c>
      <c r="S236" s="7">
        <v>1.4073E-2</v>
      </c>
      <c r="T236" s="7">
        <v>1.1443E-2</v>
      </c>
      <c r="U236" s="7">
        <v>3.421284</v>
      </c>
      <c r="V236" s="7">
        <v>3.3992849999999999</v>
      </c>
      <c r="W236" s="7">
        <v>5.5532820000000003</v>
      </c>
      <c r="X236" s="7">
        <v>5.7791110000000003</v>
      </c>
      <c r="Y236" s="7">
        <v>2.304748</v>
      </c>
      <c r="Z236" s="7">
        <v>2.4546890000000001</v>
      </c>
      <c r="AA236" s="7">
        <v>10.901</v>
      </c>
      <c r="AB236" s="7">
        <v>12.176959999999999</v>
      </c>
      <c r="AC236" s="7">
        <v>15.29499</v>
      </c>
      <c r="AD236" s="7">
        <v>15.484120000000001</v>
      </c>
      <c r="AE236" s="7">
        <v>9.2546359999999996</v>
      </c>
      <c r="AF236" s="7">
        <v>10.306850000000001</v>
      </c>
      <c r="AG236" s="7">
        <v>22.071079999999998</v>
      </c>
      <c r="AH236" s="7">
        <v>21.936340000000001</v>
      </c>
      <c r="AI236" s="7">
        <v>23.464359999999999</v>
      </c>
      <c r="AJ236" s="7">
        <v>25.095980000000001</v>
      </c>
      <c r="AK236" s="7">
        <v>20.481780000000001</v>
      </c>
      <c r="AL236" s="7">
        <v>21.441929999999999</v>
      </c>
      <c r="AM236" s="7">
        <v>28.709340000000001</v>
      </c>
      <c r="AN236" s="7">
        <v>28.797329999999999</v>
      </c>
      <c r="AO236" s="7">
        <v>35.007060000000003</v>
      </c>
      <c r="AP236" s="7">
        <v>34.47636</v>
      </c>
      <c r="AQ236" s="7">
        <v>27.384319999999999</v>
      </c>
      <c r="AR236" s="7">
        <v>27.468499999999999</v>
      </c>
      <c r="AS236" s="120" t="s">
        <v>1839</v>
      </c>
      <c r="AT236" s="120" t="s">
        <v>1840</v>
      </c>
      <c r="AU236" s="120" t="s">
        <v>1841</v>
      </c>
      <c r="AV236" s="120" t="s">
        <v>1783</v>
      </c>
      <c r="AW236" s="120" t="s">
        <v>1842</v>
      </c>
      <c r="AX236" s="120" t="s">
        <v>1842</v>
      </c>
    </row>
    <row r="237" spans="1:50">
      <c r="O237" s="230" t="s">
        <v>758</v>
      </c>
      <c r="P237" s="230"/>
      <c r="Q237" s="230"/>
      <c r="R237" s="230"/>
      <c r="S237" s="230"/>
      <c r="T237" s="230"/>
      <c r="U237" s="230" t="s">
        <v>792</v>
      </c>
      <c r="V237" s="230"/>
      <c r="W237" s="230"/>
      <c r="X237" s="230"/>
      <c r="Y237" s="230"/>
      <c r="Z237" s="230"/>
      <c r="AA237" s="230" t="s">
        <v>1030</v>
      </c>
      <c r="AB237" s="230"/>
      <c r="AC237" s="230"/>
      <c r="AD237" s="230"/>
      <c r="AE237" s="230"/>
      <c r="AF237" s="230"/>
      <c r="AG237" s="230" t="s">
        <v>1031</v>
      </c>
      <c r="AH237" s="230"/>
      <c r="AI237" s="230"/>
      <c r="AJ237" s="230"/>
      <c r="AK237" s="230"/>
      <c r="AL237" s="230"/>
      <c r="AM237" s="230" t="s">
        <v>1032</v>
      </c>
      <c r="AN237" s="230"/>
      <c r="AO237" s="230"/>
      <c r="AP237" s="230"/>
      <c r="AQ237" s="230"/>
      <c r="AR237" s="230"/>
      <c r="AS237" s="230" t="s">
        <v>1033</v>
      </c>
      <c r="AT237" s="230"/>
      <c r="AU237" s="230"/>
      <c r="AV237" s="230"/>
      <c r="AW237" s="230"/>
      <c r="AX237" s="230"/>
    </row>
    <row r="238" spans="1:50" ht="16.5">
      <c r="A238" s="68" t="s">
        <v>2157</v>
      </c>
      <c r="B238" s="244" t="s">
        <v>2087</v>
      </c>
      <c r="C238" s="244"/>
      <c r="D238" s="244"/>
      <c r="E238" s="244"/>
      <c r="F238" s="244"/>
      <c r="G238" s="244"/>
      <c r="H238" s="244"/>
      <c r="I238" s="244"/>
      <c r="J238" s="244"/>
      <c r="K238" s="244"/>
      <c r="L238" s="244"/>
      <c r="M238" s="244"/>
      <c r="N238" s="5" t="s">
        <v>2098</v>
      </c>
      <c r="O238" s="218">
        <v>0</v>
      </c>
      <c r="P238" s="218"/>
      <c r="Q238" s="218">
        <v>0</v>
      </c>
      <c r="R238" s="218"/>
      <c r="S238" s="218">
        <v>6.0000000000000001E-3</v>
      </c>
      <c r="T238" s="218"/>
      <c r="U238" s="218">
        <v>0.111</v>
      </c>
      <c r="V238" s="218"/>
      <c r="W238" s="218">
        <v>0.186</v>
      </c>
      <c r="X238" s="218"/>
      <c r="Y238" s="218">
        <v>0.156</v>
      </c>
      <c r="Z238" s="218"/>
      <c r="AA238" s="218">
        <v>0.45900000000000002</v>
      </c>
      <c r="AB238" s="218"/>
      <c r="AC238" s="218">
        <v>0.67900000000000005</v>
      </c>
      <c r="AD238" s="218"/>
      <c r="AE238" s="218">
        <v>0.48799999999999999</v>
      </c>
      <c r="AF238" s="218"/>
      <c r="AG238" s="218">
        <v>2.2629999999999999</v>
      </c>
      <c r="AH238" s="218"/>
      <c r="AI238" s="218">
        <v>1.802</v>
      </c>
      <c r="AJ238" s="218"/>
      <c r="AK238" s="218">
        <v>1.431</v>
      </c>
      <c r="AL238" s="218"/>
      <c r="AM238" s="218">
        <v>4.8499999999999996</v>
      </c>
      <c r="AN238" s="218"/>
      <c r="AO238" s="218">
        <v>4.2969999999999997</v>
      </c>
      <c r="AP238" s="218"/>
      <c r="AQ238" s="218">
        <v>3.9430000000000001</v>
      </c>
      <c r="AR238" s="218"/>
      <c r="AS238" s="218">
        <v>8.9649999999999999</v>
      </c>
      <c r="AT238" s="218"/>
      <c r="AU238" s="218">
        <v>7.5049999999999999</v>
      </c>
      <c r="AV238" s="218"/>
      <c r="AW238" s="218">
        <v>6.7560000000000002</v>
      </c>
      <c r="AX238" s="218"/>
    </row>
    <row r="239" spans="1:50">
      <c r="A239" s="4" t="s">
        <v>1725</v>
      </c>
      <c r="B239" s="258">
        <v>0</v>
      </c>
      <c r="C239" s="258"/>
      <c r="D239" s="258"/>
      <c r="E239" s="258"/>
      <c r="F239" s="258"/>
      <c r="G239" s="258"/>
      <c r="H239" s="260">
        <v>100</v>
      </c>
      <c r="I239" s="260"/>
      <c r="J239" s="260"/>
      <c r="K239" s="260"/>
      <c r="L239" s="260"/>
      <c r="M239" s="260"/>
      <c r="N239" s="7">
        <v>0</v>
      </c>
      <c r="O239" s="120" t="s">
        <v>1034</v>
      </c>
      <c r="P239" s="7">
        <v>2.856E-3</v>
      </c>
      <c r="Q239" s="7">
        <v>0.12940499999999999</v>
      </c>
      <c r="R239" s="7">
        <v>5.1593E-2</v>
      </c>
      <c r="S239" s="7">
        <v>5.9631999999999998E-2</v>
      </c>
      <c r="T239" s="7">
        <v>9.8160000000000001E-3</v>
      </c>
      <c r="U239" s="7">
        <v>7.1399999999999996E-3</v>
      </c>
      <c r="V239" s="7">
        <v>1.2853E-2</v>
      </c>
      <c r="W239" s="7">
        <v>0.12715000000000001</v>
      </c>
      <c r="X239" s="7">
        <v>6.0897E-2</v>
      </c>
      <c r="Y239" s="7">
        <v>5.8650000000000001E-2</v>
      </c>
      <c r="Z239" s="7">
        <v>2.1350000000000001E-2</v>
      </c>
      <c r="AA239" s="7">
        <v>4.07E-2</v>
      </c>
      <c r="AB239" s="7">
        <v>4.5340999999999999E-2</v>
      </c>
      <c r="AC239" s="7">
        <v>0.146039</v>
      </c>
      <c r="AD239" s="7">
        <v>9.2473E-2</v>
      </c>
      <c r="AE239" s="7">
        <v>8.3681000000000005E-2</v>
      </c>
      <c r="AF239" s="7">
        <v>6.1594999999999997E-2</v>
      </c>
      <c r="AG239" s="7">
        <v>0.34487699999999999</v>
      </c>
      <c r="AH239" s="7">
        <v>0.35201700000000002</v>
      </c>
      <c r="AI239" s="7">
        <v>0.34874500000000003</v>
      </c>
      <c r="AJ239" s="7">
        <v>0.23879300000000001</v>
      </c>
      <c r="AK239" s="7">
        <v>2.2110430000000001</v>
      </c>
      <c r="AL239" s="7">
        <v>1.1779139999999999</v>
      </c>
      <c r="AM239" s="7">
        <v>2.0514100000000002</v>
      </c>
      <c r="AN239" s="7">
        <v>2.158515</v>
      </c>
      <c r="AO239" s="7">
        <v>2.4716659999999999</v>
      </c>
      <c r="AP239" s="7">
        <v>1.191711</v>
      </c>
      <c r="AQ239" s="7">
        <v>2.5644170000000002</v>
      </c>
      <c r="AR239" s="7">
        <v>2.2380369999999998</v>
      </c>
      <c r="AS239" s="7">
        <v>6.5890750000000002</v>
      </c>
      <c r="AT239" s="7">
        <v>6.671189</v>
      </c>
      <c r="AU239" s="7">
        <v>6.1254580000000001</v>
      </c>
      <c r="AV239" s="7">
        <v>4.1914290000000003</v>
      </c>
      <c r="AW239" s="7">
        <v>3.8601230000000002</v>
      </c>
      <c r="AX239" s="7">
        <v>3.7766869999999999</v>
      </c>
    </row>
    <row r="240" spans="1:50">
      <c r="A240" s="4">
        <v>0.01</v>
      </c>
      <c r="B240" s="120" t="s">
        <v>1034</v>
      </c>
      <c r="C240" s="7">
        <v>2.856E-3</v>
      </c>
      <c r="D240" s="7">
        <v>0.12940499999999999</v>
      </c>
      <c r="E240" s="7">
        <v>5.1593E-2</v>
      </c>
      <c r="F240" s="7">
        <v>5.9631999999999998E-2</v>
      </c>
      <c r="G240" s="7">
        <v>9.8160000000000001E-3</v>
      </c>
      <c r="H240" s="7">
        <v>1.2139E-2</v>
      </c>
      <c r="I240" s="7">
        <v>2.0707E-2</v>
      </c>
      <c r="J240" s="7">
        <v>0.13786300000000001</v>
      </c>
      <c r="K240" s="7">
        <v>5.7794999999999999E-2</v>
      </c>
      <c r="L240" s="7">
        <v>8.0736000000000002E-2</v>
      </c>
      <c r="M240" s="7">
        <v>1.4723999999999999E-2</v>
      </c>
      <c r="N240" s="7">
        <v>0.1</v>
      </c>
      <c r="O240" s="120" t="s">
        <v>1035</v>
      </c>
      <c r="P240" s="120" t="s">
        <v>1036</v>
      </c>
      <c r="Q240" s="7">
        <v>0.12771399999999999</v>
      </c>
      <c r="R240" s="7">
        <v>5.2720999999999997E-2</v>
      </c>
      <c r="S240" s="7">
        <v>7.3129E-2</v>
      </c>
      <c r="T240" s="7">
        <v>9.0799999999999995E-3</v>
      </c>
      <c r="U240" s="7">
        <v>7.4970000000000002E-3</v>
      </c>
      <c r="V240" s="7">
        <v>1.321E-2</v>
      </c>
      <c r="W240" s="7">
        <v>0.126586</v>
      </c>
      <c r="X240" s="7">
        <v>5.6385999999999999E-2</v>
      </c>
      <c r="Y240" s="7">
        <v>7.4109999999999995E-2</v>
      </c>
      <c r="Z240" s="7">
        <v>1.9387000000000001E-2</v>
      </c>
      <c r="AA240" s="7">
        <v>4.8911000000000003E-2</v>
      </c>
      <c r="AB240" s="7">
        <v>4.8196999999999997E-2</v>
      </c>
      <c r="AC240" s="7">
        <v>0.14547499999999999</v>
      </c>
      <c r="AD240" s="7">
        <v>8.2322999999999993E-2</v>
      </c>
      <c r="AE240" s="7">
        <v>8.6625999999999995E-2</v>
      </c>
      <c r="AF240" s="7">
        <v>6.2086000000000002E-2</v>
      </c>
      <c r="AG240" s="7">
        <v>0.79471599999999998</v>
      </c>
      <c r="AH240" s="7">
        <v>0.92681199999999997</v>
      </c>
      <c r="AI240" s="7">
        <v>0.436143</v>
      </c>
      <c r="AJ240" s="7">
        <v>0.27262500000000001</v>
      </c>
      <c r="AK240" s="7">
        <v>0.93987699999999996</v>
      </c>
      <c r="AL240" s="7">
        <v>0.233129</v>
      </c>
      <c r="AM240" s="7">
        <v>5.2466980000000003</v>
      </c>
      <c r="AN240" s="7">
        <v>5.4466260000000002</v>
      </c>
      <c r="AO240" s="7">
        <v>4.0250919999999999</v>
      </c>
      <c r="AP240" s="7">
        <v>1.938822</v>
      </c>
      <c r="AQ240" s="7">
        <v>3.092025</v>
      </c>
      <c r="AR240" s="7">
        <v>1.3570549999999999</v>
      </c>
      <c r="AS240" s="7">
        <v>13.54373</v>
      </c>
      <c r="AT240" s="7">
        <v>14.139950000000001</v>
      </c>
      <c r="AU240" s="7">
        <v>10.517899999999999</v>
      </c>
      <c r="AV240" s="7">
        <v>7.786016</v>
      </c>
      <c r="AW240" s="7">
        <v>7.0969329999999999</v>
      </c>
      <c r="AX240" s="7">
        <v>6.4711660000000002</v>
      </c>
    </row>
    <row r="241" spans="1:50">
      <c r="A241" s="4">
        <v>0.15</v>
      </c>
      <c r="B241" s="7">
        <v>7.1399999999999996E-3</v>
      </c>
      <c r="C241" s="7">
        <v>1.2853E-2</v>
      </c>
      <c r="D241" s="7">
        <v>0.12715000000000001</v>
      </c>
      <c r="E241" s="7">
        <v>6.0897E-2</v>
      </c>
      <c r="F241" s="7">
        <v>5.8650000000000001E-2</v>
      </c>
      <c r="G241" s="7">
        <v>2.1350000000000001E-2</v>
      </c>
      <c r="H241" s="7">
        <v>7.8172079999999999</v>
      </c>
      <c r="I241" s="7">
        <v>7.6494109999999997</v>
      </c>
      <c r="J241" s="7">
        <v>4.4451650000000003</v>
      </c>
      <c r="K241" s="7">
        <v>7.4336060000000002</v>
      </c>
      <c r="L241" s="7">
        <v>3.4404910000000002</v>
      </c>
      <c r="M241" s="7">
        <v>6.2920249999999998</v>
      </c>
      <c r="N241" s="7">
        <v>0.5</v>
      </c>
      <c r="O241" s="7">
        <v>3.5699999999999998E-3</v>
      </c>
      <c r="P241" s="7">
        <v>1.4281E-2</v>
      </c>
      <c r="Q241" s="7">
        <v>0.13983599999999999</v>
      </c>
      <c r="R241" s="7">
        <v>6.0051E-2</v>
      </c>
      <c r="S241" s="7">
        <v>8.4663000000000002E-2</v>
      </c>
      <c r="T241" s="7">
        <v>3.1902E-2</v>
      </c>
      <c r="U241" s="7">
        <v>5.5336999999999997E-2</v>
      </c>
      <c r="V241" s="7">
        <v>6.0336000000000001E-2</v>
      </c>
      <c r="W241" s="7">
        <v>0.14350199999999999</v>
      </c>
      <c r="X241" s="7">
        <v>7.7812000000000006E-2</v>
      </c>
      <c r="Y241" s="7">
        <v>0.103558</v>
      </c>
      <c r="Z241" s="7">
        <v>4.0490999999999999E-2</v>
      </c>
      <c r="AA241" s="7">
        <v>0.45555200000000001</v>
      </c>
      <c r="AB241" s="7">
        <v>0.43056100000000003</v>
      </c>
      <c r="AC241" s="7">
        <v>0.19875999999999999</v>
      </c>
      <c r="AD241" s="7">
        <v>0.18240799999999999</v>
      </c>
      <c r="AE241" s="7">
        <v>0.12662599999999999</v>
      </c>
      <c r="AF241" s="7">
        <v>0.19631899999999999</v>
      </c>
      <c r="AG241" s="7">
        <v>7.5530169999999996</v>
      </c>
      <c r="AH241" s="7">
        <v>7.6958229999999999</v>
      </c>
      <c r="AI241" s="7">
        <v>2.8607269999999998</v>
      </c>
      <c r="AJ241" s="7">
        <v>1.453905</v>
      </c>
      <c r="AK241" s="7">
        <v>2.5472389999999998</v>
      </c>
      <c r="AL241" s="7">
        <v>0.89325200000000005</v>
      </c>
      <c r="AM241" s="7">
        <v>20.569800000000001</v>
      </c>
      <c r="AN241" s="7">
        <v>20.319890000000001</v>
      </c>
      <c r="AO241" s="7">
        <v>11.96138</v>
      </c>
      <c r="AP241" s="7">
        <v>12.07133</v>
      </c>
      <c r="AQ241" s="7">
        <v>9.6809820000000002</v>
      </c>
      <c r="AR241" s="7">
        <v>5.7717790000000004</v>
      </c>
      <c r="AS241" s="7">
        <v>28.034990000000001</v>
      </c>
      <c r="AT241" s="7">
        <v>27.777940000000001</v>
      </c>
      <c r="AU241" s="7">
        <v>18.984210000000001</v>
      </c>
      <c r="AV241" s="7">
        <v>23.946149999999999</v>
      </c>
      <c r="AW241" s="7">
        <v>14.37791</v>
      </c>
      <c r="AX241" s="7">
        <v>6.9447850000000004</v>
      </c>
    </row>
    <row r="242" spans="1:50">
      <c r="A242" s="4">
        <v>0.52</v>
      </c>
      <c r="B242" s="7">
        <v>4.07E-2</v>
      </c>
      <c r="C242" s="7">
        <v>4.5340999999999999E-2</v>
      </c>
      <c r="D242" s="7">
        <v>0.146039</v>
      </c>
      <c r="E242" s="7">
        <v>9.2473E-2</v>
      </c>
      <c r="F242" s="7">
        <v>8.3681000000000005E-2</v>
      </c>
      <c r="G242" s="7">
        <v>6.1594999999999997E-2</v>
      </c>
      <c r="H242" s="7">
        <v>21.872900000000001</v>
      </c>
      <c r="I242" s="7">
        <v>21.672969999999999</v>
      </c>
      <c r="J242" s="7">
        <v>17.00507</v>
      </c>
      <c r="K242" s="7">
        <v>16.19312</v>
      </c>
      <c r="L242" s="7">
        <v>15.906750000000001</v>
      </c>
      <c r="M242" s="7">
        <v>15.28834</v>
      </c>
      <c r="N242" s="7">
        <v>1</v>
      </c>
      <c r="O242" s="7">
        <v>7.4970000000000002E-3</v>
      </c>
      <c r="P242" s="7">
        <v>1.7493999999999999E-2</v>
      </c>
      <c r="Q242" s="7">
        <v>0.142374</v>
      </c>
      <c r="R242" s="7">
        <v>6.0615000000000002E-2</v>
      </c>
      <c r="S242" s="7">
        <v>9.2760999999999996E-2</v>
      </c>
      <c r="T242" s="7">
        <v>3.7054999999999998E-2</v>
      </c>
      <c r="U242" s="7">
        <v>0.124955</v>
      </c>
      <c r="V242" s="7">
        <v>0.13316700000000001</v>
      </c>
      <c r="W242" s="7">
        <v>0.170567</v>
      </c>
      <c r="X242" s="7">
        <v>0.120101</v>
      </c>
      <c r="Y242" s="7">
        <v>0.140123</v>
      </c>
      <c r="Z242" s="7">
        <v>9.3988000000000002E-2</v>
      </c>
      <c r="AA242" s="7">
        <v>1.8514820000000001</v>
      </c>
      <c r="AB242" s="7">
        <v>1.776508</v>
      </c>
      <c r="AC242" s="7">
        <v>0.39949299999999999</v>
      </c>
      <c r="AD242" s="7">
        <v>0.96898799999999996</v>
      </c>
      <c r="AE242" s="7">
        <v>0.348466</v>
      </c>
      <c r="AF242" s="7">
        <v>1.148466</v>
      </c>
      <c r="AG242" s="7">
        <v>14.186360000000001</v>
      </c>
      <c r="AH242" s="7">
        <v>13.968579999999999</v>
      </c>
      <c r="AI242" s="7">
        <v>7.6422330000000001</v>
      </c>
      <c r="AJ242" s="7">
        <v>5.2655770000000004</v>
      </c>
      <c r="AK242" s="7">
        <v>7.2736200000000002</v>
      </c>
      <c r="AL242" s="7">
        <v>5.666258</v>
      </c>
      <c r="AM242" s="7">
        <v>26.692609999999998</v>
      </c>
      <c r="AN242" s="7">
        <v>27.863620000000001</v>
      </c>
      <c r="AO242" s="7">
        <v>18.52467</v>
      </c>
      <c r="AP242" s="7">
        <v>21.386240000000001</v>
      </c>
      <c r="AQ242" s="7">
        <v>16.503070000000001</v>
      </c>
      <c r="AR242" s="7">
        <v>18.765640000000001</v>
      </c>
      <c r="AS242" s="7">
        <v>33.072470000000003</v>
      </c>
      <c r="AT242" s="7">
        <v>31.587289999999999</v>
      </c>
      <c r="AU242" s="7">
        <v>22.38991</v>
      </c>
      <c r="AV242" s="7">
        <v>34.12377</v>
      </c>
      <c r="AW242" s="7">
        <v>19.173010000000001</v>
      </c>
      <c r="AX242" s="7">
        <v>19.646629999999998</v>
      </c>
    </row>
    <row r="243" spans="1:50">
      <c r="A243" s="4">
        <v>1.78</v>
      </c>
      <c r="B243" s="7">
        <v>0.34487699999999999</v>
      </c>
      <c r="C243" s="7">
        <v>0.35201700000000002</v>
      </c>
      <c r="D243" s="7">
        <v>0.34874500000000003</v>
      </c>
      <c r="E243" s="7">
        <v>0.23879300000000001</v>
      </c>
      <c r="F243" s="7">
        <v>2.2110430000000001</v>
      </c>
      <c r="G243" s="7">
        <v>1.1779139999999999</v>
      </c>
      <c r="H243" s="7">
        <v>33.993569999999998</v>
      </c>
      <c r="I243" s="7">
        <v>34.204210000000003</v>
      </c>
      <c r="J243" s="120" t="s">
        <v>2158</v>
      </c>
      <c r="K243" s="120" t="s">
        <v>2159</v>
      </c>
      <c r="L243" s="120" t="s">
        <v>2172</v>
      </c>
      <c r="M243" s="120" t="s">
        <v>2173</v>
      </c>
      <c r="N243" s="7">
        <v>5</v>
      </c>
      <c r="O243" s="7">
        <v>1.6423E-2</v>
      </c>
      <c r="P243" s="7">
        <v>1.4281E-2</v>
      </c>
      <c r="Q243" s="7">
        <v>0.137299</v>
      </c>
      <c r="R243" s="7">
        <v>6.5125000000000002E-2</v>
      </c>
      <c r="S243" s="7">
        <v>8.7607000000000004E-2</v>
      </c>
      <c r="T243" s="7">
        <v>3.1902E-2</v>
      </c>
      <c r="U243" s="7">
        <v>0.59835799999999995</v>
      </c>
      <c r="V243" s="7">
        <v>0.71617299999999995</v>
      </c>
      <c r="W243" s="7">
        <v>0.27262500000000001</v>
      </c>
      <c r="X243" s="7">
        <v>0.51226400000000005</v>
      </c>
      <c r="Y243" s="7">
        <v>0.18895700000000001</v>
      </c>
      <c r="Z243" s="7">
        <v>0.53251499999999996</v>
      </c>
      <c r="AA243" s="7">
        <v>7.2317030000000004</v>
      </c>
      <c r="AB243" s="7">
        <v>6.796144</v>
      </c>
      <c r="AC243" s="7">
        <v>2.2010149999999999</v>
      </c>
      <c r="AD243" s="7">
        <v>3.9517899999999999</v>
      </c>
      <c r="AE243" s="7">
        <v>1.9411039999999999</v>
      </c>
      <c r="AF243" s="7">
        <v>4.4662579999999998</v>
      </c>
      <c r="AG243" s="7">
        <v>22.833269999999999</v>
      </c>
      <c r="AH243" s="7">
        <v>23.761510000000001</v>
      </c>
      <c r="AI243" s="7">
        <v>13.72625</v>
      </c>
      <c r="AJ243" s="7">
        <v>13.8954</v>
      </c>
      <c r="AK243" s="7">
        <v>14.159509999999999</v>
      </c>
      <c r="AL243" s="7">
        <v>12.37546</v>
      </c>
      <c r="AM243" s="7">
        <v>31.298110000000001</v>
      </c>
      <c r="AN243" s="7">
        <v>32.369149999999998</v>
      </c>
      <c r="AO243" s="7">
        <v>23.438680000000002</v>
      </c>
      <c r="AP243" s="7">
        <v>32.795879999999997</v>
      </c>
      <c r="AQ243" s="7">
        <v>19.889569999999999</v>
      </c>
      <c r="AR243" s="7">
        <v>29.41104</v>
      </c>
      <c r="AS243" s="7">
        <v>41.597999999999999</v>
      </c>
      <c r="AT243" s="7">
        <v>43.5473</v>
      </c>
      <c r="AU243" s="7">
        <v>27.557649999999999</v>
      </c>
      <c r="AV243" s="7">
        <v>41.73583</v>
      </c>
      <c r="AW243" s="7">
        <v>23.892019999999999</v>
      </c>
      <c r="AX243" s="7">
        <v>31.452760000000001</v>
      </c>
    </row>
    <row r="244" spans="1:50">
      <c r="A244" s="4">
        <v>4.59</v>
      </c>
      <c r="B244" s="7">
        <v>2.0514100000000002</v>
      </c>
      <c r="C244" s="7">
        <v>2.158515</v>
      </c>
      <c r="D244" s="7">
        <v>2.4716659999999999</v>
      </c>
      <c r="E244" s="7">
        <v>1.191711</v>
      </c>
      <c r="F244" s="7">
        <v>2.5644170000000002</v>
      </c>
      <c r="G244" s="7">
        <v>2.2380369999999998</v>
      </c>
      <c r="H244" s="120" t="s">
        <v>2181</v>
      </c>
      <c r="I244" s="120" t="s">
        <v>2182</v>
      </c>
      <c r="J244" s="120" t="s">
        <v>2162</v>
      </c>
      <c r="K244" s="120" t="s">
        <v>2161</v>
      </c>
      <c r="L244" s="120" t="s">
        <v>2167</v>
      </c>
      <c r="M244" s="120" t="s">
        <v>2168</v>
      </c>
      <c r="N244" s="7">
        <v>10</v>
      </c>
      <c r="O244" s="7">
        <v>1.0710000000000001E-2</v>
      </c>
      <c r="P244" s="7">
        <v>1.8565000000000002E-2</v>
      </c>
      <c r="Q244" s="7">
        <v>0.133634</v>
      </c>
      <c r="R244" s="7">
        <v>6.1178000000000003E-2</v>
      </c>
      <c r="S244" s="7">
        <v>6.8221000000000004E-2</v>
      </c>
      <c r="T244" s="7">
        <v>1.0061E-2</v>
      </c>
      <c r="U244" s="7">
        <v>1.651553</v>
      </c>
      <c r="V244" s="7">
        <v>1.9728669999999999</v>
      </c>
      <c r="W244" s="7">
        <v>0.49534800000000001</v>
      </c>
      <c r="X244" s="7">
        <v>1.056386</v>
      </c>
      <c r="Y244" s="7">
        <v>0.36809799999999998</v>
      </c>
      <c r="Z244" s="7">
        <v>1.170552</v>
      </c>
      <c r="AA244" s="7">
        <v>10.78401</v>
      </c>
      <c r="AB244" s="7">
        <v>11.1196</v>
      </c>
      <c r="AC244" s="7">
        <v>4.5974060000000003</v>
      </c>
      <c r="AD244" s="7">
        <v>6.6977729999999998</v>
      </c>
      <c r="AE244" s="7">
        <v>4.2233130000000001</v>
      </c>
      <c r="AF244" s="7">
        <v>6.7558280000000002</v>
      </c>
      <c r="AG244" s="7">
        <v>25.728670000000001</v>
      </c>
      <c r="AH244" s="7">
        <v>27.270969999999998</v>
      </c>
      <c r="AI244" s="7">
        <v>15.947839999999999</v>
      </c>
      <c r="AJ244" s="7">
        <v>20.492529999999999</v>
      </c>
      <c r="AK244" s="7">
        <v>16.252759999999999</v>
      </c>
      <c r="AL244" s="7">
        <v>17.543559999999999</v>
      </c>
      <c r="AM244" s="7">
        <v>33.786499999999997</v>
      </c>
      <c r="AN244" s="7">
        <v>32.769010000000002</v>
      </c>
      <c r="AO244" s="7">
        <v>25.06823</v>
      </c>
      <c r="AP244" s="7">
        <v>35.505220000000001</v>
      </c>
      <c r="AQ244" s="7">
        <v>24.260120000000001</v>
      </c>
      <c r="AR244" s="7">
        <v>28.699390000000001</v>
      </c>
      <c r="AS244" s="120" t="s">
        <v>2175</v>
      </c>
      <c r="AT244" s="120" t="s">
        <v>2176</v>
      </c>
      <c r="AU244" s="7">
        <v>27.1404</v>
      </c>
      <c r="AV244" s="120" t="s">
        <v>2174</v>
      </c>
      <c r="AW244" s="7">
        <v>26.026990000000001</v>
      </c>
      <c r="AX244" s="7">
        <v>34.05153</v>
      </c>
    </row>
    <row r="245" spans="1:50">
      <c r="A245" s="4">
        <v>7.38</v>
      </c>
      <c r="B245" s="7">
        <v>6.5890750000000002</v>
      </c>
      <c r="C245" s="7">
        <v>6.671189</v>
      </c>
      <c r="D245" s="7">
        <v>6.1254580000000001</v>
      </c>
      <c r="E245" s="7">
        <v>4.1914290000000003</v>
      </c>
      <c r="F245" s="7">
        <v>3.8601230000000002</v>
      </c>
      <c r="G245" s="7">
        <v>3.7766869999999999</v>
      </c>
      <c r="H245" s="120" t="s">
        <v>2180</v>
      </c>
      <c r="I245" s="120" t="s">
        <v>2179</v>
      </c>
      <c r="J245" s="120" t="s">
        <v>2165</v>
      </c>
      <c r="K245" s="120" t="s">
        <v>2166</v>
      </c>
      <c r="L245" s="120" t="s">
        <v>2170</v>
      </c>
      <c r="M245" s="120" t="s">
        <v>2171</v>
      </c>
      <c r="N245" s="7">
        <v>50</v>
      </c>
      <c r="O245" s="7">
        <v>1.7493999999999999E-2</v>
      </c>
      <c r="P245" s="7">
        <v>1.321E-2</v>
      </c>
      <c r="Q245" s="7">
        <v>0.14096400000000001</v>
      </c>
      <c r="R245" s="7">
        <v>6.0615000000000002E-2</v>
      </c>
      <c r="S245" s="7">
        <v>6.9447999999999996E-2</v>
      </c>
      <c r="T245" s="7">
        <v>1.1779E-2</v>
      </c>
      <c r="U245" s="7">
        <v>6.6069259999999996</v>
      </c>
      <c r="V245" s="7">
        <v>6.546233</v>
      </c>
      <c r="W245" s="7">
        <v>2.4857629999999999</v>
      </c>
      <c r="X245" s="7">
        <v>5.2035520000000002</v>
      </c>
      <c r="Y245" s="7">
        <v>3.376687</v>
      </c>
      <c r="Z245" s="7">
        <v>6.1766870000000003</v>
      </c>
      <c r="AA245" s="7">
        <v>20.194929999999999</v>
      </c>
      <c r="AB245" s="7">
        <v>20.073550000000001</v>
      </c>
      <c r="AC245" s="7">
        <v>13.23287</v>
      </c>
      <c r="AD245" s="7">
        <v>13.314629999999999</v>
      </c>
      <c r="AE245" s="7">
        <v>12.87853</v>
      </c>
      <c r="AF245" s="7">
        <v>12.642939999999999</v>
      </c>
      <c r="AG245" s="7">
        <v>31.012499999999999</v>
      </c>
      <c r="AH245" s="7">
        <v>31.97644</v>
      </c>
      <c r="AI245" s="7">
        <v>22.87482</v>
      </c>
      <c r="AJ245" s="7">
        <v>32.398359999999997</v>
      </c>
      <c r="AK245" s="7">
        <v>20.569330000000001</v>
      </c>
      <c r="AL245" s="7">
        <v>28.17914</v>
      </c>
      <c r="AM245" s="7">
        <v>44.082830000000001</v>
      </c>
      <c r="AN245" s="7">
        <v>42.886830000000003</v>
      </c>
      <c r="AO245" s="7">
        <v>30.853400000000001</v>
      </c>
      <c r="AP245" s="120" t="s">
        <v>2160</v>
      </c>
      <c r="AQ245" s="7">
        <v>27.921469999999999</v>
      </c>
      <c r="AR245" s="7">
        <v>40.0319</v>
      </c>
      <c r="AS245" s="120" t="s">
        <v>2177</v>
      </c>
      <c r="AT245" s="120" t="s">
        <v>2178</v>
      </c>
      <c r="AU245" s="120" t="s">
        <v>2163</v>
      </c>
      <c r="AV245" s="120" t="s">
        <v>2164</v>
      </c>
      <c r="AW245" s="7">
        <v>35.21472</v>
      </c>
      <c r="AX245" s="120" t="s">
        <v>2169</v>
      </c>
    </row>
    <row r="246" spans="1:50">
      <c r="N246" s="7">
        <v>100</v>
      </c>
      <c r="O246" s="7">
        <v>1.2139E-2</v>
      </c>
      <c r="P246" s="7">
        <v>2.0707E-2</v>
      </c>
      <c r="Q246" s="7">
        <v>0.13786300000000001</v>
      </c>
      <c r="R246" s="7">
        <v>5.7794999999999999E-2</v>
      </c>
      <c r="S246" s="7">
        <v>8.0736000000000002E-2</v>
      </c>
      <c r="T246" s="7">
        <v>1.4723999999999999E-2</v>
      </c>
      <c r="U246" s="7">
        <v>7.8172079999999999</v>
      </c>
      <c r="V246" s="7">
        <v>7.6494109999999997</v>
      </c>
      <c r="W246" s="7">
        <v>4.4451650000000003</v>
      </c>
      <c r="X246" s="7">
        <v>7.4336060000000002</v>
      </c>
      <c r="Y246" s="7">
        <v>3.4404910000000002</v>
      </c>
      <c r="Z246" s="7">
        <v>6.2920249999999998</v>
      </c>
      <c r="AA246" s="7">
        <v>21.872900000000001</v>
      </c>
      <c r="AB246" s="7">
        <v>21.672969999999999</v>
      </c>
      <c r="AC246" s="7">
        <v>17.00507</v>
      </c>
      <c r="AD246" s="7">
        <v>16.19312</v>
      </c>
      <c r="AE246" s="7">
        <v>15.906750000000001</v>
      </c>
      <c r="AF246" s="7">
        <v>15.28834</v>
      </c>
      <c r="AG246" s="7">
        <v>33.993569999999998</v>
      </c>
      <c r="AH246" s="7">
        <v>34.204210000000003</v>
      </c>
      <c r="AI246" s="7">
        <v>25.53341</v>
      </c>
      <c r="AJ246" s="7">
        <v>37.281359999999999</v>
      </c>
      <c r="AK246" s="7">
        <v>23.602450000000001</v>
      </c>
      <c r="AL246" s="7">
        <v>34.682209999999998</v>
      </c>
      <c r="AM246" s="120" t="s">
        <v>2181</v>
      </c>
      <c r="AN246" s="120" t="s">
        <v>2182</v>
      </c>
      <c r="AO246" s="7">
        <v>33.199039999999997</v>
      </c>
      <c r="AP246" s="120" t="s">
        <v>2161</v>
      </c>
      <c r="AQ246" s="7">
        <v>32.331290000000003</v>
      </c>
      <c r="AR246" s="120" t="s">
        <v>2168</v>
      </c>
      <c r="AS246" s="120" t="s">
        <v>2180</v>
      </c>
      <c r="AT246" s="120" t="s">
        <v>2179</v>
      </c>
      <c r="AU246" s="120" t="s">
        <v>2165</v>
      </c>
      <c r="AV246" s="120" t="s">
        <v>2166</v>
      </c>
      <c r="AW246" s="120" t="s">
        <v>2170</v>
      </c>
      <c r="AX246" s="120" t="s">
        <v>2171</v>
      </c>
    </row>
    <row r="247" spans="1:50">
      <c r="O247" s="230" t="s">
        <v>783</v>
      </c>
      <c r="P247" s="230"/>
      <c r="Q247" s="230"/>
      <c r="R247" s="230"/>
      <c r="S247" s="230"/>
      <c r="T247" s="230"/>
      <c r="U247" s="230" t="s">
        <v>2118</v>
      </c>
      <c r="V247" s="230"/>
      <c r="W247" s="230"/>
      <c r="X247" s="230"/>
      <c r="Y247" s="230"/>
      <c r="Z247" s="230"/>
      <c r="AA247" s="230" t="s">
        <v>2119</v>
      </c>
      <c r="AB247" s="230"/>
      <c r="AC247" s="230"/>
      <c r="AD247" s="230"/>
      <c r="AE247" s="230"/>
      <c r="AF247" s="230"/>
      <c r="AG247" s="230" t="s">
        <v>2120</v>
      </c>
      <c r="AH247" s="230"/>
      <c r="AI247" s="230"/>
      <c r="AJ247" s="230"/>
      <c r="AK247" s="230"/>
      <c r="AL247" s="230"/>
      <c r="AM247" s="230" t="s">
        <v>2121</v>
      </c>
      <c r="AN247" s="230"/>
      <c r="AO247" s="230"/>
      <c r="AP247" s="230"/>
      <c r="AQ247" s="230"/>
      <c r="AR247" s="230"/>
      <c r="AS247" s="230" t="s">
        <v>2122</v>
      </c>
      <c r="AT247" s="230"/>
      <c r="AU247" s="230"/>
      <c r="AV247" s="230"/>
      <c r="AW247" s="230"/>
      <c r="AX247" s="230"/>
    </row>
    <row r="248" spans="1:50" ht="16.5">
      <c r="A248" s="68" t="s">
        <v>1724</v>
      </c>
      <c r="B248" s="244" t="s">
        <v>1890</v>
      </c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4"/>
      <c r="N248" s="5" t="s">
        <v>782</v>
      </c>
      <c r="O248" s="218">
        <v>2.2949426262392738E-2</v>
      </c>
      <c r="P248" s="218"/>
      <c r="Q248" s="218">
        <v>4.3754410726887811E-3</v>
      </c>
      <c r="R248" s="218"/>
      <c r="S248" s="218">
        <v>4.0000000000000001E-3</v>
      </c>
      <c r="T248" s="218"/>
      <c r="U248" s="218">
        <v>0.1806629834100584</v>
      </c>
      <c r="V248" s="218"/>
      <c r="W248" s="218">
        <v>0.18955539872971067</v>
      </c>
      <c r="X248" s="218"/>
      <c r="Y248" s="218">
        <v>0.126770246</v>
      </c>
      <c r="Z248" s="218"/>
      <c r="AA248" s="218">
        <v>1.1257968549829327</v>
      </c>
      <c r="AB248" s="218"/>
      <c r="AC248" s="218">
        <v>0.6485532815808045</v>
      </c>
      <c r="AD248" s="218"/>
      <c r="AE248" s="218">
        <v>0.40327237700000002</v>
      </c>
      <c r="AF248" s="218"/>
      <c r="AG248" s="218">
        <v>2.0807479811236083</v>
      </c>
      <c r="AH248" s="218"/>
      <c r="AI248" s="218">
        <v>2.0825688073394497</v>
      </c>
      <c r="AJ248" s="218"/>
      <c r="AK248" s="218">
        <v>1.515605665</v>
      </c>
      <c r="AL248" s="218"/>
      <c r="AM248" s="218">
        <v>4.6816829575281194</v>
      </c>
      <c r="AN248" s="218"/>
      <c r="AO248" s="218">
        <v>4.857445306986591</v>
      </c>
      <c r="AP248" s="218"/>
      <c r="AQ248" s="218">
        <v>4.3246253269999997</v>
      </c>
      <c r="AR248" s="218"/>
      <c r="AS248" s="218">
        <v>8.0883977893677521</v>
      </c>
      <c r="AT248" s="218"/>
      <c r="AU248" s="218">
        <v>6.9181369089625973</v>
      </c>
      <c r="AV248" s="218"/>
      <c r="AW248" s="218">
        <v>7.0868967410000003</v>
      </c>
      <c r="AX248" s="218"/>
    </row>
    <row r="249" spans="1:50">
      <c r="A249" s="4" t="s">
        <v>1725</v>
      </c>
      <c r="B249" s="258">
        <v>0</v>
      </c>
      <c r="C249" s="258"/>
      <c r="D249" s="258"/>
      <c r="E249" s="258"/>
      <c r="F249" s="258"/>
      <c r="G249" s="258"/>
      <c r="H249" s="260">
        <v>1000</v>
      </c>
      <c r="I249" s="260"/>
      <c r="J249" s="260"/>
      <c r="K249" s="260"/>
      <c r="L249" s="260"/>
      <c r="M249" s="260"/>
      <c r="N249" s="7">
        <v>0</v>
      </c>
      <c r="O249" s="7">
        <v>5.4059000000000003E-2</v>
      </c>
      <c r="P249" s="7">
        <v>5.0999000000000003E-2</v>
      </c>
      <c r="Q249" s="7">
        <v>4.1072999999999998E-2</v>
      </c>
      <c r="R249" s="7">
        <v>5.0105999999999998E-2</v>
      </c>
      <c r="S249" s="7">
        <v>1.8837E-2</v>
      </c>
      <c r="T249" s="7">
        <v>1.5812E-2</v>
      </c>
      <c r="U249" s="7">
        <v>1.7938799999999999</v>
      </c>
      <c r="V249" s="7">
        <v>2.056524</v>
      </c>
      <c r="W249" s="7">
        <v>3.2893439999999998</v>
      </c>
      <c r="X249" s="7">
        <v>3.3119269999999998</v>
      </c>
      <c r="Y249" s="7">
        <v>1.9665889999999999</v>
      </c>
      <c r="Z249" s="7">
        <v>2.0738349999999999</v>
      </c>
      <c r="AA249" s="7">
        <v>15.94093</v>
      </c>
      <c r="AB249" s="7">
        <v>15.270289999999999</v>
      </c>
      <c r="AC249" s="7">
        <v>11.12279</v>
      </c>
      <c r="AD249" s="7">
        <v>10.72195</v>
      </c>
      <c r="AE249" s="7">
        <v>8.2143540000000002</v>
      </c>
      <c r="AF249" s="7">
        <v>8.2886019999999991</v>
      </c>
      <c r="AG249" s="120" t="s">
        <v>1843</v>
      </c>
      <c r="AH249" s="120" t="s">
        <v>1843</v>
      </c>
      <c r="AI249" s="7">
        <v>22.075510000000001</v>
      </c>
      <c r="AJ249" s="7">
        <v>22.075510000000001</v>
      </c>
      <c r="AK249" s="7">
        <v>18.366969999999998</v>
      </c>
      <c r="AL249" s="7">
        <v>19.172689999999999</v>
      </c>
      <c r="AM249" s="7">
        <v>24.381219999999999</v>
      </c>
      <c r="AN249" s="7">
        <v>25.062049999999999</v>
      </c>
      <c r="AO249" s="7">
        <v>26.922370000000001</v>
      </c>
      <c r="AP249" s="7">
        <v>27.84263</v>
      </c>
      <c r="AQ249" s="7">
        <v>23.608280000000001</v>
      </c>
      <c r="AR249" s="7">
        <v>23.31954</v>
      </c>
      <c r="AS249" s="7">
        <v>29.557590000000001</v>
      </c>
      <c r="AT249" s="7">
        <v>29.91968</v>
      </c>
      <c r="AU249" s="7">
        <v>33.541989999999998</v>
      </c>
      <c r="AV249" s="7">
        <v>33.1355</v>
      </c>
      <c r="AW249" s="7">
        <v>28.62134</v>
      </c>
      <c r="AX249" s="7">
        <v>25.640450000000001</v>
      </c>
    </row>
    <row r="250" spans="1:50">
      <c r="A250" s="4">
        <v>0.01</v>
      </c>
      <c r="B250" s="7">
        <v>5.4059000000000003E-2</v>
      </c>
      <c r="C250" s="7">
        <v>5.0999000000000003E-2</v>
      </c>
      <c r="D250" s="7">
        <v>4.1072999999999998E-2</v>
      </c>
      <c r="E250" s="7">
        <v>5.0105999999999998E-2</v>
      </c>
      <c r="F250" s="7">
        <v>1.8837E-2</v>
      </c>
      <c r="G250" s="7">
        <v>1.5812E-2</v>
      </c>
      <c r="H250" s="7">
        <v>7.3948E-2</v>
      </c>
      <c r="I250" s="7">
        <v>6.7827999999999999E-2</v>
      </c>
      <c r="J250" s="7">
        <v>0.10091700000000001</v>
      </c>
      <c r="K250" s="7">
        <v>9.4989000000000004E-2</v>
      </c>
      <c r="L250" s="7">
        <v>2.9561E-2</v>
      </c>
      <c r="M250" s="7">
        <v>2.5987E-2</v>
      </c>
      <c r="N250" s="7">
        <v>0.1</v>
      </c>
      <c r="O250" s="7">
        <v>5.2528999999999999E-2</v>
      </c>
      <c r="P250" s="7">
        <v>6.2218000000000002E-2</v>
      </c>
      <c r="Q250" s="7">
        <v>4.5588999999999998E-2</v>
      </c>
      <c r="R250" s="7">
        <v>3.5708999999999998E-2</v>
      </c>
      <c r="S250" s="7">
        <v>2.0212000000000001E-2</v>
      </c>
      <c r="T250" s="7">
        <v>1.8561999999999999E-2</v>
      </c>
      <c r="U250" s="7">
        <v>1.273693</v>
      </c>
      <c r="V250" s="7">
        <v>2.005525</v>
      </c>
      <c r="W250" s="7">
        <v>2.9957660000000002</v>
      </c>
      <c r="X250" s="7">
        <v>3.690191</v>
      </c>
      <c r="Y250" s="7">
        <v>2.029836</v>
      </c>
      <c r="Z250" s="7">
        <v>2.4423210000000002</v>
      </c>
      <c r="AA250" s="7">
        <v>15.69868</v>
      </c>
      <c r="AB250" s="7">
        <v>15.45899</v>
      </c>
      <c r="AC250" s="7">
        <v>12.11927</v>
      </c>
      <c r="AD250" s="7">
        <v>11.86239</v>
      </c>
      <c r="AE250" s="7">
        <v>8.6543379999999992</v>
      </c>
      <c r="AF250" s="7">
        <v>8.3408499999999997</v>
      </c>
      <c r="AG250" s="7">
        <v>20.235019999999999</v>
      </c>
      <c r="AH250" s="7">
        <v>19.26859</v>
      </c>
      <c r="AI250" s="7">
        <v>20.514469999999999</v>
      </c>
      <c r="AJ250" s="7">
        <v>21.27946</v>
      </c>
      <c r="AK250" s="7">
        <v>19.172689999999999</v>
      </c>
      <c r="AL250" s="7">
        <v>18.823460000000001</v>
      </c>
      <c r="AM250" s="7">
        <v>24.909050000000001</v>
      </c>
      <c r="AN250" s="7">
        <v>25.605180000000001</v>
      </c>
      <c r="AO250" s="7">
        <v>24.415669999999999</v>
      </c>
      <c r="AP250" s="7">
        <v>23.393789999999999</v>
      </c>
      <c r="AQ250" s="7">
        <v>23.462530000000001</v>
      </c>
      <c r="AR250" s="7">
        <v>24.265499999999999</v>
      </c>
      <c r="AS250" s="7">
        <v>28.31832</v>
      </c>
      <c r="AT250" s="7">
        <v>29.738630000000001</v>
      </c>
      <c r="AU250" s="7">
        <v>32.935070000000003</v>
      </c>
      <c r="AV250" s="7">
        <v>34.267470000000003</v>
      </c>
      <c r="AW250" s="7">
        <v>26.272929999999999</v>
      </c>
      <c r="AX250" s="7">
        <v>29.691050000000001</v>
      </c>
    </row>
    <row r="251" spans="1:50">
      <c r="A251" s="4">
        <v>0.16</v>
      </c>
      <c r="B251" s="7">
        <v>1.7938799999999999</v>
      </c>
      <c r="C251" s="7">
        <v>2.056524</v>
      </c>
      <c r="D251" s="7">
        <v>3.2893439999999998</v>
      </c>
      <c r="E251" s="7">
        <v>3.3119269999999998</v>
      </c>
      <c r="F251" s="7">
        <v>1.9665889999999999</v>
      </c>
      <c r="G251" s="7">
        <v>2.0738349999999999</v>
      </c>
      <c r="H251" s="7">
        <v>19.32724</v>
      </c>
      <c r="I251" s="7">
        <v>19.867830000000001</v>
      </c>
      <c r="J251" s="7">
        <v>20.141850000000002</v>
      </c>
      <c r="K251" s="7">
        <v>20.26323</v>
      </c>
      <c r="L251" s="7">
        <v>18.25423</v>
      </c>
      <c r="M251" s="7">
        <v>19.230440000000002</v>
      </c>
      <c r="N251" s="7">
        <v>0.5</v>
      </c>
      <c r="O251" s="7">
        <v>6.3492999999999994E-2</v>
      </c>
      <c r="P251" s="7">
        <v>6.6043000000000004E-2</v>
      </c>
      <c r="Q251" s="7">
        <v>4.4741999999999997E-2</v>
      </c>
      <c r="R251" s="7">
        <v>3.5427E-2</v>
      </c>
      <c r="S251" s="7">
        <v>1.2787E-2</v>
      </c>
      <c r="T251" s="7">
        <v>1.4711999999999999E-2</v>
      </c>
      <c r="U251" s="7">
        <v>1.7224820000000001</v>
      </c>
      <c r="V251" s="7">
        <v>2.2885680000000002</v>
      </c>
      <c r="W251" s="7">
        <v>5.6916019999999996</v>
      </c>
      <c r="X251" s="7">
        <v>5</v>
      </c>
      <c r="Y251" s="7">
        <v>2.6678120000000001</v>
      </c>
      <c r="Z251" s="7">
        <v>2.527568</v>
      </c>
      <c r="AA251" s="7">
        <v>16.945599999999999</v>
      </c>
      <c r="AB251" s="7">
        <v>16.945599999999999</v>
      </c>
      <c r="AC251" s="7">
        <v>13.49118</v>
      </c>
      <c r="AD251" s="7">
        <v>12.9633</v>
      </c>
      <c r="AE251" s="7">
        <v>9.4628080000000008</v>
      </c>
      <c r="AF251" s="7">
        <v>9.5508039999999994</v>
      </c>
      <c r="AG251" s="7">
        <v>20.235019999999999</v>
      </c>
      <c r="AH251" s="7">
        <v>20.92605</v>
      </c>
      <c r="AI251" s="7">
        <v>23.323219999999999</v>
      </c>
      <c r="AJ251" s="7">
        <v>24.045870000000001</v>
      </c>
      <c r="AK251" s="7">
        <v>19.054449999999999</v>
      </c>
      <c r="AL251" s="7">
        <v>18.765709999999999</v>
      </c>
      <c r="AM251" s="7">
        <v>25.91883</v>
      </c>
      <c r="AN251" s="7">
        <v>26.640460000000001</v>
      </c>
      <c r="AO251" s="7">
        <v>29.505289999999999</v>
      </c>
      <c r="AP251" s="7">
        <v>29.327449999999999</v>
      </c>
      <c r="AQ251" s="7">
        <v>23.679770000000001</v>
      </c>
      <c r="AR251" s="7">
        <v>24.867730000000002</v>
      </c>
      <c r="AS251" s="7">
        <v>27.88993</v>
      </c>
      <c r="AT251" s="7">
        <v>30.847850000000001</v>
      </c>
      <c r="AU251" s="7">
        <v>32.237830000000002</v>
      </c>
      <c r="AV251" s="7">
        <v>34.583629999999999</v>
      </c>
      <c r="AW251" s="7">
        <v>30.056789999999999</v>
      </c>
      <c r="AX251" s="7">
        <v>28.62134</v>
      </c>
    </row>
    <row r="252" spans="1:50">
      <c r="A252" s="4">
        <v>0.72</v>
      </c>
      <c r="B252" s="7">
        <v>15.94093</v>
      </c>
      <c r="C252" s="7">
        <v>15.270289999999999</v>
      </c>
      <c r="D252" s="7">
        <v>11.12279</v>
      </c>
      <c r="E252" s="7">
        <v>10.72195</v>
      </c>
      <c r="F252" s="7">
        <v>8.2143540000000002</v>
      </c>
      <c r="G252" s="7">
        <v>8.2886019999999991</v>
      </c>
      <c r="H252" s="7">
        <v>25.605180000000001</v>
      </c>
      <c r="I252" s="7">
        <v>25.839780000000001</v>
      </c>
      <c r="J252" s="7">
        <v>24.71771</v>
      </c>
      <c r="K252" s="7">
        <v>24.491879999999998</v>
      </c>
      <c r="L252" s="7">
        <v>21.669599999999999</v>
      </c>
      <c r="M252" s="7">
        <v>22.27458</v>
      </c>
      <c r="N252" s="7">
        <v>1</v>
      </c>
      <c r="O252" s="7">
        <v>6.9102999999999998E-2</v>
      </c>
      <c r="P252" s="7">
        <v>7.0377999999999996E-2</v>
      </c>
      <c r="Q252" s="7">
        <v>3.5145000000000003E-2</v>
      </c>
      <c r="R252" s="7">
        <v>3.2604000000000001E-2</v>
      </c>
      <c r="S252" s="7">
        <v>2.1312000000000001E-2</v>
      </c>
      <c r="T252" s="7">
        <v>1.6636999999999999E-2</v>
      </c>
      <c r="U252" s="7">
        <v>2.6047600000000002</v>
      </c>
      <c r="V252" s="7">
        <v>2.923502</v>
      </c>
      <c r="W252" s="7">
        <v>6.7219480000000003</v>
      </c>
      <c r="X252" s="7">
        <v>7.0606920000000004</v>
      </c>
      <c r="Y252" s="7">
        <v>3.3580369999999999</v>
      </c>
      <c r="Z252" s="7">
        <v>3.575278</v>
      </c>
      <c r="AA252" s="7">
        <v>18.919250000000002</v>
      </c>
      <c r="AB252" s="7">
        <v>18.575009999999999</v>
      </c>
      <c r="AC252" s="7">
        <v>18.944949999999999</v>
      </c>
      <c r="AD252" s="7">
        <v>18.208189999999998</v>
      </c>
      <c r="AE252" s="7">
        <v>10.67001</v>
      </c>
      <c r="AF252" s="7">
        <v>11.1045</v>
      </c>
      <c r="AG252" s="7">
        <v>23.649380000000001</v>
      </c>
      <c r="AH252" s="7">
        <v>23.720780000000001</v>
      </c>
      <c r="AI252" s="7">
        <v>26.515879999999999</v>
      </c>
      <c r="AJ252" s="7">
        <v>26.354980000000001</v>
      </c>
      <c r="AK252" s="7">
        <v>20.69614</v>
      </c>
      <c r="AL252" s="7">
        <v>20.75938</v>
      </c>
      <c r="AM252" s="7">
        <v>27.550789999999999</v>
      </c>
      <c r="AN252" s="7">
        <v>29.108799999999999</v>
      </c>
      <c r="AO252" s="7">
        <v>32.633029999999998</v>
      </c>
      <c r="AP252" s="7">
        <v>31.077629999999999</v>
      </c>
      <c r="AQ252" s="7">
        <v>25.249970000000001</v>
      </c>
      <c r="AR252" s="7">
        <v>25.953939999999999</v>
      </c>
      <c r="AS252" s="120" t="s">
        <v>1844</v>
      </c>
      <c r="AT252" s="120" t="s">
        <v>1845</v>
      </c>
      <c r="AU252" s="120" t="s">
        <v>1846</v>
      </c>
      <c r="AV252" s="120" t="s">
        <v>1847</v>
      </c>
      <c r="AW252" s="120" t="s">
        <v>1848</v>
      </c>
      <c r="AX252" s="120" t="s">
        <v>1849</v>
      </c>
    </row>
    <row r="253" spans="1:50">
      <c r="A253" s="4">
        <v>1.89</v>
      </c>
      <c r="B253" s="120" t="s">
        <v>1843</v>
      </c>
      <c r="C253" s="120" t="s">
        <v>1843</v>
      </c>
      <c r="D253" s="7">
        <v>22.075510000000001</v>
      </c>
      <c r="E253" s="7">
        <v>22.075510000000001</v>
      </c>
      <c r="F253" s="7">
        <v>18.366969999999998</v>
      </c>
      <c r="G253" s="7">
        <v>19.172689999999999</v>
      </c>
      <c r="H253" s="7">
        <v>28.580960000000001</v>
      </c>
      <c r="I253" s="7">
        <v>28.31832</v>
      </c>
      <c r="J253" s="7">
        <v>30.143260000000001</v>
      </c>
      <c r="K253" s="7">
        <v>30.143260000000001</v>
      </c>
      <c r="L253" s="7">
        <v>27.93112</v>
      </c>
      <c r="M253" s="7">
        <v>26.84216</v>
      </c>
      <c r="N253" s="7">
        <v>5</v>
      </c>
      <c r="O253" s="7">
        <v>7.7772999999999995E-2</v>
      </c>
      <c r="P253" s="7">
        <v>6.9102999999999998E-2</v>
      </c>
      <c r="Q253" s="7">
        <v>3.4861999999999997E-2</v>
      </c>
      <c r="R253" s="7">
        <v>3.0064E-2</v>
      </c>
      <c r="S253" s="7">
        <v>1.5262E-2</v>
      </c>
      <c r="T253" s="7">
        <v>1.1962E-2</v>
      </c>
      <c r="U253" s="7">
        <v>5.8049299999999997</v>
      </c>
      <c r="V253" s="7">
        <v>6.2307689999999996</v>
      </c>
      <c r="W253" s="7">
        <v>11.75512</v>
      </c>
      <c r="X253" s="7">
        <v>12.08257</v>
      </c>
      <c r="Y253" s="7">
        <v>6.3746729999999996</v>
      </c>
      <c r="Z253" s="7">
        <v>6.9081530000000004</v>
      </c>
      <c r="AA253" s="7">
        <v>23.289840000000002</v>
      </c>
      <c r="AB253" s="7">
        <v>21.708880000000001</v>
      </c>
      <c r="AC253" s="7">
        <v>22.829219999999999</v>
      </c>
      <c r="AD253" s="7">
        <v>22.346509999999999</v>
      </c>
      <c r="AE253" s="7">
        <v>14.198130000000001</v>
      </c>
      <c r="AF253" s="7">
        <v>14.59412</v>
      </c>
      <c r="AG253" s="7">
        <v>25.37059</v>
      </c>
      <c r="AH253" s="7">
        <v>27.216740000000001</v>
      </c>
      <c r="AI253" s="7">
        <v>28.61891</v>
      </c>
      <c r="AJ253" s="7">
        <v>29.505289999999999</v>
      </c>
      <c r="AK253" s="7">
        <v>22.75581</v>
      </c>
      <c r="AL253" s="7">
        <v>22.618310000000001</v>
      </c>
      <c r="AM253" s="7">
        <v>31.900980000000001</v>
      </c>
      <c r="AN253" s="7">
        <v>31.419039999999999</v>
      </c>
      <c r="AO253" s="7">
        <v>38.481999999999999</v>
      </c>
      <c r="AP253" s="7">
        <v>37.666200000000003</v>
      </c>
      <c r="AQ253" s="7">
        <v>27.592880000000001</v>
      </c>
      <c r="AR253" s="7">
        <v>27.33989</v>
      </c>
      <c r="AS253" s="120" t="s">
        <v>1850</v>
      </c>
      <c r="AT253" s="120" t="s">
        <v>1851</v>
      </c>
      <c r="AU253" s="120" t="s">
        <v>1852</v>
      </c>
      <c r="AV253" s="120" t="s">
        <v>1852</v>
      </c>
      <c r="AW253" s="120" t="s">
        <v>1853</v>
      </c>
      <c r="AX253" s="120" t="s">
        <v>1854</v>
      </c>
    </row>
    <row r="254" spans="1:50">
      <c r="A254" s="4">
        <v>4.62</v>
      </c>
      <c r="B254" s="7">
        <v>24.381219999999999</v>
      </c>
      <c r="C254" s="7">
        <v>25.062049999999999</v>
      </c>
      <c r="D254" s="7">
        <v>26.922370000000001</v>
      </c>
      <c r="E254" s="7">
        <v>27.84263</v>
      </c>
      <c r="F254" s="7">
        <v>23.608280000000001</v>
      </c>
      <c r="G254" s="7">
        <v>23.31954</v>
      </c>
      <c r="H254" s="120" t="s">
        <v>1855</v>
      </c>
      <c r="I254" s="120" t="s">
        <v>1856</v>
      </c>
      <c r="J254" s="120" t="s">
        <v>1857</v>
      </c>
      <c r="K254" s="120" t="s">
        <v>1858</v>
      </c>
      <c r="L254" s="120" t="s">
        <v>1859</v>
      </c>
      <c r="M254" s="120" t="s">
        <v>1860</v>
      </c>
      <c r="N254" s="7">
        <v>10</v>
      </c>
      <c r="O254" s="7">
        <v>6.8337999999999996E-2</v>
      </c>
      <c r="P254" s="7">
        <v>7.1398000000000003E-2</v>
      </c>
      <c r="Q254" s="7">
        <v>9.1319999999999998E-2</v>
      </c>
      <c r="R254" s="7">
        <v>8.7931999999999996E-2</v>
      </c>
      <c r="S254" s="7">
        <v>1.7461999999999998E-2</v>
      </c>
      <c r="T254" s="7">
        <v>1.6636999999999999E-2</v>
      </c>
      <c r="U254" s="7">
        <v>7.40374</v>
      </c>
      <c r="V254" s="7">
        <v>7.9953250000000002</v>
      </c>
      <c r="W254" s="7">
        <v>9.1976010000000006</v>
      </c>
      <c r="X254" s="7">
        <v>8.7035990000000005</v>
      </c>
      <c r="Y254" s="7">
        <v>8.1126079999999998</v>
      </c>
      <c r="Z254" s="7">
        <v>8.8440809999999992</v>
      </c>
      <c r="AA254" s="7">
        <v>21.97663</v>
      </c>
      <c r="AB254" s="7">
        <v>21.97663</v>
      </c>
      <c r="AC254" s="7">
        <v>18.54411</v>
      </c>
      <c r="AD254" s="7">
        <v>17.76782</v>
      </c>
      <c r="AE254" s="7">
        <v>16.14781</v>
      </c>
      <c r="AF254" s="7">
        <v>16.348549999999999</v>
      </c>
      <c r="AG254" s="7">
        <v>25.215039999999998</v>
      </c>
      <c r="AH254" s="7">
        <v>24.682110000000002</v>
      </c>
      <c r="AI254" s="7">
        <v>25.56175</v>
      </c>
      <c r="AJ254" s="7">
        <v>26.354980000000001</v>
      </c>
      <c r="AK254" s="7">
        <v>23.107800000000001</v>
      </c>
      <c r="AL254" s="7">
        <v>22.9648</v>
      </c>
      <c r="AM254" s="7">
        <v>30.9422</v>
      </c>
      <c r="AN254" s="7">
        <v>33.910330000000002</v>
      </c>
      <c r="AO254" s="120" t="s">
        <v>1861</v>
      </c>
      <c r="AP254" s="120" t="s">
        <v>1862</v>
      </c>
      <c r="AQ254" s="7">
        <v>30.334520000000001</v>
      </c>
      <c r="AR254" s="7">
        <v>30.705760000000001</v>
      </c>
      <c r="AS254" s="120" t="s">
        <v>1863</v>
      </c>
      <c r="AT254" s="120" t="s">
        <v>1712</v>
      </c>
      <c r="AU254" s="120" t="s">
        <v>1864</v>
      </c>
      <c r="AV254" s="120" t="s">
        <v>1865</v>
      </c>
      <c r="AW254" s="120" t="s">
        <v>1866</v>
      </c>
      <c r="AX254" s="120" t="s">
        <v>1867</v>
      </c>
    </row>
    <row r="255" spans="1:50">
      <c r="A255" s="4">
        <v>7.36</v>
      </c>
      <c r="B255" s="7">
        <v>29.557590000000001</v>
      </c>
      <c r="C255" s="7">
        <v>29.91968</v>
      </c>
      <c r="D255" s="7">
        <v>33.541989999999998</v>
      </c>
      <c r="E255" s="7">
        <v>33.1355</v>
      </c>
      <c r="F255" s="7">
        <v>28.62134</v>
      </c>
      <c r="G255" s="7">
        <v>25.640450000000001</v>
      </c>
      <c r="H255" s="120" t="s">
        <v>1868</v>
      </c>
      <c r="I255" s="120" t="s">
        <v>1869</v>
      </c>
      <c r="J255" s="120" t="s">
        <v>1870</v>
      </c>
      <c r="K255" s="120" t="s">
        <v>1871</v>
      </c>
      <c r="L255" s="120" t="s">
        <v>1872</v>
      </c>
      <c r="M255" s="120" t="s">
        <v>1873</v>
      </c>
      <c r="N255" s="7">
        <v>100</v>
      </c>
      <c r="O255" s="7">
        <v>6.0178000000000002E-2</v>
      </c>
      <c r="P255" s="7">
        <v>6.4003000000000004E-2</v>
      </c>
      <c r="Q255" s="7">
        <v>8.5674E-2</v>
      </c>
      <c r="R255" s="7">
        <v>8.2850999999999994E-2</v>
      </c>
      <c r="S255" s="7">
        <v>2.7910999999999998E-2</v>
      </c>
      <c r="T255" s="7">
        <v>2.1861999999999999E-2</v>
      </c>
      <c r="U255" s="7">
        <v>14.811299999999999</v>
      </c>
      <c r="V255" s="7">
        <v>16.234169999999999</v>
      </c>
      <c r="W255" s="7">
        <v>14.7897</v>
      </c>
      <c r="X255" s="7">
        <v>15.10868</v>
      </c>
      <c r="Y255" s="7">
        <v>14.28613</v>
      </c>
      <c r="Z255" s="7">
        <v>15.47133</v>
      </c>
      <c r="AA255" s="7">
        <v>24.307269999999999</v>
      </c>
      <c r="AB255" s="7">
        <v>24.531659999999999</v>
      </c>
      <c r="AC255" s="7">
        <v>23.252649999999999</v>
      </c>
      <c r="AD255" s="7">
        <v>22.552579999999999</v>
      </c>
      <c r="AE255" s="7">
        <v>20.071909999999999</v>
      </c>
      <c r="AF255" s="7">
        <v>20.951879999999999</v>
      </c>
      <c r="AG255" s="7">
        <v>27.135149999999999</v>
      </c>
      <c r="AH255" s="7">
        <v>27.721630000000001</v>
      </c>
      <c r="AI255" s="7">
        <v>28.706420000000001</v>
      </c>
      <c r="AJ255" s="7">
        <v>28.881440000000001</v>
      </c>
      <c r="AK255" s="7">
        <v>25.403960000000001</v>
      </c>
      <c r="AL255" s="7">
        <v>25.403960000000001</v>
      </c>
      <c r="AM255" s="120" t="s">
        <v>1874</v>
      </c>
      <c r="AN255" s="120" t="s">
        <v>1851</v>
      </c>
      <c r="AO255" s="120" t="s">
        <v>1865</v>
      </c>
      <c r="AP255" s="120" t="s">
        <v>1875</v>
      </c>
      <c r="AQ255" s="120" t="s">
        <v>1876</v>
      </c>
      <c r="AR255" s="120" t="s">
        <v>1877</v>
      </c>
      <c r="AS255" s="120" t="s">
        <v>1878</v>
      </c>
      <c r="AT255" s="120" t="s">
        <v>1879</v>
      </c>
      <c r="AU255" s="120" t="s">
        <v>1880</v>
      </c>
      <c r="AV255" s="120" t="s">
        <v>1881</v>
      </c>
      <c r="AW255" s="120" t="s">
        <v>1882</v>
      </c>
      <c r="AX255" s="120" t="s">
        <v>1883</v>
      </c>
    </row>
    <row r="256" spans="1:50">
      <c r="N256" s="7">
        <v>1000</v>
      </c>
      <c r="O256" s="7">
        <v>7.3948E-2</v>
      </c>
      <c r="P256" s="7">
        <v>6.7827999999999999E-2</v>
      </c>
      <c r="Q256" s="7">
        <v>0.10091700000000001</v>
      </c>
      <c r="R256" s="7">
        <v>9.4989000000000004E-2</v>
      </c>
      <c r="S256" s="7">
        <v>2.9561E-2</v>
      </c>
      <c r="T256" s="7">
        <v>2.5987E-2</v>
      </c>
      <c r="U256" s="7">
        <v>19.32724</v>
      </c>
      <c r="V256" s="7">
        <v>19.867830000000001</v>
      </c>
      <c r="W256" s="7">
        <v>20.141850000000002</v>
      </c>
      <c r="X256" s="7">
        <v>20.26323</v>
      </c>
      <c r="Y256" s="7">
        <v>18.25423</v>
      </c>
      <c r="Z256" s="7">
        <v>19.230440000000002</v>
      </c>
      <c r="AA256" s="7">
        <v>25.605180000000001</v>
      </c>
      <c r="AB256" s="7">
        <v>25.839780000000001</v>
      </c>
      <c r="AC256" s="7">
        <v>24.71771</v>
      </c>
      <c r="AD256" s="7">
        <v>24.491879999999998</v>
      </c>
      <c r="AE256" s="7">
        <v>21.669599999999999</v>
      </c>
      <c r="AF256" s="7">
        <v>22.27458</v>
      </c>
      <c r="AG256" s="7">
        <v>28.580960000000001</v>
      </c>
      <c r="AH256" s="7">
        <v>28.31832</v>
      </c>
      <c r="AI256" s="7">
        <v>30.143260000000001</v>
      </c>
      <c r="AJ256" s="7">
        <v>30.143260000000001</v>
      </c>
      <c r="AK256" s="7">
        <v>27.93112</v>
      </c>
      <c r="AL256" s="7">
        <v>26.84216</v>
      </c>
      <c r="AM256" s="120" t="s">
        <v>1855</v>
      </c>
      <c r="AN256" s="120" t="s">
        <v>1856</v>
      </c>
      <c r="AO256" s="120" t="s">
        <v>1857</v>
      </c>
      <c r="AP256" s="120" t="s">
        <v>1858</v>
      </c>
      <c r="AQ256" s="120" t="s">
        <v>1859</v>
      </c>
      <c r="AR256" s="120" t="s">
        <v>1860</v>
      </c>
      <c r="AS256" s="120" t="s">
        <v>1868</v>
      </c>
      <c r="AT256" s="120" t="s">
        <v>1869</v>
      </c>
      <c r="AU256" s="120" t="s">
        <v>1870</v>
      </c>
      <c r="AV256" s="120" t="s">
        <v>1871</v>
      </c>
      <c r="AW256" s="120" t="s">
        <v>1872</v>
      </c>
      <c r="AX256" s="120" t="s">
        <v>1873</v>
      </c>
    </row>
    <row r="257" spans="1:75">
      <c r="O257" s="4">
        <v>3.0703963341054074E-3</v>
      </c>
      <c r="U257" s="4">
        <v>0.4704289513150699</v>
      </c>
      <c r="AA257" s="4">
        <v>1.1399930890643486</v>
      </c>
      <c r="AG257" s="4">
        <v>2.7475783516236874</v>
      </c>
      <c r="AM257" s="4">
        <v>5.0670170471132652</v>
      </c>
      <c r="AS257" s="4">
        <v>7.6940689108470677</v>
      </c>
    </row>
    <row r="258" spans="1:75" ht="16.5">
      <c r="A258" s="68" t="s">
        <v>1884</v>
      </c>
      <c r="B258" s="244" t="s">
        <v>1891</v>
      </c>
      <c r="C258" s="244"/>
      <c r="D258" s="244"/>
      <c r="E258" s="244"/>
      <c r="F258" s="244"/>
      <c r="G258" s="244"/>
      <c r="H258" s="244"/>
      <c r="I258" s="244"/>
      <c r="J258" s="244"/>
      <c r="K258" s="244"/>
      <c r="L258" s="244"/>
      <c r="M258" s="244"/>
      <c r="N258" s="5" t="s">
        <v>1885</v>
      </c>
      <c r="O258" s="230">
        <v>0.01</v>
      </c>
      <c r="P258" s="230"/>
      <c r="Q258" s="218">
        <v>-1.4238929232521715E-3</v>
      </c>
      <c r="R258" s="218"/>
      <c r="S258" s="218">
        <v>6.3508192556839386E-4</v>
      </c>
      <c r="T258" s="218"/>
      <c r="U258" s="230">
        <v>0.18</v>
      </c>
      <c r="V258" s="230"/>
      <c r="W258" s="218">
        <v>0.20461341307133704</v>
      </c>
      <c r="X258" s="218"/>
      <c r="Y258" s="218">
        <v>1.0266734408738727</v>
      </c>
      <c r="Z258" s="218"/>
      <c r="AA258" s="230">
        <v>0.57999999999999996</v>
      </c>
      <c r="AB258" s="230"/>
      <c r="AC258" s="218">
        <v>0.66253737718923544</v>
      </c>
      <c r="AD258" s="218"/>
      <c r="AE258" s="218">
        <v>2.1774418900038106</v>
      </c>
      <c r="AF258" s="218"/>
      <c r="AG258" s="230">
        <v>1.77</v>
      </c>
      <c r="AH258" s="230"/>
      <c r="AI258" s="218">
        <v>2.028050690588068</v>
      </c>
      <c r="AJ258" s="218"/>
      <c r="AK258" s="218">
        <v>4.4446843642829936</v>
      </c>
      <c r="AL258" s="218"/>
      <c r="AM258" s="230">
        <v>4.21</v>
      </c>
      <c r="AN258" s="230"/>
      <c r="AO258" s="218">
        <v>4.6665242773743421</v>
      </c>
      <c r="AP258" s="218"/>
      <c r="AQ258" s="218">
        <v>6.3245268639654526</v>
      </c>
      <c r="AR258" s="218"/>
      <c r="AS258" s="230">
        <v>7.85</v>
      </c>
      <c r="AT258" s="230"/>
      <c r="AU258" s="218">
        <v>7.5143101238786851</v>
      </c>
      <c r="AV258" s="218"/>
      <c r="AW258" s="218">
        <v>7.7178966086625183</v>
      </c>
      <c r="AX258" s="218"/>
    </row>
    <row r="259" spans="1:75">
      <c r="A259" s="4" t="s">
        <v>1725</v>
      </c>
      <c r="B259" s="258">
        <v>0</v>
      </c>
      <c r="C259" s="258"/>
      <c r="D259" s="258"/>
      <c r="E259" s="258"/>
      <c r="F259" s="258"/>
      <c r="G259" s="258"/>
      <c r="H259" s="260">
        <v>100000</v>
      </c>
      <c r="I259" s="260"/>
      <c r="J259" s="260"/>
      <c r="K259" s="260"/>
      <c r="L259" s="260"/>
      <c r="M259" s="260"/>
      <c r="N259" s="7">
        <v>0</v>
      </c>
      <c r="O259" s="7">
        <v>0.18482799999999999</v>
      </c>
      <c r="P259" s="7">
        <v>0.18720899999999999</v>
      </c>
      <c r="Q259" s="4">
        <v>0.16958564715933364</v>
      </c>
      <c r="R259" s="4">
        <v>0.18183112629930231</v>
      </c>
      <c r="S259" s="4">
        <v>0.17667979169312845</v>
      </c>
      <c r="T259" s="4">
        <v>0.19090562682586057</v>
      </c>
      <c r="U259" s="7">
        <v>0.46139000000000002</v>
      </c>
      <c r="V259" s="7">
        <v>0.46479199999999998</v>
      </c>
      <c r="W259" s="4">
        <v>0.47885519008970528</v>
      </c>
      <c r="X259" s="4">
        <v>0.45892068916417489</v>
      </c>
      <c r="Y259" s="4">
        <v>0.39413184300774806</v>
      </c>
      <c r="Z259" s="4">
        <v>0.3738092213895593</v>
      </c>
      <c r="AA259" s="7">
        <v>1.5941719999999999</v>
      </c>
      <c r="AB259" s="7">
        <v>1.6451979999999999</v>
      </c>
      <c r="AC259" s="4">
        <v>1.763206606863164</v>
      </c>
      <c r="AD259" s="4">
        <v>1.7802933219421899</v>
      </c>
      <c r="AE259" s="4">
        <v>1.2705449002921376</v>
      </c>
      <c r="AF259" s="4">
        <v>1.318811126635336</v>
      </c>
      <c r="AG259" s="7">
        <v>6.9281100000000002</v>
      </c>
      <c r="AH259" s="7">
        <v>7.3227120000000001</v>
      </c>
      <c r="AI259" s="4">
        <v>7.0771749964402684</v>
      </c>
      <c r="AJ259" s="4">
        <v>7.1426740709098686</v>
      </c>
      <c r="AK259" s="4">
        <v>6.5315635717007501</v>
      </c>
      <c r="AL259" s="4">
        <v>6.6128540581735047</v>
      </c>
      <c r="AM259" s="7">
        <v>15.772650000000001</v>
      </c>
      <c r="AN259" s="7">
        <v>16.262499999999999</v>
      </c>
      <c r="AO259" s="4">
        <v>14.028620247757368</v>
      </c>
      <c r="AP259" s="4">
        <v>14.378897906877402</v>
      </c>
      <c r="AQ259" s="4">
        <v>13.804521783310047</v>
      </c>
      <c r="AR259" s="4">
        <v>14.233837164994284</v>
      </c>
      <c r="AS259" s="7">
        <v>22.62717</v>
      </c>
      <c r="AT259" s="7">
        <v>22.35163</v>
      </c>
      <c r="AU259" s="4">
        <v>19.05211448099103</v>
      </c>
      <c r="AV259" s="4">
        <v>19.05211448099103</v>
      </c>
      <c r="AW259" s="4">
        <v>18.460942461577545</v>
      </c>
      <c r="AX259" s="4">
        <v>19.865743680934841</v>
      </c>
    </row>
    <row r="260" spans="1:75">
      <c r="A260" s="4">
        <v>0</v>
      </c>
      <c r="B260" s="7">
        <v>0.27229199999999998</v>
      </c>
      <c r="D260" s="7"/>
      <c r="E260" s="7"/>
      <c r="H260" s="7">
        <v>0.27229199999999998</v>
      </c>
      <c r="N260" s="7">
        <v>10</v>
      </c>
      <c r="O260" s="7">
        <v>0.21000099999999999</v>
      </c>
      <c r="P260" s="7">
        <v>0.19809499999999999</v>
      </c>
      <c r="Q260" s="4">
        <v>0.17243343300583799</v>
      </c>
      <c r="R260" s="4">
        <v>0.17698989036024493</v>
      </c>
      <c r="S260" s="4">
        <v>0.18785723358313219</v>
      </c>
      <c r="T260" s="4">
        <v>0.20106693763495492</v>
      </c>
      <c r="U260" s="7">
        <v>0.47839900000000002</v>
      </c>
      <c r="V260" s="7">
        <v>0.498809</v>
      </c>
      <c r="W260" s="4">
        <v>0.50163747686174009</v>
      </c>
      <c r="X260" s="4">
        <v>0.51018083440125306</v>
      </c>
      <c r="Y260" s="4">
        <v>0.38397053219865368</v>
      </c>
      <c r="Z260" s="4">
        <v>0.40175282611456881</v>
      </c>
      <c r="AA260" s="7">
        <v>1.743849</v>
      </c>
      <c r="AB260" s="7">
        <v>1.7166349999999999</v>
      </c>
      <c r="AC260" s="4">
        <v>1.7745977502491812</v>
      </c>
      <c r="AD260" s="4">
        <v>1.7916844653282074</v>
      </c>
      <c r="AE260" s="4">
        <v>1.2298996570557601</v>
      </c>
      <c r="AF260" s="4">
        <v>1.2705449002921376</v>
      </c>
      <c r="AG260" s="7">
        <v>7.1015990000000002</v>
      </c>
      <c r="AH260" s="7">
        <v>7.254677</v>
      </c>
      <c r="AI260" s="4">
        <v>7.1426740709098686</v>
      </c>
      <c r="AJ260" s="4">
        <v>6.8408087711804075</v>
      </c>
      <c r="AK260" s="4">
        <v>6.374063254159787</v>
      </c>
      <c r="AL260" s="4">
        <v>6.1809983487869937</v>
      </c>
      <c r="AM260" s="7">
        <v>15.820270000000001</v>
      </c>
      <c r="AN260" s="7">
        <v>15.772650000000001</v>
      </c>
      <c r="AO260" s="4">
        <v>14.421614694574968</v>
      </c>
      <c r="AP260" s="4">
        <v>14.643741990602306</v>
      </c>
      <c r="AQ260" s="4">
        <v>13.680045725898641</v>
      </c>
      <c r="AR260" s="4">
        <v>14.233837164994284</v>
      </c>
      <c r="AS260" s="7">
        <v>21.814150000000001</v>
      </c>
      <c r="AT260" s="7">
        <v>20.33099</v>
      </c>
      <c r="AU260" s="4">
        <v>18.821443827424179</v>
      </c>
      <c r="AV260" s="4">
        <v>17.759219706678056</v>
      </c>
      <c r="AW260" s="4">
        <v>18.918201447986789</v>
      </c>
      <c r="AX260" s="4">
        <v>18.346627714975231</v>
      </c>
    </row>
    <row r="261" spans="1:75">
      <c r="A261" s="4">
        <v>3.0000000000000001E-3</v>
      </c>
      <c r="B261" s="7">
        <v>0.18482799999999999</v>
      </c>
      <c r="C261" s="7">
        <v>0.18720899999999999</v>
      </c>
      <c r="D261" s="7">
        <v>0.16958564715933364</v>
      </c>
      <c r="E261" s="7">
        <v>0.18183112629930231</v>
      </c>
      <c r="F261" s="7">
        <v>0.17667979169312845</v>
      </c>
      <c r="G261" s="7">
        <v>0.19090562682586057</v>
      </c>
      <c r="H261" s="7">
        <v>0.260687</v>
      </c>
      <c r="I261" s="7">
        <v>0.284499</v>
      </c>
      <c r="J261" s="4">
        <v>0.19436138402392142</v>
      </c>
      <c r="K261" s="4">
        <v>0.18553324789975797</v>
      </c>
      <c r="L261" s="4">
        <v>0.18709513527245017</v>
      </c>
      <c r="M261" s="4">
        <v>0.17388543122062744</v>
      </c>
      <c r="N261" s="7">
        <v>100</v>
      </c>
      <c r="O261" s="7">
        <v>0.20149700000000001</v>
      </c>
      <c r="P261" s="7">
        <v>0.204899</v>
      </c>
      <c r="Q261" s="4">
        <v>0.18183112629930231</v>
      </c>
      <c r="R261" s="4">
        <v>0.18183112629930231</v>
      </c>
      <c r="S261" s="4">
        <v>0.18938143020449641</v>
      </c>
      <c r="T261" s="4">
        <v>0.20614759303950211</v>
      </c>
      <c r="U261" s="7">
        <v>0.59405799999999997</v>
      </c>
      <c r="V261" s="7">
        <v>0.56684400000000001</v>
      </c>
      <c r="W261" s="4">
        <v>0.53011533532678345</v>
      </c>
      <c r="X261" s="4">
        <v>0.53581090701979217</v>
      </c>
      <c r="Y261" s="4">
        <v>0.41445446462593677</v>
      </c>
      <c r="Z261" s="4">
        <v>0.43477708624412553</v>
      </c>
      <c r="AA261" s="7">
        <v>2.0568089999999999</v>
      </c>
      <c r="AB261" s="7">
        <v>1.9751669999999999</v>
      </c>
      <c r="AC261" s="4">
        <v>1.9027481133418767</v>
      </c>
      <c r="AD261" s="4">
        <v>1.9169870425743984</v>
      </c>
      <c r="AE261" s="4">
        <v>1.2807062111012322</v>
      </c>
      <c r="AF261" s="4">
        <v>1.3264321097421568</v>
      </c>
      <c r="AG261" s="7">
        <v>7.4349699999999999</v>
      </c>
      <c r="AH261" s="7">
        <v>7.9316250000000004</v>
      </c>
      <c r="AI261" s="4">
        <v>7.1853908586074331</v>
      </c>
      <c r="AJ261" s="4">
        <v>7.034458208742703</v>
      </c>
      <c r="AK261" s="4">
        <v>6.374063254159787</v>
      </c>
      <c r="AL261" s="4">
        <v>6.6738219230280711</v>
      </c>
      <c r="AM261" s="7">
        <v>16.112819999999999</v>
      </c>
      <c r="AN261" s="7">
        <v>15.96655</v>
      </c>
      <c r="AO261" s="4">
        <v>13.857753096967109</v>
      </c>
      <c r="AP261" s="4">
        <v>14.290616545635768</v>
      </c>
      <c r="AQ261" s="4">
        <v>12.945891019941572</v>
      </c>
      <c r="AR261" s="4">
        <v>13.89089292518735</v>
      </c>
      <c r="AS261" s="7">
        <v>21.61345</v>
      </c>
      <c r="AT261" s="7">
        <v>20.769819999999999</v>
      </c>
      <c r="AU261" s="4">
        <v>18.476861739997151</v>
      </c>
      <c r="AV261" s="4">
        <v>17.975651431012388</v>
      </c>
      <c r="AW261" s="4">
        <v>17.472754985393117</v>
      </c>
      <c r="AX261" s="4">
        <v>17.848723485329607</v>
      </c>
    </row>
    <row r="262" spans="1:75">
      <c r="A262" s="4">
        <v>0.47</v>
      </c>
      <c r="B262" s="7">
        <v>0.46139000000000002</v>
      </c>
      <c r="C262" s="7">
        <v>0.46479199999999998</v>
      </c>
      <c r="D262" s="4">
        <v>0.47885519008970528</v>
      </c>
      <c r="E262" s="4">
        <v>0.45892068916417489</v>
      </c>
      <c r="F262" s="4">
        <v>0.39413184300774806</v>
      </c>
      <c r="G262" s="4">
        <v>0.3738092213895593</v>
      </c>
      <c r="H262" s="7">
        <v>3.6964510000000002</v>
      </c>
      <c r="I262" s="7">
        <v>3.6726390000000002</v>
      </c>
      <c r="J262" s="4">
        <v>2.1875266979923111</v>
      </c>
      <c r="K262" s="4">
        <v>2.3356115620105369</v>
      </c>
      <c r="L262" s="4">
        <v>1.9462720690969135</v>
      </c>
      <c r="M262" s="4">
        <v>1.8522799441127906</v>
      </c>
      <c r="N262" s="7">
        <v>500</v>
      </c>
      <c r="O262" s="7">
        <v>0.203878</v>
      </c>
      <c r="P262" s="7">
        <v>0.23109199999999999</v>
      </c>
      <c r="Q262" s="4">
        <v>0.18553324789975797</v>
      </c>
      <c r="R262" s="4">
        <v>0.21685889221130575</v>
      </c>
      <c r="S262" s="4">
        <v>0.20106693763495492</v>
      </c>
      <c r="T262" s="4">
        <v>0.22647021465769088</v>
      </c>
      <c r="U262" s="7">
        <v>0.78795800000000005</v>
      </c>
      <c r="V262" s="7">
        <v>0.76074399999999998</v>
      </c>
      <c r="W262" s="4">
        <v>0.65257012672647019</v>
      </c>
      <c r="X262" s="4">
        <v>0.65541791257297455</v>
      </c>
      <c r="Y262" s="4">
        <v>0.53384986663279566</v>
      </c>
      <c r="Z262" s="4">
        <v>0.55925314365553158</v>
      </c>
      <c r="AA262" s="7">
        <v>2.8358089999999998</v>
      </c>
      <c r="AB262" s="7">
        <v>2.7303549999999999</v>
      </c>
      <c r="AC262" s="4">
        <v>2.4125017798661541</v>
      </c>
      <c r="AD262" s="4">
        <v>2.3897194930941192</v>
      </c>
      <c r="AE262" s="4">
        <v>1.7786104407468564</v>
      </c>
      <c r="AF262" s="4">
        <v>1.7887717515559507</v>
      </c>
      <c r="AG262" s="7">
        <v>8.2547910000000009</v>
      </c>
      <c r="AH262" s="7">
        <v>8.5133240000000008</v>
      </c>
      <c r="AI262" s="4">
        <v>8.4839812046134142</v>
      </c>
      <c r="AJ262" s="4">
        <v>8.0283354691727187</v>
      </c>
      <c r="AK262" s="4">
        <v>6.9684999364918081</v>
      </c>
      <c r="AL262" s="4">
        <v>7.2962022100851014</v>
      </c>
      <c r="AM262" s="7">
        <v>16.16385</v>
      </c>
      <c r="AN262" s="7">
        <v>16.561859999999999</v>
      </c>
      <c r="AO262" s="4">
        <v>14.333333333333334</v>
      </c>
      <c r="AP262" s="4">
        <v>14.159618396696569</v>
      </c>
      <c r="AQ262" s="4">
        <v>13.63686015495999</v>
      </c>
      <c r="AR262" s="4">
        <v>13.763876540073669</v>
      </c>
      <c r="AS262" s="7">
        <v>20.082660000000001</v>
      </c>
      <c r="AT262" s="7">
        <v>21.157609999999998</v>
      </c>
      <c r="AU262" s="4">
        <v>17.975651431012388</v>
      </c>
      <c r="AV262" s="4">
        <v>17.329204043855903</v>
      </c>
      <c r="AW262" s="4">
        <v>17.742029721834118</v>
      </c>
      <c r="AX262" s="4">
        <v>17.686142512384098</v>
      </c>
    </row>
    <row r="263" spans="1:75">
      <c r="A263" s="4">
        <v>1.1399999999999999</v>
      </c>
      <c r="B263" s="7">
        <v>1.5941719999999999</v>
      </c>
      <c r="C263" s="7">
        <v>1.6451979999999999</v>
      </c>
      <c r="D263" s="4">
        <v>1.763206606863164</v>
      </c>
      <c r="E263" s="4">
        <v>1.7802933219421899</v>
      </c>
      <c r="F263" s="4">
        <v>1.2705449002921376</v>
      </c>
      <c r="G263" s="4">
        <v>1.318811126635336</v>
      </c>
      <c r="H263" s="7">
        <v>9.3637599999999992</v>
      </c>
      <c r="I263" s="7">
        <v>9.479419</v>
      </c>
      <c r="J263" s="4">
        <v>7.3875836537092416</v>
      </c>
      <c r="K263" s="4">
        <v>7.0116759219706681</v>
      </c>
      <c r="L263" s="4">
        <v>6.3334180109234097</v>
      </c>
      <c r="M263" s="4">
        <v>6.2953130953893055</v>
      </c>
      <c r="N263" s="7">
        <v>1000</v>
      </c>
      <c r="O263" s="7">
        <v>0.21102199999999999</v>
      </c>
      <c r="P263" s="7">
        <v>0.212723</v>
      </c>
      <c r="Q263" s="4">
        <v>0.19293749110066924</v>
      </c>
      <c r="R263" s="4">
        <v>0.20347429873273529</v>
      </c>
      <c r="S263" s="4">
        <v>0.19090562682586057</v>
      </c>
      <c r="T263" s="4">
        <v>0.2163089038485965</v>
      </c>
      <c r="U263" s="7">
        <v>0.93083099999999996</v>
      </c>
      <c r="V263" s="7">
        <v>0.92062600000000006</v>
      </c>
      <c r="W263" s="4">
        <v>0.809198348284209</v>
      </c>
      <c r="X263" s="4">
        <v>0.77217713227965257</v>
      </c>
      <c r="Y263" s="4">
        <v>0.63546297472373936</v>
      </c>
      <c r="Z263" s="4">
        <v>0.68372920106693758</v>
      </c>
      <c r="AA263" s="7">
        <v>3.4821409999999999</v>
      </c>
      <c r="AB263" s="7">
        <v>3.6046040000000001</v>
      </c>
      <c r="AC263" s="4">
        <v>3.115904883952727</v>
      </c>
      <c r="AD263" s="4">
        <v>2.9450377331624664</v>
      </c>
      <c r="AE263" s="4">
        <v>2.2155468055379144</v>
      </c>
      <c r="AF263" s="4">
        <v>2.080909437317414</v>
      </c>
      <c r="AG263" s="7">
        <v>9.5100350000000002</v>
      </c>
      <c r="AH263" s="7">
        <v>9.7447560000000006</v>
      </c>
      <c r="AI263" s="4">
        <v>9.0763206606863172</v>
      </c>
      <c r="AJ263" s="4">
        <v>8.6947173572547349</v>
      </c>
      <c r="AK263" s="4">
        <v>7.83221135526483</v>
      </c>
      <c r="AL263" s="4">
        <v>8.693382446335578</v>
      </c>
      <c r="AM263" s="7">
        <v>16.361149999999999</v>
      </c>
      <c r="AN263" s="7">
        <v>17.02449</v>
      </c>
      <c r="AO263" s="4">
        <v>14.333333333333334</v>
      </c>
      <c r="AP263" s="4">
        <v>14.421614694574968</v>
      </c>
      <c r="AQ263" s="4">
        <v>14.061094881239679</v>
      </c>
      <c r="AR263" s="4">
        <v>14.233837164994284</v>
      </c>
      <c r="AS263" s="7">
        <v>20.456849999999999</v>
      </c>
      <c r="AT263" s="7">
        <v>21.548819999999999</v>
      </c>
      <c r="AU263" s="4">
        <v>17.488680051260147</v>
      </c>
      <c r="AV263" s="4">
        <v>18.308842375053395</v>
      </c>
      <c r="AW263" s="4">
        <v>17.206020576654389</v>
      </c>
      <c r="AX263" s="4">
        <v>17.366061221897624</v>
      </c>
    </row>
    <row r="264" spans="1:75">
      <c r="A264" s="4">
        <v>2.74</v>
      </c>
      <c r="B264" s="7">
        <v>6.9281100000000002</v>
      </c>
      <c r="C264" s="7">
        <v>7.3227120000000001</v>
      </c>
      <c r="D264" s="4">
        <v>7.0771749964402684</v>
      </c>
      <c r="E264" s="4">
        <v>7.1426740709098686</v>
      </c>
      <c r="F264" s="4">
        <v>6.5315635717007501</v>
      </c>
      <c r="G264" s="4">
        <v>6.6128540581735047</v>
      </c>
      <c r="H264" s="7">
        <v>17.02449</v>
      </c>
      <c r="I264" s="7">
        <v>18.436219999999999</v>
      </c>
      <c r="J264" s="4">
        <v>15.760074042432009</v>
      </c>
      <c r="K264" s="4">
        <v>16.449238217286059</v>
      </c>
      <c r="L264" s="4">
        <v>15.89267115457894</v>
      </c>
      <c r="M264" s="4">
        <v>16.385494728820017</v>
      </c>
      <c r="N264" s="7">
        <v>5000</v>
      </c>
      <c r="O264" s="7">
        <v>0.22258800000000001</v>
      </c>
      <c r="P264" s="7">
        <v>0.244699</v>
      </c>
      <c r="Q264" s="4">
        <v>0.21685889221130575</v>
      </c>
      <c r="R264" s="4">
        <v>0.19037448383881531</v>
      </c>
      <c r="S264" s="4">
        <v>0.19344595452813415</v>
      </c>
      <c r="T264" s="4">
        <v>0.19852660993268134</v>
      </c>
      <c r="U264" s="7">
        <v>1.743849</v>
      </c>
      <c r="V264" s="7">
        <v>1.6451979999999999</v>
      </c>
      <c r="W264" s="4">
        <v>1.4613413071337036</v>
      </c>
      <c r="X264" s="4">
        <v>1.4898191655987469</v>
      </c>
      <c r="Y264" s="4">
        <v>1.1638511367966469</v>
      </c>
      <c r="Z264" s="4">
        <v>1.2146576908421187</v>
      </c>
      <c r="AA264" s="7">
        <v>5.4279400000000004</v>
      </c>
      <c r="AB264" s="7">
        <v>5.3803150000000004</v>
      </c>
      <c r="AC264" s="4">
        <v>5.3628079168446536</v>
      </c>
      <c r="AD264" s="4">
        <v>5.721628933504201</v>
      </c>
      <c r="AE264" s="4">
        <v>4.1512765146703927</v>
      </c>
      <c r="AF264" s="4">
        <v>4.3621237139591011</v>
      </c>
      <c r="AG264" s="7">
        <v>13.003629999999999</v>
      </c>
      <c r="AH264" s="7">
        <v>14.126200000000001</v>
      </c>
      <c r="AI264" s="4">
        <v>12.838245763918554</v>
      </c>
      <c r="AJ264" s="4">
        <v>13.034742987327352</v>
      </c>
      <c r="AK264" s="4">
        <v>12.47847072272323</v>
      </c>
      <c r="AL264" s="4">
        <v>11.993268131588975</v>
      </c>
      <c r="AM264" s="7">
        <v>20.83445</v>
      </c>
      <c r="AN264" s="7">
        <v>19.242429999999999</v>
      </c>
      <c r="AO264" s="4">
        <v>19.644453937063933</v>
      </c>
      <c r="AP264" s="4">
        <v>19.764060942617114</v>
      </c>
      <c r="AQ264" s="4">
        <v>16.286421948431347</v>
      </c>
      <c r="AR264" s="4">
        <v>17.632795630636352</v>
      </c>
      <c r="AS264" s="7">
        <v>22.28359</v>
      </c>
      <c r="AT264" s="7">
        <v>23.11702</v>
      </c>
      <c r="AU264" s="4">
        <v>19.405239925957567</v>
      </c>
      <c r="AV264" s="4">
        <v>19.405239925957567</v>
      </c>
      <c r="AW264" s="4">
        <v>19.385621745205132</v>
      </c>
      <c r="AX264" s="4">
        <v>18.402514924425251</v>
      </c>
    </row>
    <row r="265" spans="1:75">
      <c r="A265" s="4">
        <v>5.0599999999999996</v>
      </c>
      <c r="B265" s="7">
        <v>15.772650000000001</v>
      </c>
      <c r="C265" s="7">
        <v>16.262499999999999</v>
      </c>
      <c r="D265" s="4">
        <v>14.028620247757368</v>
      </c>
      <c r="E265" s="4">
        <v>14.378897906877402</v>
      </c>
      <c r="F265" s="4">
        <v>13.804521783310047</v>
      </c>
      <c r="G265" s="4">
        <v>14.233837164994284</v>
      </c>
      <c r="H265" s="7">
        <v>24.423290000000001</v>
      </c>
      <c r="I265" s="7">
        <v>24.12734</v>
      </c>
      <c r="J265" s="4">
        <v>22.267264701694433</v>
      </c>
      <c r="K265" s="4">
        <v>22.888082016232381</v>
      </c>
      <c r="L265" s="4">
        <v>22.583894322367584</v>
      </c>
      <c r="M265" s="4">
        <v>21.770989457640034</v>
      </c>
      <c r="N265" s="7">
        <v>10000</v>
      </c>
      <c r="O265" s="7">
        <v>0.25864599999999999</v>
      </c>
      <c r="P265" s="7">
        <v>0.23313300000000001</v>
      </c>
      <c r="Q265" s="4">
        <v>0.22255446390431444</v>
      </c>
      <c r="R265" s="4">
        <v>0.19208315534671791</v>
      </c>
      <c r="S265" s="4">
        <v>0.22901054235996446</v>
      </c>
      <c r="T265" s="4">
        <v>0.22901054235996446</v>
      </c>
      <c r="U265" s="7">
        <v>2.4616169999999999</v>
      </c>
      <c r="V265" s="7">
        <v>2.135049</v>
      </c>
      <c r="W265" s="4">
        <v>1.9910294745835113</v>
      </c>
      <c r="X265" s="4">
        <v>1.9767905453509897</v>
      </c>
      <c r="Y265" s="4">
        <v>1.5042550489013082</v>
      </c>
      <c r="Z265" s="4">
        <v>1.6998602819763751</v>
      </c>
      <c r="AA265" s="7">
        <v>6.9485200000000003</v>
      </c>
      <c r="AB265" s="7">
        <v>7.1220090000000003</v>
      </c>
      <c r="AC265" s="4">
        <v>6.6329204043855912</v>
      </c>
      <c r="AD265" s="4">
        <v>6.473444396981348</v>
      </c>
      <c r="AE265" s="4">
        <v>5.3477708624412559</v>
      </c>
      <c r="AF265" s="4">
        <v>5.6703924806300021</v>
      </c>
      <c r="AG265" s="7">
        <v>15.531129999999999</v>
      </c>
      <c r="AH265" s="7">
        <v>17.02449</v>
      </c>
      <c r="AI265" s="4">
        <v>13.607147942474725</v>
      </c>
      <c r="AJ265" s="4">
        <v>15.144952299587072</v>
      </c>
      <c r="AK265" s="4">
        <v>14.061094881239679</v>
      </c>
      <c r="AL265" s="4">
        <v>14.858757779753589</v>
      </c>
      <c r="AM265" s="7">
        <v>22.014849999999999</v>
      </c>
      <c r="AN265" s="7">
        <v>22.906110000000002</v>
      </c>
      <c r="AO265" s="4">
        <v>20.191228819592766</v>
      </c>
      <c r="AP265" s="4">
        <v>19.704257439840525</v>
      </c>
      <c r="AQ265" s="4">
        <v>19.865743680934841</v>
      </c>
      <c r="AR265" s="4">
        <v>20.170583005207671</v>
      </c>
      <c r="AS265" s="7">
        <v>26.362290000000002</v>
      </c>
      <c r="AT265" s="7">
        <v>26.443930000000002</v>
      </c>
      <c r="AU265" s="4">
        <v>23.525986045849354</v>
      </c>
      <c r="AV265" s="4">
        <v>23.961697280364518</v>
      </c>
      <c r="AW265" s="4">
        <v>21.181633430712562</v>
      </c>
      <c r="AX265" s="4">
        <v>20.859011812523814</v>
      </c>
    </row>
    <row r="266" spans="1:75">
      <c r="A266" s="4">
        <v>7.69</v>
      </c>
      <c r="B266" s="7">
        <v>22.62717</v>
      </c>
      <c r="C266" s="7">
        <v>22.35163</v>
      </c>
      <c r="D266" s="4">
        <v>19.05211448099103</v>
      </c>
      <c r="E266" s="4">
        <v>19.05211448099103</v>
      </c>
      <c r="F266" s="4">
        <v>18.460942461577545</v>
      </c>
      <c r="G266" s="4">
        <v>19.865743680934841</v>
      </c>
      <c r="H266" s="7">
        <v>27.348790000000001</v>
      </c>
      <c r="I266" s="7">
        <v>26.688849999999999</v>
      </c>
      <c r="J266" s="4">
        <v>23.813612416346292</v>
      </c>
      <c r="K266" s="4">
        <v>21.595187241919408</v>
      </c>
      <c r="L266" s="4">
        <v>24.750793852406961</v>
      </c>
      <c r="M266" s="4">
        <v>22.863330369617682</v>
      </c>
      <c r="N266" s="7">
        <v>100000</v>
      </c>
      <c r="O266" s="7">
        <v>0.260687</v>
      </c>
      <c r="P266" s="7">
        <v>0.284499</v>
      </c>
      <c r="Q266" s="4">
        <v>0.19436138402392142</v>
      </c>
      <c r="R266" s="4">
        <v>0.18553324789975797</v>
      </c>
      <c r="S266" s="4">
        <v>0.18709513527245017</v>
      </c>
      <c r="T266" s="4">
        <v>0.17388543122062744</v>
      </c>
      <c r="U266" s="7">
        <v>3.6964510000000002</v>
      </c>
      <c r="V266" s="7">
        <v>3.6726390000000002</v>
      </c>
      <c r="W266" s="4">
        <v>2.1875266979923111</v>
      </c>
      <c r="X266" s="4">
        <v>2.3356115620105369</v>
      </c>
      <c r="Y266" s="4">
        <v>1.9462720690969135</v>
      </c>
      <c r="Z266" s="4">
        <v>1.8522799441127906</v>
      </c>
      <c r="AA266" s="7">
        <v>9.3637599999999992</v>
      </c>
      <c r="AB266" s="7">
        <v>9.479419</v>
      </c>
      <c r="AC266" s="4">
        <v>7.3875836537092416</v>
      </c>
      <c r="AD266" s="4">
        <v>7.0116759219706681</v>
      </c>
      <c r="AE266" s="4">
        <v>6.3334180109234097</v>
      </c>
      <c r="AF266" s="4">
        <v>6.2953130953893055</v>
      </c>
      <c r="AG266" s="7">
        <v>17.02449</v>
      </c>
      <c r="AH266" s="7">
        <v>18.436219999999999</v>
      </c>
      <c r="AI266" s="4">
        <v>15.760074042432009</v>
      </c>
      <c r="AJ266" s="4">
        <v>16.449238217286059</v>
      </c>
      <c r="AK266" s="4">
        <v>15.89267115457894</v>
      </c>
      <c r="AL266" s="4">
        <v>16.385494728820017</v>
      </c>
      <c r="AM266" s="7">
        <v>24.423290000000001</v>
      </c>
      <c r="AN266" s="7">
        <v>24.12734</v>
      </c>
      <c r="AO266" s="4">
        <v>22.267264701694433</v>
      </c>
      <c r="AP266" s="4">
        <v>22.888082016232381</v>
      </c>
      <c r="AQ266" s="4">
        <v>22.583894322367584</v>
      </c>
      <c r="AR266" s="4">
        <v>21.770989457640034</v>
      </c>
      <c r="AS266" s="7">
        <v>27.348790000000001</v>
      </c>
      <c r="AT266" s="7">
        <v>26.688849999999999</v>
      </c>
      <c r="AU266" s="4">
        <v>23.813612416346292</v>
      </c>
      <c r="AV266" s="4">
        <v>21.595187241919408</v>
      </c>
      <c r="AW266" s="4">
        <v>24.750793852406961</v>
      </c>
      <c r="AX266" s="4">
        <v>22.863330369617682</v>
      </c>
    </row>
    <row r="272" spans="1:75">
      <c r="U272" s="4" t="s">
        <v>2025</v>
      </c>
      <c r="V272" s="4">
        <v>0</v>
      </c>
      <c r="AE272" s="9">
        <v>0.2</v>
      </c>
      <c r="AF272" s="9"/>
      <c r="AG272" s="9"/>
      <c r="AH272" s="9"/>
      <c r="AI272" s="9"/>
      <c r="AJ272" s="9"/>
      <c r="AK272" s="9"/>
      <c r="AL272" s="9"/>
      <c r="AM272" s="9"/>
      <c r="AN272" s="9">
        <v>0.7</v>
      </c>
      <c r="AO272" s="9"/>
      <c r="AP272" s="9"/>
      <c r="AQ272" s="9"/>
      <c r="AR272" s="9"/>
      <c r="AS272" s="9"/>
      <c r="AT272" s="9"/>
      <c r="AU272" s="9"/>
      <c r="AV272" s="9"/>
      <c r="AW272" s="9">
        <v>2.23</v>
      </c>
      <c r="AX272" s="9"/>
      <c r="AY272" s="9"/>
      <c r="AZ272" s="9"/>
      <c r="BA272" s="9"/>
      <c r="BB272" s="9"/>
      <c r="BC272" s="9"/>
      <c r="BD272" s="9"/>
      <c r="BE272" s="9"/>
      <c r="BF272" s="9">
        <v>4.8433333333333337</v>
      </c>
      <c r="BG272" s="9"/>
      <c r="BH272" s="9"/>
      <c r="BI272" s="9"/>
      <c r="BJ272" s="9"/>
      <c r="BK272" s="9"/>
      <c r="BL272" s="9"/>
      <c r="BM272" s="9"/>
      <c r="BN272" s="9"/>
      <c r="BO272" s="9">
        <v>8.3633333333333333</v>
      </c>
      <c r="BP272" s="9"/>
      <c r="BQ272" s="9"/>
      <c r="BR272" s="9"/>
      <c r="BS272" s="9"/>
      <c r="BT272" s="9"/>
      <c r="BU272" s="9"/>
      <c r="BV272" s="9"/>
      <c r="BW272" s="9"/>
    </row>
    <row r="273" spans="1:75" ht="15"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U273" s="4" t="s">
        <v>2026</v>
      </c>
      <c r="V273" s="218">
        <v>0</v>
      </c>
      <c r="W273" s="218"/>
      <c r="X273" s="218"/>
      <c r="Y273" s="218">
        <v>0</v>
      </c>
      <c r="Z273" s="218"/>
      <c r="AA273" s="218"/>
      <c r="AB273" s="9">
        <v>0</v>
      </c>
      <c r="AC273" s="9"/>
      <c r="AD273" s="9"/>
      <c r="AE273" s="9"/>
      <c r="AF273" s="9"/>
      <c r="AG273" s="9"/>
      <c r="AH273" s="9">
        <v>0.17</v>
      </c>
      <c r="AI273" s="9"/>
      <c r="AJ273" s="9"/>
      <c r="AK273" s="9">
        <v>0.23</v>
      </c>
      <c r="AL273" s="9"/>
      <c r="AM273" s="9"/>
      <c r="AN273" s="9"/>
      <c r="AO273" s="9"/>
      <c r="AP273" s="9"/>
      <c r="AQ273" s="9">
        <v>0.64</v>
      </c>
      <c r="AR273" s="9"/>
      <c r="AS273" s="9"/>
      <c r="AT273" s="9">
        <v>0.76</v>
      </c>
      <c r="AU273" s="9"/>
      <c r="AV273" s="9"/>
      <c r="AW273" s="9">
        <v>2.12</v>
      </c>
      <c r="AX273" s="9"/>
      <c r="AY273" s="9"/>
      <c r="AZ273" s="9">
        <v>2.25</v>
      </c>
      <c r="BA273" s="9"/>
      <c r="BB273" s="9"/>
      <c r="BC273" s="9">
        <v>2.3199999999999998</v>
      </c>
      <c r="BD273" s="9"/>
      <c r="BE273" s="9"/>
      <c r="BF273" s="9">
        <v>4.66</v>
      </c>
      <c r="BG273" s="9"/>
      <c r="BH273" s="9"/>
      <c r="BI273" s="9">
        <v>5.19</v>
      </c>
      <c r="BJ273" s="9"/>
      <c r="BK273" s="9"/>
      <c r="BL273" s="9">
        <v>4.68</v>
      </c>
      <c r="BM273" s="9"/>
      <c r="BN273" s="9"/>
      <c r="BO273" s="9">
        <v>8.1</v>
      </c>
      <c r="BP273" s="9"/>
      <c r="BQ273" s="9"/>
      <c r="BR273" s="9">
        <v>8.92</v>
      </c>
      <c r="BS273" s="9"/>
      <c r="BT273" s="9"/>
      <c r="BU273" s="9">
        <v>8.07</v>
      </c>
      <c r="BV273" s="9"/>
      <c r="BW273" s="9"/>
    </row>
    <row r="274" spans="1:75" ht="17.25">
      <c r="A274" s="68" t="s">
        <v>2084</v>
      </c>
      <c r="B274" s="244" t="s">
        <v>2112</v>
      </c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U274" s="4" t="s">
        <v>2085</v>
      </c>
      <c r="V274" s="4" t="s">
        <v>2028</v>
      </c>
      <c r="W274" s="4" t="s">
        <v>2029</v>
      </c>
      <c r="X274" s="4" t="s">
        <v>2030</v>
      </c>
      <c r="Y274" s="4" t="s">
        <v>2031</v>
      </c>
      <c r="Z274" s="4" t="s">
        <v>2032</v>
      </c>
      <c r="AA274" s="4" t="s">
        <v>2033</v>
      </c>
      <c r="AB274" s="4" t="s">
        <v>2034</v>
      </c>
      <c r="AC274" s="4" t="s">
        <v>2035</v>
      </c>
      <c r="AD274" s="4" t="s">
        <v>2036</v>
      </c>
      <c r="AE274" s="4" t="s">
        <v>2028</v>
      </c>
      <c r="AF274" s="4" t="s">
        <v>2029</v>
      </c>
      <c r="AG274" s="4" t="s">
        <v>2030</v>
      </c>
      <c r="AH274" s="4" t="s">
        <v>2031</v>
      </c>
      <c r="AI274" s="4" t="s">
        <v>2032</v>
      </c>
      <c r="AJ274" s="4" t="s">
        <v>2033</v>
      </c>
      <c r="AK274" s="4" t="s">
        <v>2034</v>
      </c>
      <c r="AL274" s="4" t="s">
        <v>2035</v>
      </c>
      <c r="AM274" s="4" t="s">
        <v>2036</v>
      </c>
      <c r="AN274" s="4" t="s">
        <v>2028</v>
      </c>
      <c r="AO274" s="4" t="s">
        <v>2029</v>
      </c>
      <c r="AP274" s="4" t="s">
        <v>2030</v>
      </c>
      <c r="AQ274" s="4" t="s">
        <v>2031</v>
      </c>
      <c r="AR274" s="4" t="s">
        <v>2032</v>
      </c>
      <c r="AS274" s="4" t="s">
        <v>2033</v>
      </c>
      <c r="AT274" s="4" t="s">
        <v>2034</v>
      </c>
      <c r="AU274" s="4" t="s">
        <v>2035</v>
      </c>
      <c r="AV274" s="4" t="s">
        <v>2036</v>
      </c>
      <c r="AW274" s="4" t="s">
        <v>2028</v>
      </c>
      <c r="AX274" s="4" t="s">
        <v>2029</v>
      </c>
      <c r="AY274" s="4" t="s">
        <v>2030</v>
      </c>
      <c r="AZ274" s="4" t="s">
        <v>2031</v>
      </c>
      <c r="BA274" s="4" t="s">
        <v>2032</v>
      </c>
      <c r="BB274" s="4" t="s">
        <v>2033</v>
      </c>
      <c r="BC274" s="4" t="s">
        <v>2034</v>
      </c>
      <c r="BD274" s="4" t="s">
        <v>2035</v>
      </c>
      <c r="BE274" s="4" t="s">
        <v>2036</v>
      </c>
      <c r="BF274" s="4" t="s">
        <v>2028</v>
      </c>
      <c r="BG274" s="4" t="s">
        <v>2029</v>
      </c>
      <c r="BH274" s="4" t="s">
        <v>2030</v>
      </c>
      <c r="BI274" s="4" t="s">
        <v>2031</v>
      </c>
      <c r="BJ274" s="4" t="s">
        <v>2032</v>
      </c>
      <c r="BK274" s="4" t="s">
        <v>2033</v>
      </c>
      <c r="BL274" s="4" t="s">
        <v>2034</v>
      </c>
      <c r="BM274" s="4" t="s">
        <v>2035</v>
      </c>
      <c r="BN274" s="4" t="s">
        <v>2036</v>
      </c>
      <c r="BO274" s="4" t="s">
        <v>2028</v>
      </c>
      <c r="BP274" s="4" t="s">
        <v>2029</v>
      </c>
      <c r="BQ274" s="4" t="s">
        <v>2030</v>
      </c>
      <c r="BR274" s="4" t="s">
        <v>2031</v>
      </c>
      <c r="BS274" s="4" t="s">
        <v>2032</v>
      </c>
      <c r="BT274" s="4" t="s">
        <v>2033</v>
      </c>
      <c r="BU274" s="4" t="s">
        <v>2034</v>
      </c>
      <c r="BV274" s="4" t="s">
        <v>2035</v>
      </c>
      <c r="BW274" s="4" t="s">
        <v>2036</v>
      </c>
    </row>
    <row r="275" spans="1:75">
      <c r="A275" s="4" t="s">
        <v>1725</v>
      </c>
      <c r="B275" s="258">
        <v>0</v>
      </c>
      <c r="C275" s="258"/>
      <c r="D275" s="258"/>
      <c r="E275" s="258"/>
      <c r="F275" s="258"/>
      <c r="G275" s="258"/>
      <c r="H275" s="258"/>
      <c r="I275" s="258"/>
      <c r="J275" s="258"/>
      <c r="K275" s="260">
        <v>1000</v>
      </c>
      <c r="L275" s="260"/>
      <c r="M275" s="260"/>
      <c r="N275" s="260"/>
      <c r="O275" s="260"/>
      <c r="P275" s="260"/>
      <c r="Q275" s="260"/>
      <c r="R275" s="260"/>
      <c r="S275" s="260"/>
      <c r="U275" s="4">
        <v>0</v>
      </c>
      <c r="V275" s="4">
        <v>1.2599000000000001E-2</v>
      </c>
      <c r="W275" s="4">
        <v>1.6191000000000001E-2</v>
      </c>
      <c r="X275" s="4">
        <v>1.9002000000000002E-2</v>
      </c>
      <c r="Y275" s="4">
        <v>1.4999999999999999E-2</v>
      </c>
      <c r="Z275" s="4">
        <v>1.1294E-2</v>
      </c>
      <c r="AA275" s="4">
        <v>1.9941E-2</v>
      </c>
      <c r="AB275" s="4">
        <v>1.5643000000000001E-2</v>
      </c>
      <c r="AC275" s="4">
        <v>1.5643000000000001E-2</v>
      </c>
      <c r="AD275" s="4">
        <v>1.4936E-2</v>
      </c>
      <c r="AH275" s="4">
        <v>2.2058999999999999E-2</v>
      </c>
      <c r="AI275" s="4">
        <v>2.7882000000000001E-2</v>
      </c>
      <c r="AJ275" s="4">
        <v>2.1000000000000001E-2</v>
      </c>
      <c r="AK275" s="4">
        <v>1.7763000000000001E-2</v>
      </c>
      <c r="AL275" s="4">
        <v>2.2286E-2</v>
      </c>
      <c r="AM275" s="4">
        <v>1.6773E-2</v>
      </c>
      <c r="AQ275" s="4">
        <v>2.2412000000000001E-2</v>
      </c>
      <c r="AR275" s="4">
        <v>2.4528999999999999E-2</v>
      </c>
      <c r="AS275" s="4">
        <v>2.3118E-2</v>
      </c>
      <c r="AT275" s="4">
        <v>2.6668000000000001E-2</v>
      </c>
      <c r="AU275" s="4">
        <v>2.1579000000000001E-2</v>
      </c>
      <c r="AV275" s="4">
        <v>2.3982E-2</v>
      </c>
      <c r="AW275" s="4">
        <v>4.2273999999999999E-2</v>
      </c>
      <c r="AX275" s="4">
        <v>4.7897000000000002E-2</v>
      </c>
      <c r="AY275" s="4">
        <v>4.3055000000000003E-2</v>
      </c>
      <c r="AZ275" s="4">
        <v>3.6353000000000003E-2</v>
      </c>
      <c r="BA275" s="4">
        <v>4.3235000000000003E-2</v>
      </c>
      <c r="BB275" s="4">
        <v>4.1118000000000002E-2</v>
      </c>
      <c r="BC275" s="4">
        <v>4.2782000000000001E-2</v>
      </c>
      <c r="BD275" s="4">
        <v>3.8540999999999999E-2</v>
      </c>
      <c r="BE275" s="4">
        <v>4.1933999999999999E-2</v>
      </c>
      <c r="BF275" s="4">
        <v>0.111308</v>
      </c>
      <c r="BG275" s="4">
        <v>0.114431</v>
      </c>
      <c r="BH275" s="4">
        <v>0.11287</v>
      </c>
      <c r="BI275" s="4">
        <v>0.109412</v>
      </c>
      <c r="BJ275" s="4">
        <v>0.13058800000000001</v>
      </c>
      <c r="BK275" s="4">
        <v>0.105882</v>
      </c>
      <c r="BL275" s="4">
        <v>0.110912</v>
      </c>
      <c r="BM275" s="4">
        <v>0.109499</v>
      </c>
      <c r="BN275" s="4">
        <v>0.108085</v>
      </c>
      <c r="BO275" s="4">
        <v>0.40024999999999999</v>
      </c>
      <c r="BP275" s="4">
        <v>0.40493499999999999</v>
      </c>
      <c r="BQ275" s="4">
        <v>0.39087899999999998</v>
      </c>
      <c r="BR275" s="4">
        <v>0.41117599999999999</v>
      </c>
      <c r="BS275" s="4">
        <v>0.434118</v>
      </c>
      <c r="BT275" s="4">
        <v>0.40764699999999998</v>
      </c>
      <c r="BU275" s="4">
        <v>0.342725</v>
      </c>
      <c r="BV275" s="4">
        <v>0.33848499999999998</v>
      </c>
      <c r="BW275" s="4">
        <v>0.35403299999999999</v>
      </c>
    </row>
    <row r="276" spans="1:75">
      <c r="A276" s="4">
        <v>0</v>
      </c>
      <c r="B276" s="4">
        <v>1.2599000000000001E-2</v>
      </c>
      <c r="C276" s="4">
        <v>1.6191000000000001E-2</v>
      </c>
      <c r="D276" s="4">
        <v>1.9002000000000002E-2</v>
      </c>
      <c r="E276" s="4">
        <v>1.4999999999999999E-2</v>
      </c>
      <c r="F276" s="4">
        <v>1.1294E-2</v>
      </c>
      <c r="G276" s="4">
        <v>1.9941E-2</v>
      </c>
      <c r="H276" s="4">
        <v>1.5643000000000001E-2</v>
      </c>
      <c r="I276" s="4">
        <v>1.5643000000000001E-2</v>
      </c>
      <c r="J276" s="4">
        <v>1.4936E-2</v>
      </c>
      <c r="K276" s="4">
        <v>1.2286999999999999E-2</v>
      </c>
      <c r="L276" s="4">
        <v>1.3535999999999999E-2</v>
      </c>
      <c r="M276" s="4">
        <v>1.6191000000000001E-2</v>
      </c>
      <c r="N276" s="4">
        <v>1.0411999999999999E-2</v>
      </c>
      <c r="O276" s="4">
        <v>1.2881999999999999E-2</v>
      </c>
      <c r="P276" s="4">
        <v>1.6941000000000001E-2</v>
      </c>
      <c r="Q276" s="4">
        <v>1.4652999999999999E-2</v>
      </c>
      <c r="R276" s="4">
        <v>1.1402000000000001E-2</v>
      </c>
      <c r="S276" s="4">
        <v>1.225E-2</v>
      </c>
      <c r="U276" s="4">
        <v>1</v>
      </c>
      <c r="V276" s="4">
        <v>1.7128000000000001E-2</v>
      </c>
      <c r="W276" s="4">
        <v>1.9002000000000002E-2</v>
      </c>
      <c r="X276" s="4">
        <v>2.0251999999999999E-2</v>
      </c>
      <c r="Y276" s="4">
        <v>1.7999999999999999E-2</v>
      </c>
      <c r="Z276" s="4">
        <v>1.3587999999999999E-2</v>
      </c>
      <c r="AA276" s="4">
        <v>1.6587999999999999E-2</v>
      </c>
      <c r="AB276" s="4">
        <v>1.2533000000000001E-2</v>
      </c>
      <c r="AC276" s="4">
        <v>1.3098E-2</v>
      </c>
      <c r="AD276" s="4">
        <v>1.2815999999999999E-2</v>
      </c>
      <c r="AH276" s="4">
        <v>1.8353000000000001E-2</v>
      </c>
      <c r="AI276" s="4">
        <v>1.9588000000000001E-2</v>
      </c>
      <c r="AJ276" s="4">
        <v>1.6587999999999999E-2</v>
      </c>
      <c r="AK276" s="4">
        <v>1.6490999999999999E-2</v>
      </c>
      <c r="AL276" s="4">
        <v>1.4936E-2</v>
      </c>
      <c r="AM276" s="4">
        <v>1.4371E-2</v>
      </c>
      <c r="AQ276" s="4">
        <v>2.2058999999999999E-2</v>
      </c>
      <c r="AR276" s="4">
        <v>1.2352999999999999E-2</v>
      </c>
      <c r="AS276" s="4">
        <v>2.1353E-2</v>
      </c>
      <c r="AT276" s="4">
        <v>2.2568999999999999E-2</v>
      </c>
      <c r="AU276" s="4">
        <v>2.1579000000000001E-2</v>
      </c>
      <c r="AV276" s="4">
        <v>2.1014000000000001E-2</v>
      </c>
      <c r="AW276" s="4">
        <v>4.4304000000000003E-2</v>
      </c>
      <c r="AX276" s="4">
        <v>4.6647000000000001E-2</v>
      </c>
      <c r="AY276" s="4">
        <v>3.9307000000000002E-2</v>
      </c>
      <c r="AZ276" s="4">
        <v>3.4764999999999997E-2</v>
      </c>
      <c r="BA276" s="4">
        <v>3.8294000000000002E-2</v>
      </c>
      <c r="BB276" s="4">
        <v>3.1940999999999997E-2</v>
      </c>
      <c r="BC276" s="4">
        <v>3.4724999999999999E-2</v>
      </c>
      <c r="BD276" s="4">
        <v>3.8116999999999998E-2</v>
      </c>
      <c r="BE276" s="4">
        <v>3.7409999999999999E-2</v>
      </c>
      <c r="BF276" s="4">
        <v>0.12067899999999999</v>
      </c>
      <c r="BG276" s="4">
        <v>0.10349899999999999</v>
      </c>
      <c r="BH276" s="4">
        <v>0.109746</v>
      </c>
      <c r="BI276" s="4">
        <v>9.5294000000000004E-2</v>
      </c>
      <c r="BJ276" s="4">
        <v>0.104118</v>
      </c>
      <c r="BK276" s="4">
        <v>0.105882</v>
      </c>
      <c r="BL276" s="4">
        <v>0.11515300000000001</v>
      </c>
      <c r="BM276" s="4">
        <v>0.108085</v>
      </c>
      <c r="BN276" s="4">
        <v>0.119393</v>
      </c>
      <c r="BP276" s="4">
        <v>0.46584799999999998</v>
      </c>
      <c r="BQ276" s="4">
        <v>0.44710499999999997</v>
      </c>
      <c r="BR276" s="4">
        <v>0.42882399999999998</v>
      </c>
      <c r="BS276" s="4">
        <v>0.41117599999999999</v>
      </c>
      <c r="BT276" s="4">
        <v>0.44647100000000001</v>
      </c>
      <c r="BU276" s="4">
        <v>0.382303</v>
      </c>
      <c r="BV276" s="4">
        <v>0.40915899999999999</v>
      </c>
      <c r="BW276" s="4">
        <v>0.386544</v>
      </c>
    </row>
    <row r="277" spans="1:75">
      <c r="A277" s="4">
        <v>0.2</v>
      </c>
      <c r="E277" s="4">
        <v>2.2058999999999999E-2</v>
      </c>
      <c r="F277" s="4">
        <v>2.7882000000000001E-2</v>
      </c>
      <c r="G277" s="4">
        <v>2.1000000000000001E-2</v>
      </c>
      <c r="H277" s="4">
        <v>1.7763000000000001E-2</v>
      </c>
      <c r="I277" s="4">
        <v>2.2286E-2</v>
      </c>
      <c r="J277" s="4">
        <v>1.6773E-2</v>
      </c>
      <c r="N277" s="4">
        <v>0.183529</v>
      </c>
      <c r="O277" s="4">
        <v>0.17647099999999999</v>
      </c>
      <c r="P277" s="4">
        <v>0.18882399999999999</v>
      </c>
      <c r="Q277" s="4">
        <v>0.26922400000000002</v>
      </c>
      <c r="R277" s="4">
        <v>0.25791599999999998</v>
      </c>
      <c r="S277" s="4">
        <v>0.24660799999999999</v>
      </c>
      <c r="U277" s="4">
        <v>5</v>
      </c>
      <c r="V277" s="4">
        <v>1.6816000000000001E-2</v>
      </c>
      <c r="W277" s="4">
        <v>1.9314999999999999E-2</v>
      </c>
      <c r="X277" s="4">
        <v>2.1814E-2</v>
      </c>
      <c r="Y277" s="4">
        <v>1.2352999999999999E-2</v>
      </c>
      <c r="Z277" s="4">
        <v>1.0765E-2</v>
      </c>
      <c r="AA277" s="4">
        <v>1.6587999999999999E-2</v>
      </c>
      <c r="AB277" s="4">
        <v>1.6208E-2</v>
      </c>
      <c r="AC277" s="4">
        <v>1.6208E-2</v>
      </c>
      <c r="AD277" s="4">
        <v>1.6490999999999999E-2</v>
      </c>
      <c r="AH277" s="4">
        <v>1.6587999999999999E-2</v>
      </c>
      <c r="AI277" s="4">
        <v>2.1000000000000001E-2</v>
      </c>
      <c r="AJ277" s="4">
        <v>1.7999999999999999E-2</v>
      </c>
      <c r="AK277" s="4">
        <v>1.8752000000000001E-2</v>
      </c>
      <c r="AL277" s="4">
        <v>1.7479999999999999E-2</v>
      </c>
      <c r="AM277" s="4">
        <v>1.7479999999999999E-2</v>
      </c>
      <c r="AQ277" s="4">
        <v>2.2765000000000001E-2</v>
      </c>
      <c r="AR277" s="4">
        <v>2.6471000000000001E-2</v>
      </c>
      <c r="AS277" s="4">
        <v>2.4882000000000001E-2</v>
      </c>
      <c r="AT277" s="4">
        <v>3.8116999999999998E-2</v>
      </c>
      <c r="AU277" s="4">
        <v>2.5961000000000001E-2</v>
      </c>
      <c r="AV277" s="4">
        <v>3.1191E-2</v>
      </c>
      <c r="AW277" s="4">
        <v>0.12848799999999999</v>
      </c>
      <c r="AX277" s="4">
        <v>0.140983</v>
      </c>
      <c r="AY277" s="4">
        <v>0.122241</v>
      </c>
      <c r="AZ277" s="4">
        <v>5.0471000000000002E-2</v>
      </c>
      <c r="BA277" s="4">
        <v>5.6293999999999997E-2</v>
      </c>
      <c r="BB277" s="4">
        <v>5.2234999999999997E-2</v>
      </c>
      <c r="BC277" s="4">
        <v>8.5469000000000003E-2</v>
      </c>
      <c r="BD277" s="4">
        <v>8.4056000000000006E-2</v>
      </c>
      <c r="BE277" s="4">
        <v>8.6883000000000002E-2</v>
      </c>
      <c r="BF277" s="4">
        <v>0.37057499999999999</v>
      </c>
      <c r="BG277" s="4">
        <v>0.34089999999999998</v>
      </c>
      <c r="BH277" s="4">
        <v>0.33933799999999997</v>
      </c>
      <c r="BI277" s="4">
        <v>0.26117600000000002</v>
      </c>
      <c r="BJ277" s="4">
        <v>0.243529</v>
      </c>
      <c r="BK277" s="4">
        <v>0.27176499999999998</v>
      </c>
      <c r="BL277" s="4">
        <v>0.49962299999999998</v>
      </c>
      <c r="BM277" s="4">
        <v>0.47842099999999999</v>
      </c>
      <c r="BN277" s="4">
        <v>0.47417999999999999</v>
      </c>
      <c r="BO277" s="4">
        <v>1.6387959999999999</v>
      </c>
      <c r="BP277" s="4">
        <v>1.623178</v>
      </c>
      <c r="BQ277" s="4">
        <v>1.687214</v>
      </c>
      <c r="BR277" s="4">
        <v>1.173529</v>
      </c>
      <c r="BS277" s="4">
        <v>1.1576470000000001</v>
      </c>
      <c r="BT277" s="4">
        <v>1.212353</v>
      </c>
      <c r="BU277" s="4">
        <v>2.0742560000000001</v>
      </c>
      <c r="BV277" s="4">
        <v>2.0813229999999998</v>
      </c>
      <c r="BW277" s="4">
        <v>2.0092349999999999</v>
      </c>
    </row>
    <row r="278" spans="1:75">
      <c r="A278" s="4">
        <v>0.7</v>
      </c>
      <c r="E278" s="4">
        <v>2.2412000000000001E-2</v>
      </c>
      <c r="F278" s="4">
        <v>2.4528999999999999E-2</v>
      </c>
      <c r="G278" s="4">
        <v>2.3118E-2</v>
      </c>
      <c r="H278" s="4">
        <v>2.6668000000000001E-2</v>
      </c>
      <c r="I278" s="4">
        <v>2.1579000000000001E-2</v>
      </c>
      <c r="J278" s="4">
        <v>2.3982E-2</v>
      </c>
      <c r="N278" s="4">
        <v>2.5376470000000002</v>
      </c>
      <c r="O278" s="4">
        <v>2.4900000000000002</v>
      </c>
      <c r="P278" s="4">
        <v>2.4282349999999999</v>
      </c>
      <c r="Q278" s="4">
        <v>3.959857</v>
      </c>
      <c r="R278" s="4">
        <v>3.5513569999999999</v>
      </c>
      <c r="S278" s="4">
        <v>3.7322839999999999</v>
      </c>
      <c r="U278" s="4">
        <v>10</v>
      </c>
      <c r="V278" s="4">
        <v>1.7441000000000002E-2</v>
      </c>
      <c r="W278" s="4">
        <v>1.9626999999999999E-2</v>
      </c>
      <c r="X278" s="4">
        <v>2.1500999999999999E-2</v>
      </c>
      <c r="Y278" s="4">
        <v>7.5880000000000001E-3</v>
      </c>
      <c r="Z278" s="4">
        <v>1.3587999999999999E-2</v>
      </c>
      <c r="AA278" s="4">
        <v>1.5176E-2</v>
      </c>
      <c r="AB278" s="4">
        <v>1.7198000000000001E-2</v>
      </c>
      <c r="AC278" s="4">
        <v>1.5219E-2</v>
      </c>
      <c r="AD278" s="4">
        <v>1.7479999999999999E-2</v>
      </c>
      <c r="AH278" s="4">
        <v>1.8881999999999999E-2</v>
      </c>
      <c r="AI278" s="4">
        <v>1.8529E-2</v>
      </c>
      <c r="AJ278" s="4">
        <v>1.8529E-2</v>
      </c>
      <c r="AK278" s="4">
        <v>1.7479999999999999E-2</v>
      </c>
      <c r="AL278" s="4">
        <v>1.8046E-2</v>
      </c>
      <c r="AM278" s="4">
        <v>1.9317999999999998E-2</v>
      </c>
      <c r="AQ278" s="4">
        <v>3.4235000000000002E-2</v>
      </c>
      <c r="AR278" s="4">
        <v>2.6471000000000001E-2</v>
      </c>
      <c r="AS278" s="4">
        <v>3.3175999999999997E-2</v>
      </c>
      <c r="AT278" s="4">
        <v>5.0839000000000002E-2</v>
      </c>
      <c r="AU278" s="4">
        <v>4.5467E-2</v>
      </c>
      <c r="AV278" s="4">
        <v>4.5891000000000001E-2</v>
      </c>
      <c r="AW278" s="4">
        <v>0.51114099999999996</v>
      </c>
      <c r="AX278" s="4">
        <v>0.51270300000000002</v>
      </c>
      <c r="AY278" s="4">
        <v>0.51738899999999999</v>
      </c>
      <c r="AZ278" s="4">
        <v>0.121765</v>
      </c>
      <c r="BA278" s="4">
        <v>0.12705900000000001</v>
      </c>
      <c r="BB278" s="4">
        <v>0.11823500000000001</v>
      </c>
      <c r="BC278" s="4">
        <v>0.21692400000000001</v>
      </c>
      <c r="BD278" s="4">
        <v>0.221165</v>
      </c>
      <c r="BE278" s="4">
        <v>0.23388600000000001</v>
      </c>
      <c r="BF278" s="4">
        <v>1.5232190000000001</v>
      </c>
      <c r="BG278" s="4">
        <v>1.4466889999999999</v>
      </c>
      <c r="BH278" s="4">
        <v>1.5513330000000001</v>
      </c>
      <c r="BI278" s="4">
        <v>0.84</v>
      </c>
      <c r="BJ278" s="4">
        <v>0.70588200000000001</v>
      </c>
      <c r="BK278" s="4">
        <v>0.80647100000000005</v>
      </c>
      <c r="BL278" s="4">
        <v>1.7364299999999999</v>
      </c>
      <c r="BM278" s="4">
        <v>1.6176969999999999</v>
      </c>
      <c r="BN278" s="4">
        <v>1.5922540000000001</v>
      </c>
      <c r="BO278" s="4">
        <v>4.6094340000000003</v>
      </c>
      <c r="BP278" s="4">
        <v>4.7843609999999996</v>
      </c>
      <c r="BQ278" s="4">
        <v>4.8749479999999998</v>
      </c>
      <c r="BR278" s="4">
        <v>3.4764710000000001</v>
      </c>
      <c r="BS278" s="4">
        <v>3.4005879999999999</v>
      </c>
      <c r="BT278" s="4">
        <v>3.5523530000000001</v>
      </c>
      <c r="BU278" s="4">
        <v>4.611478</v>
      </c>
      <c r="BV278" s="4">
        <v>4.6694310000000003</v>
      </c>
      <c r="BW278" s="4">
        <v>4.5690730000000004</v>
      </c>
    </row>
    <row r="279" spans="1:75">
      <c r="A279" s="4">
        <v>2.23</v>
      </c>
      <c r="B279" s="4">
        <v>4.2273999999999999E-2</v>
      </c>
      <c r="C279" s="4">
        <v>4.7897000000000002E-2</v>
      </c>
      <c r="D279" s="4">
        <v>4.3055000000000003E-2</v>
      </c>
      <c r="E279" s="4">
        <v>3.6353000000000003E-2</v>
      </c>
      <c r="F279" s="4">
        <v>4.3235000000000003E-2</v>
      </c>
      <c r="G279" s="4">
        <v>4.1118000000000002E-2</v>
      </c>
      <c r="H279" s="4">
        <v>4.2782000000000001E-2</v>
      </c>
      <c r="I279" s="4">
        <v>3.8540999999999999E-2</v>
      </c>
      <c r="J279" s="4">
        <v>4.1933999999999999E-2</v>
      </c>
      <c r="K279" s="4">
        <v>13.25895</v>
      </c>
      <c r="L279" s="4">
        <v>13.17774</v>
      </c>
      <c r="M279" s="4">
        <v>13.09808</v>
      </c>
      <c r="N279" s="4">
        <v>10.85647</v>
      </c>
      <c r="O279" s="4">
        <v>10.822939999999999</v>
      </c>
      <c r="P279" s="4">
        <v>10.755879999999999</v>
      </c>
      <c r="Q279" s="4">
        <v>11.98992</v>
      </c>
      <c r="R279" s="4">
        <v>11.73549</v>
      </c>
      <c r="S279" s="4">
        <v>12.10158</v>
      </c>
      <c r="U279" s="4">
        <v>20</v>
      </c>
      <c r="V279" s="4">
        <v>1.213E-2</v>
      </c>
      <c r="W279" s="4">
        <v>1.9002000000000002E-2</v>
      </c>
      <c r="X279" s="4">
        <v>1.4161E-2</v>
      </c>
      <c r="Y279" s="4">
        <v>1.2352999999999999E-2</v>
      </c>
      <c r="Z279" s="4">
        <v>1.5176E-2</v>
      </c>
      <c r="AA279" s="4">
        <v>1.2881999999999999E-2</v>
      </c>
      <c r="AB279" s="4">
        <v>1.6773E-2</v>
      </c>
      <c r="AC279" s="4">
        <v>1.5219E-2</v>
      </c>
      <c r="AD279" s="4">
        <v>1.4088E-2</v>
      </c>
      <c r="AH279" s="4">
        <v>2.4528999999999999E-2</v>
      </c>
      <c r="AI279" s="4">
        <v>1.9941E-2</v>
      </c>
      <c r="AJ279" s="4">
        <v>2.6471000000000001E-2</v>
      </c>
      <c r="AK279" s="4">
        <v>2.2286E-2</v>
      </c>
      <c r="AL279" s="4">
        <v>2.0590000000000001E-2</v>
      </c>
      <c r="AM279" s="4">
        <v>2.2003000000000002E-2</v>
      </c>
      <c r="AQ279" s="4">
        <v>6.4765000000000003E-2</v>
      </c>
      <c r="AR279" s="4">
        <v>6.2824000000000005E-2</v>
      </c>
      <c r="AS279" s="4">
        <v>6.4765000000000003E-2</v>
      </c>
      <c r="AT279" s="4">
        <v>8.5469000000000003E-2</v>
      </c>
      <c r="AU279" s="4">
        <v>9.3950000000000006E-2</v>
      </c>
      <c r="AV279" s="4">
        <v>9.3950000000000006E-2</v>
      </c>
      <c r="AW279" s="4">
        <v>1.730945</v>
      </c>
      <c r="AX279" s="4">
        <v>1.645044</v>
      </c>
      <c r="AY279" s="4">
        <v>1.654415</v>
      </c>
      <c r="AZ279" s="4">
        <v>0.38294099999999998</v>
      </c>
      <c r="BA279" s="4">
        <v>0.40764699999999998</v>
      </c>
      <c r="BB279" s="4">
        <v>0.349412</v>
      </c>
      <c r="BC279" s="4">
        <v>0.69751200000000002</v>
      </c>
      <c r="BD279" s="4">
        <v>0.70316599999999996</v>
      </c>
      <c r="BE279" s="4">
        <v>0.71023400000000003</v>
      </c>
      <c r="BF279" s="4">
        <v>4.1471260000000001</v>
      </c>
      <c r="BG279" s="4">
        <v>4.0081220000000002</v>
      </c>
      <c r="BH279" s="4">
        <v>4.2783220000000002</v>
      </c>
      <c r="BI279" s="4">
        <v>2.3011759999999999</v>
      </c>
      <c r="BJ279" s="4">
        <v>2.0258820000000002</v>
      </c>
      <c r="BK279" s="4">
        <v>2.1123530000000001</v>
      </c>
      <c r="BL279" s="4">
        <v>4.0093290000000001</v>
      </c>
      <c r="BM279" s="4">
        <v>3.8750469999999999</v>
      </c>
      <c r="BN279" s="4">
        <v>3.9471349999999998</v>
      </c>
      <c r="BO279" s="4">
        <v>9.1731569999999998</v>
      </c>
      <c r="BP279" s="4">
        <v>9.5776760000000003</v>
      </c>
      <c r="BQ279" s="4">
        <v>9.696377</v>
      </c>
      <c r="BR279" s="4">
        <v>6.57</v>
      </c>
      <c r="BS279" s="4">
        <v>6.7764709999999999</v>
      </c>
      <c r="BT279" s="4">
        <v>6.8188240000000002</v>
      </c>
      <c r="BU279" s="4">
        <v>8.2173010000000009</v>
      </c>
      <c r="BV279" s="4">
        <v>8.1918579999999999</v>
      </c>
      <c r="BW279" s="4">
        <v>8.2413310000000006</v>
      </c>
    </row>
    <row r="280" spans="1:75">
      <c r="A280" s="4">
        <v>4.83</v>
      </c>
      <c r="B280" s="4">
        <v>0.111308</v>
      </c>
      <c r="C280" s="4">
        <v>0.114431</v>
      </c>
      <c r="D280" s="4">
        <v>0.11287</v>
      </c>
      <c r="E280" s="4">
        <v>0.109412</v>
      </c>
      <c r="F280" s="4">
        <v>0.13058800000000001</v>
      </c>
      <c r="G280" s="4">
        <v>0.105882</v>
      </c>
      <c r="H280" s="4">
        <v>0.110912</v>
      </c>
      <c r="I280" s="4">
        <v>0.109499</v>
      </c>
      <c r="J280" s="4">
        <v>0.108085</v>
      </c>
      <c r="K280" s="4">
        <v>19.803100000000001</v>
      </c>
      <c r="L280" s="4">
        <v>20.293520000000001</v>
      </c>
      <c r="M280" s="4">
        <v>20.168579999999999</v>
      </c>
      <c r="N280" s="4">
        <v>20.41412</v>
      </c>
      <c r="O280" s="4">
        <v>20.227060000000002</v>
      </c>
      <c r="P280" s="4">
        <v>20.227060000000002</v>
      </c>
      <c r="Q280" s="4">
        <v>19.754239999999999</v>
      </c>
      <c r="R280" s="4">
        <v>19.513950000000001</v>
      </c>
      <c r="S280" s="4">
        <v>18.925930000000001</v>
      </c>
      <c r="U280" s="4">
        <v>50</v>
      </c>
      <c r="V280" s="4">
        <v>1.5098E-2</v>
      </c>
      <c r="W280" s="4">
        <v>1.5254E-2</v>
      </c>
      <c r="X280" s="4">
        <v>1.9002000000000002E-2</v>
      </c>
      <c r="Y280" s="4">
        <v>1.4647E-2</v>
      </c>
      <c r="Z280" s="4">
        <v>8.8240000000000002E-3</v>
      </c>
      <c r="AA280" s="4">
        <v>1.6234999999999999E-2</v>
      </c>
      <c r="AB280" s="4">
        <v>1.5643000000000001E-2</v>
      </c>
      <c r="AC280" s="4">
        <v>1.3098E-2</v>
      </c>
      <c r="AD280" s="4">
        <v>1.4652999999999999E-2</v>
      </c>
      <c r="AH280" s="4">
        <v>3.8294000000000002E-2</v>
      </c>
      <c r="AI280" s="4">
        <v>3.9529000000000002E-2</v>
      </c>
      <c r="AJ280" s="4">
        <v>3.3529000000000003E-2</v>
      </c>
      <c r="AK280" s="4">
        <v>4.4337000000000001E-2</v>
      </c>
      <c r="AL280" s="4">
        <v>4.4337000000000001E-2</v>
      </c>
      <c r="AM280" s="4">
        <v>4.1227E-2</v>
      </c>
      <c r="AQ280" s="4">
        <v>0.16411800000000001</v>
      </c>
      <c r="AR280" s="4">
        <v>0.19058800000000001</v>
      </c>
      <c r="AS280" s="4">
        <v>0.192353</v>
      </c>
      <c r="AT280" s="4">
        <v>0.39219799999999999</v>
      </c>
      <c r="AU280" s="4">
        <v>0.39219799999999999</v>
      </c>
      <c r="AV280" s="4">
        <v>0.40915899999999999</v>
      </c>
      <c r="AW280" s="4">
        <v>4.8593289999999998</v>
      </c>
      <c r="AX280" s="4">
        <v>4.8140359999999998</v>
      </c>
      <c r="AY280" s="4">
        <v>4.5813199999999998</v>
      </c>
      <c r="AZ280" s="4">
        <v>1.6570590000000001</v>
      </c>
      <c r="BA280" s="4">
        <v>1.8405879999999999</v>
      </c>
      <c r="BB280" s="4">
        <v>1.5335289999999999</v>
      </c>
      <c r="BC280" s="4">
        <v>3.2333210000000001</v>
      </c>
      <c r="BD280" s="4">
        <v>3.1145870000000002</v>
      </c>
      <c r="BE280" s="4">
        <v>3.2531099999999999</v>
      </c>
      <c r="BF280" s="4">
        <v>9.2028320000000008</v>
      </c>
      <c r="BG280" s="4">
        <v>9.4308619999999994</v>
      </c>
      <c r="BH280" s="4">
        <v>9.696377</v>
      </c>
      <c r="BI280" s="4">
        <v>6.9670589999999999</v>
      </c>
      <c r="BJ280" s="4">
        <v>6.39</v>
      </c>
      <c r="BK280" s="4">
        <v>6.9458820000000001</v>
      </c>
      <c r="BL280" s="4">
        <v>9.5233699999999999</v>
      </c>
      <c r="BM280" s="4">
        <v>9.6421030000000005</v>
      </c>
      <c r="BN280" s="4">
        <v>8.9014319999999998</v>
      </c>
      <c r="BO280" s="4">
        <v>14.58028</v>
      </c>
      <c r="BP280" s="4">
        <v>15.080069999999999</v>
      </c>
      <c r="BQ280" s="4">
        <v>14.670870000000001</v>
      </c>
      <c r="BR280" s="4">
        <v>12.931760000000001</v>
      </c>
      <c r="BS280" s="4">
        <v>12.734120000000001</v>
      </c>
      <c r="BT280" s="4">
        <v>12.852349999999999</v>
      </c>
      <c r="BU280" s="4">
        <v>14.76885</v>
      </c>
      <c r="BV280" s="4">
        <v>14.19214</v>
      </c>
      <c r="BW280" s="4">
        <v>14.58933</v>
      </c>
    </row>
    <row r="281" spans="1:75">
      <c r="A281" s="4">
        <v>8.36</v>
      </c>
      <c r="B281" s="4">
        <v>0.40024999999999999</v>
      </c>
      <c r="C281" s="4">
        <v>0.40493499999999999</v>
      </c>
      <c r="D281" s="4">
        <v>0.39087899999999998</v>
      </c>
      <c r="E281" s="4">
        <v>0.41117599999999999</v>
      </c>
      <c r="F281" s="4">
        <v>0.434118</v>
      </c>
      <c r="G281" s="4">
        <v>0.40764699999999998</v>
      </c>
      <c r="H281" s="4">
        <v>0.342725</v>
      </c>
      <c r="I281" s="4">
        <v>0.33848499999999998</v>
      </c>
      <c r="J281" s="4">
        <v>0.35403299999999999</v>
      </c>
      <c r="K281" s="4">
        <v>23.357869999999998</v>
      </c>
      <c r="L281" s="4">
        <v>23.42972</v>
      </c>
      <c r="M281" s="4">
        <v>22.65504</v>
      </c>
      <c r="N281" s="4">
        <v>25.21059</v>
      </c>
      <c r="O281" s="4">
        <v>25.286470000000001</v>
      </c>
      <c r="P281" s="4">
        <v>24.079409999999999</v>
      </c>
      <c r="Q281" s="4">
        <v>23.018000000000001</v>
      </c>
      <c r="R281" s="4">
        <v>22.462499999999999</v>
      </c>
      <c r="S281" s="4">
        <v>21.719000000000001</v>
      </c>
      <c r="U281" s="4">
        <v>100</v>
      </c>
      <c r="V281" s="4">
        <v>1.2599000000000001E-2</v>
      </c>
      <c r="W281" s="4">
        <v>1.7128000000000001E-2</v>
      </c>
      <c r="X281" s="4">
        <v>1.3847999999999999E-2</v>
      </c>
      <c r="Y281" s="4">
        <v>1.4999999999999999E-2</v>
      </c>
      <c r="Z281" s="4">
        <v>1.5528999999999999E-2</v>
      </c>
      <c r="AA281" s="4">
        <v>1.3941E-2</v>
      </c>
      <c r="AB281" s="4">
        <v>1.6490999999999999E-2</v>
      </c>
      <c r="AC281" s="4">
        <v>1.4371E-2</v>
      </c>
      <c r="AD281" s="4">
        <v>1.6773E-2</v>
      </c>
      <c r="AH281" s="4">
        <v>7.0058999999999996E-2</v>
      </c>
      <c r="AI281" s="4">
        <v>5.5412000000000003E-2</v>
      </c>
      <c r="AJ281" s="4">
        <v>0.06</v>
      </c>
      <c r="AK281" s="4">
        <v>6.5680000000000002E-2</v>
      </c>
      <c r="AL281" s="4">
        <v>6.0026000000000003E-2</v>
      </c>
      <c r="AM281" s="4">
        <v>6.2853000000000006E-2</v>
      </c>
      <c r="AQ281" s="4">
        <v>0.35823500000000003</v>
      </c>
      <c r="AR281" s="4">
        <v>0.36</v>
      </c>
      <c r="AS281" s="4">
        <v>0.38117600000000001</v>
      </c>
      <c r="AT281" s="4">
        <v>0.74415799999999999</v>
      </c>
      <c r="AU281" s="4">
        <v>0.76818699999999995</v>
      </c>
      <c r="AV281" s="4">
        <v>0.775254</v>
      </c>
      <c r="AW281" s="4">
        <v>7.373907</v>
      </c>
      <c r="AX281" s="4">
        <v>7.0615370000000004</v>
      </c>
      <c r="AY281" s="4">
        <v>7.4192</v>
      </c>
      <c r="AZ281" s="4">
        <v>3.817059</v>
      </c>
      <c r="BA281" s="4">
        <v>4.1258819999999998</v>
      </c>
      <c r="BB281" s="4">
        <v>3.7941180000000001</v>
      </c>
      <c r="BC281" s="4">
        <v>5.2206939999999999</v>
      </c>
      <c r="BD281" s="4">
        <v>5.1245760000000002</v>
      </c>
      <c r="BE281" s="4">
        <v>5.2037319999999996</v>
      </c>
      <c r="BF281" s="4">
        <v>12.28124</v>
      </c>
      <c r="BG281" s="4">
        <v>12.546749999999999</v>
      </c>
      <c r="BH281" s="4">
        <v>12.74042</v>
      </c>
      <c r="BI281" s="4">
        <v>10.92353</v>
      </c>
      <c r="BJ281" s="4">
        <v>10.145289999999999</v>
      </c>
      <c r="BK281" s="4">
        <v>10.145289999999999</v>
      </c>
      <c r="BL281" s="4">
        <v>12.25</v>
      </c>
      <c r="BM281" s="4">
        <v>12.905860000000001</v>
      </c>
      <c r="BN281" s="4">
        <v>12.28816</v>
      </c>
      <c r="BO281" s="4">
        <v>17.307269999999999</v>
      </c>
      <c r="BP281" s="4">
        <v>17.73678</v>
      </c>
      <c r="BQ281" s="4">
        <v>17.955439999999999</v>
      </c>
      <c r="BR281" s="4">
        <v>14.44059</v>
      </c>
      <c r="BS281" s="4">
        <v>14.618819999999999</v>
      </c>
      <c r="BT281" s="4">
        <v>14.09118</v>
      </c>
      <c r="BU281" s="4">
        <v>17.31879</v>
      </c>
      <c r="BV281" s="4">
        <v>16.643139999999999</v>
      </c>
      <c r="BW281" s="4">
        <v>16.848099999999999</v>
      </c>
    </row>
    <row r="282" spans="1:75">
      <c r="U282" s="4">
        <v>1000</v>
      </c>
      <c r="V282" s="4">
        <v>1.2286999999999999E-2</v>
      </c>
      <c r="W282" s="4">
        <v>1.3535999999999999E-2</v>
      </c>
      <c r="X282" s="4">
        <v>1.6191000000000001E-2</v>
      </c>
      <c r="Y282" s="4">
        <v>1.0411999999999999E-2</v>
      </c>
      <c r="Z282" s="4">
        <v>1.2881999999999999E-2</v>
      </c>
      <c r="AA282" s="4">
        <v>1.6941000000000001E-2</v>
      </c>
      <c r="AB282" s="4">
        <v>1.4652999999999999E-2</v>
      </c>
      <c r="AC282" s="4">
        <v>1.1402000000000001E-2</v>
      </c>
      <c r="AD282" s="4">
        <v>1.225E-2</v>
      </c>
      <c r="AH282" s="4">
        <v>0.183529</v>
      </c>
      <c r="AI282" s="4">
        <v>0.17647099999999999</v>
      </c>
      <c r="AJ282" s="4">
        <v>0.18882399999999999</v>
      </c>
      <c r="AK282" s="4">
        <v>0.26922400000000002</v>
      </c>
      <c r="AL282" s="4">
        <v>0.25791599999999998</v>
      </c>
      <c r="AM282" s="4">
        <v>0.24660799999999999</v>
      </c>
      <c r="AQ282" s="4">
        <v>2.5376470000000002</v>
      </c>
      <c r="AR282" s="4">
        <v>2.4900000000000002</v>
      </c>
      <c r="AS282" s="4">
        <v>2.4282349999999999</v>
      </c>
      <c r="AT282" s="4">
        <v>3.959857</v>
      </c>
      <c r="AU282" s="4">
        <v>3.5513569999999999</v>
      </c>
      <c r="AV282" s="4">
        <v>3.7322839999999999</v>
      </c>
      <c r="AW282" s="4">
        <v>13.25895</v>
      </c>
      <c r="AX282" s="4">
        <v>13.17774</v>
      </c>
      <c r="AY282" s="4">
        <v>13.09808</v>
      </c>
      <c r="AZ282" s="4">
        <v>10.85647</v>
      </c>
      <c r="BA282" s="4">
        <v>10.822939999999999</v>
      </c>
      <c r="BB282" s="4">
        <v>10.755879999999999</v>
      </c>
      <c r="BC282" s="4">
        <v>11.98992</v>
      </c>
      <c r="BD282" s="4">
        <v>11.73549</v>
      </c>
      <c r="BE282" s="4">
        <v>12.10158</v>
      </c>
      <c r="BF282" s="4">
        <v>19.803100000000001</v>
      </c>
      <c r="BG282" s="4">
        <v>20.293520000000001</v>
      </c>
      <c r="BH282" s="4">
        <v>20.168579999999999</v>
      </c>
      <c r="BI282" s="4">
        <v>20.41412</v>
      </c>
      <c r="BJ282" s="4">
        <v>20.227060000000002</v>
      </c>
      <c r="BK282" s="4">
        <v>20.227060000000002</v>
      </c>
      <c r="BL282" s="4">
        <v>19.754239999999999</v>
      </c>
      <c r="BM282" s="4">
        <v>19.513950000000001</v>
      </c>
      <c r="BN282" s="4">
        <v>18.925930000000001</v>
      </c>
      <c r="BO282" s="4">
        <v>23.357869999999998</v>
      </c>
      <c r="BP282" s="4">
        <v>23.42972</v>
      </c>
      <c r="BQ282" s="4">
        <v>22.65504</v>
      </c>
      <c r="BR282" s="4">
        <v>25.21059</v>
      </c>
      <c r="BS282" s="4">
        <v>25.286470000000001</v>
      </c>
      <c r="BT282" s="4">
        <v>24.079409999999999</v>
      </c>
      <c r="BU282" s="4">
        <v>23.018000000000001</v>
      </c>
      <c r="BV282" s="4">
        <v>22.462499999999999</v>
      </c>
      <c r="BW282" s="4">
        <v>21.719000000000001</v>
      </c>
    </row>
    <row r="286" spans="1:75" ht="16.5">
      <c r="A286" s="68" t="s">
        <v>2084</v>
      </c>
      <c r="B286" s="244" t="s">
        <v>2113</v>
      </c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U286" s="4" t="s">
        <v>2025</v>
      </c>
      <c r="V286" s="4">
        <v>3.1648308666666666E-2</v>
      </c>
      <c r="AE286" s="4">
        <v>0.251</v>
      </c>
      <c r="AQ286" s="4">
        <v>0.87</v>
      </c>
      <c r="AW286" s="4">
        <v>2.5574833296666668</v>
      </c>
      <c r="BF286" s="4">
        <v>5.3673649423333325</v>
      </c>
      <c r="BO286" s="4">
        <v>8.6583431976666674</v>
      </c>
    </row>
    <row r="287" spans="1:75">
      <c r="A287" s="4" t="s">
        <v>1725</v>
      </c>
      <c r="B287" s="258">
        <v>0</v>
      </c>
      <c r="C287" s="258"/>
      <c r="D287" s="258"/>
      <c r="E287" s="258"/>
      <c r="F287" s="258"/>
      <c r="G287" s="258"/>
      <c r="H287" s="258"/>
      <c r="I287" s="258"/>
      <c r="J287" s="258"/>
      <c r="K287" s="260">
        <v>10</v>
      </c>
      <c r="L287" s="260"/>
      <c r="M287" s="260"/>
      <c r="N287" s="260"/>
      <c r="O287" s="260"/>
      <c r="P287" s="260"/>
      <c r="Q287" s="260"/>
      <c r="R287" s="260"/>
      <c r="S287" s="260"/>
      <c r="U287" s="4" t="s">
        <v>2026</v>
      </c>
      <c r="V287" s="4">
        <v>4.2512749999999997E-3</v>
      </c>
      <c r="Y287" s="4">
        <v>7.9365100000000004E-4</v>
      </c>
      <c r="AB287" s="4">
        <v>8.9899999999999994E-2</v>
      </c>
      <c r="AE287" s="4">
        <v>0.272281685</v>
      </c>
      <c r="AH287" s="4">
        <v>0.222222</v>
      </c>
      <c r="AK287" s="4">
        <v>0.27900000000000003</v>
      </c>
      <c r="AN287" s="4">
        <v>0.23100000000000001</v>
      </c>
      <c r="AQ287" s="4">
        <v>0.91497449200000003</v>
      </c>
      <c r="AT287" s="4">
        <v>0.82986099999999996</v>
      </c>
      <c r="AW287" s="4">
        <v>2.539961989</v>
      </c>
      <c r="AZ287" s="4">
        <v>2.6264880000000002</v>
      </c>
      <c r="BC287" s="4">
        <v>2.5059999999999998</v>
      </c>
      <c r="BF287" s="4">
        <v>5.1927578270000003</v>
      </c>
      <c r="BI287" s="4">
        <v>5.5203369999999996</v>
      </c>
      <c r="BL287" s="4">
        <v>5.3890000000000002</v>
      </c>
      <c r="BO287" s="4">
        <v>8.1486445930000002</v>
      </c>
      <c r="BR287" s="4">
        <v>8.6393850000000008</v>
      </c>
      <c r="BU287" s="4">
        <v>9.1869999999999994</v>
      </c>
    </row>
    <row r="288" spans="1:75">
      <c r="A288" s="4">
        <v>3.1649999999999998E-2</v>
      </c>
      <c r="B288" s="4">
        <v>2.5708000000000002E-2</v>
      </c>
      <c r="C288" s="4">
        <v>2.3607E-2</v>
      </c>
      <c r="D288" s="4">
        <v>2.6308000000000002E-2</v>
      </c>
      <c r="E288" s="4">
        <v>1.5526E-2</v>
      </c>
      <c r="F288" s="4">
        <v>1.0913000000000001E-2</v>
      </c>
      <c r="G288" s="4">
        <v>1.4931E-2</v>
      </c>
      <c r="H288" s="4">
        <v>2.3233190000000001E-2</v>
      </c>
      <c r="I288" s="4">
        <v>2.6667E-2</v>
      </c>
      <c r="J288" s="4">
        <v>2.2374999999999999E-2</v>
      </c>
      <c r="K288" s="4">
        <v>2.5408E-2</v>
      </c>
      <c r="L288" s="4">
        <v>2.0906000000000001E-2</v>
      </c>
      <c r="M288" s="4">
        <v>2.4806999999999999E-2</v>
      </c>
      <c r="N288" s="4">
        <v>1.1358999999999999E-2</v>
      </c>
      <c r="O288" s="4">
        <v>1.2102999999999999E-2</v>
      </c>
      <c r="P288" s="4">
        <v>1.2102999999999999E-2</v>
      </c>
      <c r="Q288" s="4">
        <v>2.4606580999999999E-2</v>
      </c>
      <c r="R288" s="4">
        <v>2.2030999999999999E-2</v>
      </c>
      <c r="S288" s="4">
        <v>2.495E-2</v>
      </c>
      <c r="U288" s="4" t="s">
        <v>2027</v>
      </c>
      <c r="V288" s="4" t="s">
        <v>2037</v>
      </c>
      <c r="W288" s="4" t="s">
        <v>2038</v>
      </c>
      <c r="X288" s="4" t="s">
        <v>2039</v>
      </c>
      <c r="Y288" s="4" t="s">
        <v>2040</v>
      </c>
      <c r="Z288" s="4" t="s">
        <v>2041</v>
      </c>
      <c r="AA288" s="4" t="s">
        <v>2042</v>
      </c>
      <c r="AB288" s="4" t="s">
        <v>2043</v>
      </c>
      <c r="AC288" s="4" t="s">
        <v>2044</v>
      </c>
      <c r="AD288" s="4" t="s">
        <v>2045</v>
      </c>
      <c r="AE288" s="4" t="s">
        <v>2037</v>
      </c>
      <c r="AF288" s="4" t="s">
        <v>2038</v>
      </c>
      <c r="AG288" s="4" t="s">
        <v>2039</v>
      </c>
      <c r="AH288" s="4" t="s">
        <v>2040</v>
      </c>
      <c r="AI288" s="4" t="s">
        <v>2041</v>
      </c>
      <c r="AJ288" s="4" t="s">
        <v>2042</v>
      </c>
      <c r="AK288" s="4" t="s">
        <v>2043</v>
      </c>
      <c r="AL288" s="4" t="s">
        <v>2044</v>
      </c>
      <c r="AM288" s="4" t="s">
        <v>2045</v>
      </c>
      <c r="AN288" s="4" t="s">
        <v>2043</v>
      </c>
      <c r="AO288" s="4" t="s">
        <v>2044</v>
      </c>
      <c r="AP288" s="4" t="s">
        <v>2045</v>
      </c>
      <c r="AQ288" s="4" t="s">
        <v>2037</v>
      </c>
      <c r="AR288" s="4" t="s">
        <v>2038</v>
      </c>
      <c r="AS288" s="4" t="s">
        <v>2039</v>
      </c>
      <c r="AT288" s="4" t="s">
        <v>2040</v>
      </c>
      <c r="AU288" s="4" t="s">
        <v>2041</v>
      </c>
      <c r="AV288" s="4" t="s">
        <v>2042</v>
      </c>
      <c r="AW288" s="4" t="s">
        <v>2037</v>
      </c>
      <c r="AX288" s="4" t="s">
        <v>2038</v>
      </c>
      <c r="AY288" s="4" t="s">
        <v>2039</v>
      </c>
      <c r="AZ288" s="4" t="s">
        <v>2040</v>
      </c>
      <c r="BA288" s="4" t="s">
        <v>2041</v>
      </c>
      <c r="BB288" s="4" t="s">
        <v>2042</v>
      </c>
      <c r="BC288" s="4" t="s">
        <v>2043</v>
      </c>
      <c r="BD288" s="4" t="s">
        <v>2044</v>
      </c>
      <c r="BE288" s="4" t="s">
        <v>2045</v>
      </c>
      <c r="BF288" s="4" t="s">
        <v>2037</v>
      </c>
      <c r="BG288" s="4" t="s">
        <v>2038</v>
      </c>
      <c r="BH288" s="4" t="s">
        <v>2039</v>
      </c>
      <c r="BI288" s="4" t="s">
        <v>2040</v>
      </c>
      <c r="BJ288" s="4" t="s">
        <v>2041</v>
      </c>
      <c r="BK288" s="4" t="s">
        <v>2042</v>
      </c>
      <c r="BL288" s="4" t="s">
        <v>2043</v>
      </c>
      <c r="BM288" s="4" t="s">
        <v>2044</v>
      </c>
      <c r="BN288" s="4" t="s">
        <v>2045</v>
      </c>
      <c r="BO288" s="4" t="s">
        <v>2037</v>
      </c>
      <c r="BP288" s="4" t="s">
        <v>2038</v>
      </c>
      <c r="BQ288" s="4" t="s">
        <v>2039</v>
      </c>
      <c r="BR288" s="4" t="s">
        <v>2040</v>
      </c>
      <c r="BS288" s="4" t="s">
        <v>2041</v>
      </c>
      <c r="BT288" s="4" t="s">
        <v>2042</v>
      </c>
      <c r="BU288" s="4" t="s">
        <v>2043</v>
      </c>
      <c r="BV288" s="4" t="s">
        <v>2044</v>
      </c>
      <c r="BW288" s="4" t="s">
        <v>2045</v>
      </c>
    </row>
    <row r="289" spans="1:75">
      <c r="A289" s="4">
        <v>0.247</v>
      </c>
      <c r="B289" s="4">
        <v>2.9458999999999999E-2</v>
      </c>
      <c r="C289" s="4">
        <v>2.7657999999999999E-2</v>
      </c>
      <c r="D289" s="4">
        <v>2.6758000000000001E-2</v>
      </c>
      <c r="E289" s="4" t="s">
        <v>2046</v>
      </c>
      <c r="F289" s="4">
        <v>2.3264E-2</v>
      </c>
      <c r="G289" s="4">
        <v>1.8502000000000001E-2</v>
      </c>
      <c r="H289" s="4">
        <v>3.1645E-2</v>
      </c>
      <c r="I289" s="4">
        <v>2.3577000000000001E-2</v>
      </c>
      <c r="J289" s="4">
        <v>2.5637E-2</v>
      </c>
      <c r="K289" s="4">
        <v>0.13073899999999999</v>
      </c>
      <c r="L289" s="4">
        <v>0.12773799999999999</v>
      </c>
      <c r="M289" s="4">
        <v>0.13224</v>
      </c>
      <c r="N289" s="137" t="s">
        <v>2054</v>
      </c>
      <c r="O289" s="4">
        <v>9.8710000000000006E-2</v>
      </c>
      <c r="P289" s="4">
        <v>0.101687</v>
      </c>
      <c r="Q289" s="4">
        <v>7.9027E-2</v>
      </c>
      <c r="R289" s="4">
        <v>7.2503999999999999E-2</v>
      </c>
      <c r="S289" s="4">
        <v>7.4049000000000004E-2</v>
      </c>
      <c r="U289" s="4">
        <v>1E-4</v>
      </c>
      <c r="V289" s="4">
        <v>2.5708000000000002E-2</v>
      </c>
      <c r="W289" s="4">
        <v>2.3607E-2</v>
      </c>
      <c r="X289" s="4">
        <v>2.6308000000000002E-2</v>
      </c>
      <c r="Y289" s="4">
        <v>1.5526E-2</v>
      </c>
      <c r="Z289" s="4">
        <v>1.0913000000000001E-2</v>
      </c>
      <c r="AA289" s="4">
        <v>1.4931E-2</v>
      </c>
      <c r="AB289" s="4">
        <v>2.3233190000000001E-2</v>
      </c>
      <c r="AC289" s="4">
        <v>2.6667E-2</v>
      </c>
      <c r="AD289" s="4">
        <v>2.2374999999999999E-2</v>
      </c>
      <c r="AE289" s="4">
        <v>2.9458999999999999E-2</v>
      </c>
      <c r="AF289" s="4">
        <v>2.7657999999999999E-2</v>
      </c>
      <c r="AG289" s="4">
        <v>2.6758000000000001E-2</v>
      </c>
      <c r="AH289" s="4" t="s">
        <v>2046</v>
      </c>
      <c r="AI289" s="4">
        <v>2.3264E-2</v>
      </c>
      <c r="AJ289" s="4">
        <v>1.8502000000000001E-2</v>
      </c>
      <c r="AK289" s="4">
        <v>3.1645E-2</v>
      </c>
      <c r="AL289" s="4">
        <v>2.3577000000000001E-2</v>
      </c>
      <c r="AM289" s="4">
        <v>2.5637E-2</v>
      </c>
      <c r="AN289" s="4">
        <v>2.6322999999999999E-2</v>
      </c>
      <c r="AO289" s="4">
        <v>2.598E-2</v>
      </c>
      <c r="AP289" s="4">
        <v>2.598E-2</v>
      </c>
      <c r="AQ289" s="4">
        <v>4.5364000000000002E-2</v>
      </c>
      <c r="AR289" s="4">
        <v>4.5664000000000003E-2</v>
      </c>
      <c r="AS289" s="4">
        <v>4.3862999999999999E-2</v>
      </c>
      <c r="AT289" s="4">
        <v>2.0437E-2</v>
      </c>
      <c r="AU289" s="4">
        <v>1.1806000000000001E-2</v>
      </c>
      <c r="AV289" s="4">
        <v>2.0584999999999999E-2</v>
      </c>
      <c r="AW289" s="4">
        <v>0.66339899999999996</v>
      </c>
      <c r="AX289" s="4">
        <v>0.673902</v>
      </c>
      <c r="AY289" s="4">
        <v>0.65439599999999998</v>
      </c>
      <c r="AZ289" s="4">
        <v>0.60019800000000001</v>
      </c>
      <c r="BA289" s="4">
        <v>0.64186500000000002</v>
      </c>
      <c r="BB289" s="4">
        <v>0.67013900000000004</v>
      </c>
      <c r="BC289" s="4">
        <v>0.36366199999999999</v>
      </c>
      <c r="BD289" s="4">
        <v>0.39971400000000001</v>
      </c>
      <c r="BE289" s="4">
        <v>0.40658100000000003</v>
      </c>
      <c r="BF289" s="4">
        <v>6.5706709999999999</v>
      </c>
      <c r="BG289" s="4">
        <v>6.7957390000000002</v>
      </c>
      <c r="BH289" s="4">
        <v>6.6111829999999996</v>
      </c>
      <c r="BI289" s="4">
        <v>6.8472220000000004</v>
      </c>
      <c r="BJ289" s="4">
        <v>7.0168650000000001</v>
      </c>
      <c r="BK289" s="4">
        <v>6.8888889999999998</v>
      </c>
      <c r="BL289" s="4">
        <v>6.8683829999999997</v>
      </c>
      <c r="BM289" s="4">
        <v>6.8889839999999998</v>
      </c>
      <c r="BN289" s="4">
        <v>6.7207439999999998</v>
      </c>
      <c r="BO289" s="4">
        <v>13.76383</v>
      </c>
      <c r="BP289" s="4">
        <v>14.191459999999999</v>
      </c>
      <c r="BQ289" s="4">
        <v>14.105930000000001</v>
      </c>
      <c r="BR289" s="4">
        <v>15.43056</v>
      </c>
      <c r="BS289" s="4">
        <v>15.619540000000001</v>
      </c>
      <c r="BT289" s="4">
        <v>16.810020000000002</v>
      </c>
      <c r="BU289" s="4">
        <v>15.31302</v>
      </c>
      <c r="BV289" s="4">
        <v>15.07954</v>
      </c>
      <c r="BW289" s="4">
        <v>15.35937</v>
      </c>
    </row>
    <row r="290" spans="1:75">
      <c r="A290" s="4">
        <v>0.84</v>
      </c>
      <c r="B290" s="4">
        <v>4.5364000000000002E-2</v>
      </c>
      <c r="C290" s="4">
        <v>4.5664000000000003E-2</v>
      </c>
      <c r="D290" s="4">
        <v>4.3862999999999999E-2</v>
      </c>
      <c r="E290" s="4">
        <v>2.0437E-2</v>
      </c>
      <c r="F290" s="4">
        <v>1.1806000000000001E-2</v>
      </c>
      <c r="G290" s="4">
        <v>2.0584999999999999E-2</v>
      </c>
      <c r="K290" s="4">
        <v>0.81794500000000003</v>
      </c>
      <c r="L290" s="4">
        <v>0.82094599999999995</v>
      </c>
      <c r="M290" s="4">
        <v>0.85845800000000005</v>
      </c>
      <c r="N290" s="4">
        <v>0.42013899999999998</v>
      </c>
      <c r="O290" s="4">
        <v>0.437996</v>
      </c>
      <c r="P290" s="4">
        <v>0.44841300000000001</v>
      </c>
      <c r="U290" s="4">
        <v>1E-3</v>
      </c>
      <c r="V290" s="4">
        <v>2.1957000000000001E-2</v>
      </c>
      <c r="W290" s="4">
        <v>2.4206999999999999E-2</v>
      </c>
      <c r="X290" s="4">
        <v>2.3907000000000001E-2</v>
      </c>
      <c r="Y290" s="4">
        <v>5.8529999999999997E-3</v>
      </c>
      <c r="Z290" s="4">
        <v>1.0466E-2</v>
      </c>
      <c r="AA290" s="4">
        <v>1.4782E-2</v>
      </c>
      <c r="AB290" s="4">
        <v>2.2374821E-2</v>
      </c>
      <c r="AC290" s="4">
        <v>2.2890000000000001E-2</v>
      </c>
      <c r="AD290" s="4">
        <v>2.0315E-2</v>
      </c>
      <c r="AE290" s="4">
        <v>2.7958E-2</v>
      </c>
      <c r="AF290" s="4">
        <v>2.7358E-2</v>
      </c>
      <c r="AG290" s="4">
        <v>2.7358E-2</v>
      </c>
      <c r="AH290" s="4" t="s">
        <v>2047</v>
      </c>
      <c r="AI290" s="4">
        <v>1.4187E-2</v>
      </c>
      <c r="AJ290" s="4">
        <v>7.5346999999999997E-2</v>
      </c>
      <c r="AK290" s="4">
        <v>2.9756999999999999E-2</v>
      </c>
      <c r="AL290" s="4">
        <v>2.4263E-2</v>
      </c>
      <c r="AM290" s="4">
        <v>2.9069999999999999E-2</v>
      </c>
      <c r="AN290" s="4">
        <v>2.495E-2</v>
      </c>
      <c r="AO290" s="4">
        <v>2.5637E-2</v>
      </c>
      <c r="AP290" s="4">
        <v>2.6667E-2</v>
      </c>
      <c r="AQ290" s="4">
        <v>4.6713999999999999E-2</v>
      </c>
      <c r="AR290" s="4">
        <v>4.1612000000000003E-2</v>
      </c>
      <c r="AS290" s="4">
        <v>4.4613E-2</v>
      </c>
      <c r="AT290" s="4">
        <v>2.3562E-2</v>
      </c>
      <c r="AU290" s="4">
        <v>1.746E-2</v>
      </c>
      <c r="AV290" s="4">
        <v>2.0882999999999999E-2</v>
      </c>
      <c r="AW290" s="4">
        <v>0.73091899999999999</v>
      </c>
      <c r="AX290" s="4">
        <v>0.68740599999999996</v>
      </c>
      <c r="AY290" s="4">
        <v>0.73542099999999999</v>
      </c>
      <c r="AZ290" s="4">
        <v>0.69097200000000003</v>
      </c>
      <c r="BA290" s="4">
        <v>0.62847200000000003</v>
      </c>
      <c r="BB290" s="4">
        <v>0.66418699999999997</v>
      </c>
      <c r="BC290" s="4">
        <v>0.31730999999999998</v>
      </c>
      <c r="BD290" s="4">
        <v>0.34992800000000002</v>
      </c>
      <c r="BE290" s="4">
        <v>0.358512</v>
      </c>
      <c r="BF290" s="4">
        <v>7.0958290000000002</v>
      </c>
      <c r="BG290" s="4">
        <v>7.227868</v>
      </c>
      <c r="BH290" s="4">
        <v>6.9442830000000004</v>
      </c>
      <c r="BI290" s="4">
        <v>7.5317460000000001</v>
      </c>
      <c r="BJ290" s="4">
        <v>7.3025789999999997</v>
      </c>
      <c r="BK290" s="4">
        <v>7.1924599999999996</v>
      </c>
      <c r="BL290" s="4">
        <v>7.3044349999999998</v>
      </c>
      <c r="BM290" s="4">
        <v>7.3490700000000002</v>
      </c>
      <c r="BN290" s="4">
        <v>7.2598000000000003</v>
      </c>
      <c r="BO290" s="4">
        <v>14.94918</v>
      </c>
      <c r="BP290" s="4">
        <v>14.904170000000001</v>
      </c>
      <c r="BQ290" s="4">
        <v>15.08723</v>
      </c>
      <c r="BR290" s="4">
        <v>16.104659999999999</v>
      </c>
      <c r="BS290" s="4">
        <v>16.554069999999999</v>
      </c>
      <c r="BT290" s="4">
        <v>16.05556</v>
      </c>
      <c r="BU290" s="4">
        <v>16.379110000000001</v>
      </c>
      <c r="BV290" s="4">
        <v>16.480399999999999</v>
      </c>
      <c r="BW290" s="4">
        <v>16.032330000000002</v>
      </c>
    </row>
    <row r="291" spans="1:75">
      <c r="A291" s="4">
        <v>2.56</v>
      </c>
      <c r="B291" s="4">
        <v>0.66339899999999996</v>
      </c>
      <c r="C291" s="4">
        <v>0.673902</v>
      </c>
      <c r="D291" s="4">
        <v>0.65439599999999998</v>
      </c>
      <c r="E291" s="4">
        <v>0.60019800000000001</v>
      </c>
      <c r="F291" s="4">
        <v>0.64186500000000002</v>
      </c>
      <c r="G291" s="4">
        <v>0.67013900000000004</v>
      </c>
      <c r="H291" s="4">
        <v>0.36366199999999999</v>
      </c>
      <c r="I291" s="4">
        <v>0.39971400000000001</v>
      </c>
      <c r="J291" s="4">
        <v>0.40658100000000003</v>
      </c>
      <c r="K291" s="137" t="s">
        <v>2083</v>
      </c>
      <c r="L291" s="137" t="s">
        <v>2082</v>
      </c>
      <c r="M291" s="137" t="s">
        <v>2081</v>
      </c>
      <c r="N291" s="137" t="s">
        <v>2080</v>
      </c>
      <c r="O291" s="137" t="s">
        <v>2079</v>
      </c>
      <c r="P291" s="137" t="s">
        <v>2078</v>
      </c>
      <c r="Q291" s="137" t="s">
        <v>2077</v>
      </c>
      <c r="R291" s="137" t="s">
        <v>2076</v>
      </c>
      <c r="S291" s="137" t="s">
        <v>2075</v>
      </c>
      <c r="U291" s="4">
        <v>0.01</v>
      </c>
      <c r="V291" s="4">
        <v>2.5708000000000002E-2</v>
      </c>
      <c r="W291" s="4">
        <v>2.3157000000000001E-2</v>
      </c>
      <c r="X291" s="4">
        <v>2.1205999999999999E-2</v>
      </c>
      <c r="AA291" s="4">
        <v>2.3264E-2</v>
      </c>
      <c r="AB291" s="4">
        <v>2.1001431000000001E-2</v>
      </c>
      <c r="AC291" s="4">
        <v>2.2030999999999999E-2</v>
      </c>
      <c r="AD291" s="4">
        <v>2.495E-2</v>
      </c>
      <c r="AE291" s="4">
        <v>2.6308000000000002E-2</v>
      </c>
      <c r="AF291" s="4">
        <v>2.6008E-2</v>
      </c>
      <c r="AG291" s="4">
        <v>2.7657999999999999E-2</v>
      </c>
      <c r="AH291" s="4" t="s">
        <v>2048</v>
      </c>
      <c r="AI291" s="4">
        <v>1.3442000000000001E-2</v>
      </c>
      <c r="AJ291" s="4">
        <v>2.1478000000000001E-2</v>
      </c>
      <c r="AK291" s="4">
        <v>2.8382999999999999E-2</v>
      </c>
      <c r="AL291" s="4">
        <v>2.9756999999999999E-2</v>
      </c>
      <c r="AM291" s="4">
        <v>2.9756999999999999E-2</v>
      </c>
      <c r="AN291" s="4">
        <v>2.6667E-2</v>
      </c>
      <c r="AO291" s="4">
        <v>2.6322999999999999E-2</v>
      </c>
      <c r="AP291" s="4">
        <v>2.9069999999999999E-2</v>
      </c>
      <c r="AQ291" s="4">
        <v>4.3562999999999998E-2</v>
      </c>
      <c r="AR291" s="4">
        <v>4.3862999999999999E-2</v>
      </c>
      <c r="AS291" s="4">
        <v>4.6713999999999999E-2</v>
      </c>
      <c r="AT291" s="4">
        <v>1.8204000000000001E-2</v>
      </c>
      <c r="AU291" s="4">
        <v>1.8502000000000001E-2</v>
      </c>
      <c r="AV291" s="4">
        <v>2.1180999999999998E-2</v>
      </c>
      <c r="AW291" s="4">
        <v>0.790937</v>
      </c>
      <c r="AX291" s="4">
        <v>0.78343499999999999</v>
      </c>
      <c r="AY291" s="4">
        <v>0.80444099999999996</v>
      </c>
      <c r="AZ291" s="4">
        <v>0.69097200000000003</v>
      </c>
      <c r="BA291" s="4">
        <v>0.731151</v>
      </c>
      <c r="BB291" s="4">
        <v>0.73561500000000002</v>
      </c>
      <c r="BC291" s="4">
        <v>0.34134500000000001</v>
      </c>
      <c r="BD291" s="4">
        <v>0.31730999999999998</v>
      </c>
      <c r="BE291" s="4">
        <v>0.38426300000000002</v>
      </c>
      <c r="BF291" s="4">
        <v>7.2938879999999999</v>
      </c>
      <c r="BG291" s="4">
        <v>7.0088030000000003</v>
      </c>
      <c r="BH291" s="4">
        <v>6.8587579999999999</v>
      </c>
      <c r="BI291" s="4">
        <v>8.0570439999999994</v>
      </c>
      <c r="BJ291" s="4">
        <v>7.7430560000000002</v>
      </c>
      <c r="BK291" s="4">
        <v>7.5079370000000001</v>
      </c>
      <c r="BL291" s="4">
        <v>7.7216019999999999</v>
      </c>
      <c r="BM291" s="4">
        <v>7.6975680000000004</v>
      </c>
      <c r="BN291" s="4">
        <v>7.5791130000000004</v>
      </c>
      <c r="BO291" s="4">
        <v>15.180249999999999</v>
      </c>
      <c r="BP291" s="4">
        <v>14.995699999999999</v>
      </c>
      <c r="BQ291" s="4">
        <v>15.08723</v>
      </c>
      <c r="BR291" s="4">
        <v>16.964780000000001</v>
      </c>
      <c r="BS291" s="4">
        <v>17.226690000000001</v>
      </c>
      <c r="BT291" s="4">
        <v>17.121030000000001</v>
      </c>
      <c r="BU291" s="4">
        <v>16.633189999999999</v>
      </c>
      <c r="BV291" s="4">
        <v>15.88641</v>
      </c>
      <c r="BW291" s="4">
        <v>16.229759999999999</v>
      </c>
    </row>
    <row r="292" spans="1:75">
      <c r="A292" s="4">
        <v>5.37</v>
      </c>
      <c r="B292" s="4">
        <v>6.5706709999999999</v>
      </c>
      <c r="C292" s="4">
        <v>6.7957390000000002</v>
      </c>
      <c r="D292" s="4">
        <v>6.6111829999999996</v>
      </c>
      <c r="E292" s="4">
        <v>6.8472220000000004</v>
      </c>
      <c r="F292" s="4">
        <v>7.0168650000000001</v>
      </c>
      <c r="G292" s="4">
        <v>6.8888889999999998</v>
      </c>
      <c r="H292" s="4">
        <v>6.8683829999999997</v>
      </c>
      <c r="I292" s="4">
        <v>6.8889839999999998</v>
      </c>
      <c r="J292" s="4">
        <v>6.7207439999999998</v>
      </c>
      <c r="K292" s="137" t="s">
        <v>2074</v>
      </c>
      <c r="L292" s="137" t="s">
        <v>2073</v>
      </c>
      <c r="M292" s="137" t="s">
        <v>2072</v>
      </c>
      <c r="N292" s="137" t="s">
        <v>2070</v>
      </c>
      <c r="O292" s="137" t="s">
        <v>2071</v>
      </c>
      <c r="P292" s="137" t="s">
        <v>2070</v>
      </c>
      <c r="Q292" s="137" t="s">
        <v>2069</v>
      </c>
      <c r="R292" s="137" t="s">
        <v>2068</v>
      </c>
      <c r="S292" s="137" t="s">
        <v>2067</v>
      </c>
      <c r="U292" s="4">
        <v>0.05</v>
      </c>
      <c r="V292" s="4">
        <v>1.9556E-2</v>
      </c>
      <c r="W292" s="4">
        <v>2.2557000000000001E-2</v>
      </c>
      <c r="X292" s="4">
        <v>2.0906000000000001E-2</v>
      </c>
      <c r="Y292" s="4">
        <v>1.0168999999999999E-2</v>
      </c>
      <c r="Z292" s="4">
        <v>1.374E-2</v>
      </c>
      <c r="AA292" s="4">
        <v>1.0466E-2</v>
      </c>
      <c r="AB292" s="4">
        <v>2.1344777999999998E-2</v>
      </c>
      <c r="AC292" s="4">
        <v>2.3233E-2</v>
      </c>
      <c r="AD292" s="4">
        <v>2.2374999999999999E-2</v>
      </c>
      <c r="AE292" s="4">
        <v>2.4507000000000001E-2</v>
      </c>
      <c r="AF292" s="4">
        <v>2.5708000000000002E-2</v>
      </c>
      <c r="AG292" s="4">
        <v>2.6008E-2</v>
      </c>
      <c r="AH292" s="4" t="s">
        <v>2049</v>
      </c>
      <c r="AI292" s="4">
        <v>1.1358999999999999E-2</v>
      </c>
      <c r="AJ292" s="4">
        <v>1.1358999999999999E-2</v>
      </c>
      <c r="AK292" s="4">
        <v>2.9069999999999999E-2</v>
      </c>
      <c r="AL292" s="4">
        <v>2.8039999999999999E-2</v>
      </c>
      <c r="AM292" s="4">
        <v>3.0959E-2</v>
      </c>
      <c r="AN292" s="4">
        <v>2.8039999999999999E-2</v>
      </c>
      <c r="AO292" s="4">
        <v>3.1645E-2</v>
      </c>
      <c r="AP292" s="4">
        <v>2.7352999999999999E-2</v>
      </c>
      <c r="AQ292" s="4">
        <v>4.1161999999999997E-2</v>
      </c>
      <c r="AR292" s="4">
        <v>4.5664000000000003E-2</v>
      </c>
      <c r="AS292" s="4">
        <v>4.2963000000000001E-2</v>
      </c>
      <c r="AT292" s="4">
        <v>2.0882999999999999E-2</v>
      </c>
      <c r="AU292" s="4">
        <v>2.7876999999999999E-2</v>
      </c>
      <c r="AV292" s="4">
        <v>2.1180999999999998E-2</v>
      </c>
      <c r="AW292" s="4">
        <v>1.0730219999999999</v>
      </c>
      <c r="AX292" s="4">
        <v>1.0190060000000001</v>
      </c>
      <c r="AY292" s="4">
        <v>1.0730219999999999</v>
      </c>
      <c r="AZ292" s="4">
        <v>1.068948</v>
      </c>
      <c r="BA292" s="4">
        <v>1.1254960000000001</v>
      </c>
      <c r="BB292" s="4">
        <v>1.18502</v>
      </c>
      <c r="BC292" s="4">
        <v>0.37396299999999999</v>
      </c>
      <c r="BD292" s="4">
        <v>0.40829799999999999</v>
      </c>
      <c r="BE292" s="4">
        <v>0.45293299999999997</v>
      </c>
      <c r="BF292" s="4">
        <v>7.8535560000000002</v>
      </c>
      <c r="BG292" s="4">
        <v>7.7575269999999996</v>
      </c>
      <c r="BH292" s="4">
        <v>7.4754430000000003</v>
      </c>
      <c r="BI292" s="4">
        <v>9.4513890000000007</v>
      </c>
      <c r="BJ292" s="4">
        <v>9.1954370000000001</v>
      </c>
      <c r="BK292" s="4">
        <v>9.7460319999999996</v>
      </c>
      <c r="BL292" s="4">
        <v>8.7052929999999993</v>
      </c>
      <c r="BM292" s="4">
        <v>8.6795419999999996</v>
      </c>
      <c r="BN292" s="4">
        <v>8.950787</v>
      </c>
      <c r="BO292" s="4">
        <v>15.990500000000001</v>
      </c>
      <c r="BP292" s="4">
        <v>16.287590000000002</v>
      </c>
      <c r="BQ292" s="4">
        <v>15.89297</v>
      </c>
      <c r="BR292" s="4">
        <v>19.113589999999999</v>
      </c>
      <c r="BS292" s="4">
        <v>18.996030000000001</v>
      </c>
      <c r="BT292" s="4">
        <v>17.869540000000001</v>
      </c>
      <c r="BU292" s="4">
        <v>19.264949999999999</v>
      </c>
      <c r="BV292" s="4">
        <v>18.68469</v>
      </c>
      <c r="BW292" s="4">
        <v>18.856369999999998</v>
      </c>
    </row>
    <row r="293" spans="1:75">
      <c r="A293" s="4">
        <v>8.67</v>
      </c>
      <c r="B293" s="4">
        <v>13.76383</v>
      </c>
      <c r="C293" s="4">
        <v>14.191459999999999</v>
      </c>
      <c r="D293" s="4">
        <v>14.105930000000001</v>
      </c>
      <c r="E293" s="4">
        <v>15.43056</v>
      </c>
      <c r="F293" s="4">
        <v>15.619540000000001</v>
      </c>
      <c r="G293" s="4">
        <v>16.810020000000002</v>
      </c>
      <c r="H293" s="4">
        <v>15.31302</v>
      </c>
      <c r="I293" s="4">
        <v>15.07954</v>
      </c>
      <c r="J293" s="4">
        <v>15.35937</v>
      </c>
      <c r="K293" s="137" t="s">
        <v>2066</v>
      </c>
      <c r="L293" s="137" t="s">
        <v>2065</v>
      </c>
      <c r="M293" s="137" t="s">
        <v>2064</v>
      </c>
      <c r="N293" s="137" t="s">
        <v>2063</v>
      </c>
      <c r="O293" s="137" t="s">
        <v>2062</v>
      </c>
      <c r="P293" s="137" t="s">
        <v>2061</v>
      </c>
      <c r="Q293" s="214" t="s">
        <v>2060</v>
      </c>
      <c r="R293" s="214" t="s">
        <v>2059</v>
      </c>
      <c r="S293" s="214" t="s">
        <v>2058</v>
      </c>
      <c r="U293" s="4">
        <v>0.1</v>
      </c>
      <c r="V293" s="4">
        <v>2.4206999999999999E-2</v>
      </c>
      <c r="W293" s="4">
        <v>2.1656000000000002E-2</v>
      </c>
      <c r="X293" s="4">
        <v>1.8956000000000001E-2</v>
      </c>
      <c r="Y293" s="4">
        <v>1.0614999999999999E-2</v>
      </c>
      <c r="Z293" s="4">
        <v>1.1062000000000001E-2</v>
      </c>
      <c r="AA293" s="4">
        <v>9.7219999999999997E-3</v>
      </c>
      <c r="AB293" s="4">
        <v>2.5293276E-2</v>
      </c>
      <c r="AC293" s="4">
        <v>2.1000999999999999E-2</v>
      </c>
      <c r="AD293" s="4">
        <v>2.1000999999999999E-2</v>
      </c>
      <c r="AE293" s="4">
        <v>2.6308000000000002E-2</v>
      </c>
      <c r="AF293" s="4">
        <v>2.6457999999999999E-2</v>
      </c>
      <c r="AG293" s="4">
        <v>2.5408E-2</v>
      </c>
      <c r="AH293" s="4" t="s">
        <v>2050</v>
      </c>
      <c r="AI293" s="4">
        <v>1.5526E-2</v>
      </c>
      <c r="AJ293" s="4">
        <v>1.5526E-2</v>
      </c>
      <c r="AK293" s="4">
        <v>3.0615E-2</v>
      </c>
      <c r="AL293" s="4">
        <v>3.0099999999999998E-2</v>
      </c>
      <c r="AM293" s="4">
        <v>3.3019E-2</v>
      </c>
      <c r="AN293" s="4">
        <v>2.9413000000000002E-2</v>
      </c>
      <c r="AO293" s="4">
        <v>3.2675000000000003E-2</v>
      </c>
      <c r="AP293" s="4">
        <v>2.8726999999999999E-2</v>
      </c>
      <c r="AQ293" s="4">
        <v>4.2213000000000001E-2</v>
      </c>
      <c r="AR293" s="4">
        <v>4.5364000000000002E-2</v>
      </c>
      <c r="AS293" s="4">
        <v>4.7764000000000001E-2</v>
      </c>
      <c r="AT293" s="4">
        <v>1.746E-2</v>
      </c>
      <c r="AU293" s="4">
        <v>8.1448000000000007E-2</v>
      </c>
      <c r="AV293" s="4">
        <v>1.9841000000000001E-2</v>
      </c>
      <c r="AW293" s="4">
        <v>1.4556370000000001</v>
      </c>
      <c r="AX293" s="4">
        <v>1.5081519999999999</v>
      </c>
      <c r="AY293" s="4">
        <v>1.4241269999999999</v>
      </c>
      <c r="AZ293" s="4">
        <v>1.635913</v>
      </c>
      <c r="BA293" s="4">
        <v>1.7817460000000001</v>
      </c>
      <c r="BB293" s="4">
        <v>1.6999010000000001</v>
      </c>
      <c r="BC293" s="4">
        <v>0.46838299999999999</v>
      </c>
      <c r="BD293" s="4">
        <v>0.53876999999999997</v>
      </c>
      <c r="BE293" s="4">
        <v>0.58340499999999995</v>
      </c>
      <c r="BF293" s="4">
        <v>8.8243469999999995</v>
      </c>
      <c r="BG293" s="4">
        <v>8.7973389999999991</v>
      </c>
      <c r="BH293" s="4">
        <v>8.4027209999999997</v>
      </c>
      <c r="BI293" s="4">
        <v>10.917160000000001</v>
      </c>
      <c r="BJ293" s="4">
        <v>10.71776</v>
      </c>
      <c r="BK293" s="4">
        <v>10.39484</v>
      </c>
      <c r="BL293" s="4">
        <v>10.894130000000001</v>
      </c>
      <c r="BM293" s="4">
        <v>10.341340000000001</v>
      </c>
      <c r="BN293" s="4">
        <v>10.46838</v>
      </c>
      <c r="BO293" s="4">
        <v>16.947780000000002</v>
      </c>
      <c r="BP293" s="4">
        <v>16.947780000000002</v>
      </c>
      <c r="BQ293" s="4">
        <v>17.15635</v>
      </c>
      <c r="BR293" s="4">
        <v>21.07639</v>
      </c>
      <c r="BS293" s="4">
        <v>21.335319999999999</v>
      </c>
      <c r="BT293" s="4">
        <v>21.271329999999999</v>
      </c>
      <c r="BU293" s="4">
        <v>21.052070000000001</v>
      </c>
      <c r="BV293" s="4">
        <v>21.773099999999999</v>
      </c>
      <c r="BW293" s="4">
        <v>21.376539999999999</v>
      </c>
    </row>
    <row r="294" spans="1:75">
      <c r="U294" s="4">
        <v>0.5</v>
      </c>
      <c r="V294" s="4">
        <v>2.1957000000000001E-2</v>
      </c>
      <c r="W294" s="4">
        <v>2.1506000000000001E-2</v>
      </c>
      <c r="X294" s="4">
        <v>2.1506000000000001E-2</v>
      </c>
      <c r="Y294" s="4">
        <v>9.2759999999999995E-3</v>
      </c>
      <c r="Z294" s="4">
        <v>1.1062000000000001E-2</v>
      </c>
      <c r="AA294" s="4">
        <v>2.0139000000000001E-2</v>
      </c>
      <c r="AB294" s="4">
        <v>2.4606580999999999E-2</v>
      </c>
      <c r="AC294" s="4">
        <v>2.2030999999999999E-2</v>
      </c>
      <c r="AD294" s="4">
        <v>2.5293E-2</v>
      </c>
      <c r="AE294" s="4">
        <v>2.8858999999999999E-2</v>
      </c>
      <c r="AF294" s="4">
        <v>2.9159000000000001E-2</v>
      </c>
      <c r="AG294" s="4">
        <v>2.6758000000000001E-2</v>
      </c>
      <c r="AH294" s="4" t="s">
        <v>2051</v>
      </c>
      <c r="AI294" s="4">
        <v>1.2996000000000001E-2</v>
      </c>
      <c r="AK294" s="4">
        <v>3.0959E-2</v>
      </c>
      <c r="AL294" s="4">
        <v>3.2332E-2</v>
      </c>
      <c r="AM294" s="4">
        <v>2.4263E-2</v>
      </c>
      <c r="AN294" s="4">
        <v>3.1302000000000003E-2</v>
      </c>
      <c r="AO294" s="4">
        <v>2.9756999999999999E-2</v>
      </c>
      <c r="AP294" s="4">
        <v>3.3362000000000003E-2</v>
      </c>
      <c r="AQ294" s="4">
        <v>9.9229999999999999E-2</v>
      </c>
      <c r="AR294" s="4">
        <v>9.4728000000000007E-2</v>
      </c>
      <c r="AS294" s="4">
        <v>0.102231</v>
      </c>
      <c r="AT294" s="4">
        <v>0.113591</v>
      </c>
      <c r="AU294" s="4">
        <v>0.121032</v>
      </c>
      <c r="AV294" s="4">
        <v>0.11210299999999999</v>
      </c>
      <c r="AW294" s="4">
        <v>3.971892</v>
      </c>
      <c r="AX294" s="4">
        <v>3.838352</v>
      </c>
      <c r="AY294" s="4">
        <v>3.7453240000000001</v>
      </c>
      <c r="AZ294" s="4">
        <v>4.4335319999999996</v>
      </c>
      <c r="BA294" s="4">
        <v>4.4469250000000002</v>
      </c>
      <c r="BB294" s="4">
        <v>4.3650789999999997</v>
      </c>
      <c r="BC294" s="4">
        <v>2.4666670000000002</v>
      </c>
      <c r="BD294" s="4">
        <v>2.4048639999999999</v>
      </c>
      <c r="BE294" s="4">
        <v>2.6692420000000001</v>
      </c>
      <c r="BF294" s="4">
        <v>12.47944</v>
      </c>
      <c r="BG294" s="4">
        <v>12.029310000000001</v>
      </c>
      <c r="BH294" s="4">
        <v>11.918279999999999</v>
      </c>
      <c r="BI294" s="4">
        <v>14.381449999999999</v>
      </c>
      <c r="BJ294" s="4">
        <v>20.132940000000001</v>
      </c>
      <c r="BK294" s="4">
        <v>13.652279999999999</v>
      </c>
      <c r="BL294" s="4">
        <v>13.9671</v>
      </c>
      <c r="BM294" s="4">
        <v>14.05293</v>
      </c>
      <c r="BN294" s="4">
        <v>14.358510000000001</v>
      </c>
      <c r="BO294" s="4">
        <v>21.120539999999998</v>
      </c>
      <c r="BP294" s="4">
        <v>21.57667</v>
      </c>
      <c r="BQ294" s="4">
        <v>21.84225</v>
      </c>
      <c r="BR294" s="4">
        <v>23.455850000000002</v>
      </c>
      <c r="BS294" s="4">
        <v>23.81597</v>
      </c>
      <c r="BT294" s="4">
        <v>24.330850000000002</v>
      </c>
      <c r="BU294" s="4">
        <v>22.447780000000002</v>
      </c>
      <c r="BV294" s="4">
        <v>22.65551</v>
      </c>
      <c r="BW294" s="4">
        <v>24.305289999999999</v>
      </c>
    </row>
    <row r="295" spans="1:75">
      <c r="U295" s="4">
        <v>1</v>
      </c>
      <c r="V295" s="4">
        <v>2.2856999999999999E-2</v>
      </c>
      <c r="W295" s="4">
        <v>2.0906000000000001E-2</v>
      </c>
      <c r="X295" s="4">
        <v>2.1656000000000002E-2</v>
      </c>
      <c r="Y295" s="4">
        <v>8.3829999999999998E-3</v>
      </c>
      <c r="Z295" s="4">
        <v>1.1062000000000001E-2</v>
      </c>
      <c r="AA295" s="4">
        <v>1.1806000000000001E-2</v>
      </c>
      <c r="AB295" s="4">
        <v>1.8082976000000001E-2</v>
      </c>
      <c r="AC295" s="4">
        <v>2.8726999999999999E-2</v>
      </c>
      <c r="AD295" s="4">
        <v>2.1000999999999999E-2</v>
      </c>
      <c r="AE295" s="4">
        <v>3.1859999999999999E-2</v>
      </c>
      <c r="AF295" s="4">
        <v>3.0959E-2</v>
      </c>
      <c r="AG295" s="4">
        <v>2.9458999999999999E-2</v>
      </c>
      <c r="AH295" s="4" t="s">
        <v>2052</v>
      </c>
      <c r="AI295" s="4">
        <v>1.4484E-2</v>
      </c>
      <c r="AJ295" s="4">
        <v>1.3294E-2</v>
      </c>
      <c r="AK295" s="4">
        <v>3.3704999999999999E-2</v>
      </c>
      <c r="AL295" s="4">
        <v>3.2675000000000003E-2</v>
      </c>
      <c r="AM295" s="4">
        <v>3.1302000000000003E-2</v>
      </c>
      <c r="AN295" s="4">
        <v>3.1988999999999997E-2</v>
      </c>
      <c r="AO295" s="4">
        <v>3.628E-2</v>
      </c>
      <c r="AP295" s="4">
        <v>3.0099999999999998E-2</v>
      </c>
      <c r="AQ295" s="4">
        <v>0.30479099999999998</v>
      </c>
      <c r="AR295" s="4">
        <v>0.31529499999999999</v>
      </c>
      <c r="AS295" s="4">
        <v>0.31079299999999999</v>
      </c>
      <c r="AT295" s="4">
        <v>0.40228199999999997</v>
      </c>
      <c r="AU295" s="4">
        <v>0.46775800000000001</v>
      </c>
      <c r="AV295" s="4">
        <v>0.418651</v>
      </c>
      <c r="AW295" s="4">
        <v>4.6650999999999998</v>
      </c>
      <c r="AX295" s="4">
        <v>4.6365910000000001</v>
      </c>
      <c r="AY295" s="4">
        <v>4.723617</v>
      </c>
      <c r="AZ295" s="4">
        <v>4.2579370000000001</v>
      </c>
      <c r="BA295" s="4">
        <v>4.3382940000000003</v>
      </c>
      <c r="BB295" s="4">
        <v>4.2311509999999997</v>
      </c>
      <c r="BC295" s="4">
        <v>3.6615160000000002</v>
      </c>
      <c r="BD295" s="4">
        <v>3.7422029999999999</v>
      </c>
      <c r="BE295" s="4">
        <v>4.0821170000000002</v>
      </c>
      <c r="BF295" s="4">
        <v>12.86806</v>
      </c>
      <c r="BG295" s="4">
        <v>12.6715</v>
      </c>
      <c r="BH295" s="4">
        <v>12.21386</v>
      </c>
      <c r="BI295" s="4">
        <v>11.500500000000001</v>
      </c>
      <c r="BJ295" s="4">
        <v>11.750500000000001</v>
      </c>
      <c r="BK295" s="4">
        <v>11.396330000000001</v>
      </c>
      <c r="BL295" s="4">
        <v>12.355079999999999</v>
      </c>
      <c r="BM295" s="4">
        <v>12.54735</v>
      </c>
      <c r="BN295" s="4">
        <v>12.392849999999999</v>
      </c>
      <c r="BO295" s="4">
        <v>21.510649999999998</v>
      </c>
      <c r="BP295" s="4">
        <v>22.11083</v>
      </c>
      <c r="BQ295" s="4">
        <v>22.11083</v>
      </c>
      <c r="BR295" s="4" t="s">
        <v>2053</v>
      </c>
      <c r="BS295" s="4">
        <v>20.567460000000001</v>
      </c>
      <c r="BT295" s="4">
        <v>21.531749999999999</v>
      </c>
      <c r="BU295" s="169" t="s">
        <v>2055</v>
      </c>
      <c r="BV295" s="169" t="s">
        <v>2056</v>
      </c>
      <c r="BW295" s="169" t="s">
        <v>2057</v>
      </c>
    </row>
    <row r="296" spans="1:75">
      <c r="U296" s="4">
        <v>10</v>
      </c>
      <c r="V296" s="4">
        <v>2.5408E-2</v>
      </c>
      <c r="W296" s="4">
        <v>2.0906000000000001E-2</v>
      </c>
      <c r="X296" s="4">
        <v>2.4806999999999999E-2</v>
      </c>
      <c r="Y296" s="4">
        <v>1.1358999999999999E-2</v>
      </c>
      <c r="Z296" s="4">
        <v>1.2102999999999999E-2</v>
      </c>
      <c r="AA296" s="4">
        <v>1.2102999999999999E-2</v>
      </c>
      <c r="AB296" s="4">
        <v>2.4606580999999999E-2</v>
      </c>
      <c r="AC296" s="4">
        <v>2.2030999999999999E-2</v>
      </c>
      <c r="AD296" s="4">
        <v>2.495E-2</v>
      </c>
      <c r="AE296" s="4">
        <v>0.13073899999999999</v>
      </c>
      <c r="AF296" s="4">
        <v>0.12773799999999999</v>
      </c>
      <c r="AG296" s="4">
        <v>0.13224</v>
      </c>
      <c r="AH296" s="4" t="s">
        <v>2054</v>
      </c>
      <c r="AI296" s="4">
        <v>9.8710000000000006E-2</v>
      </c>
      <c r="AJ296" s="4">
        <v>0.101687</v>
      </c>
      <c r="AK296" s="4">
        <v>7.9027E-2</v>
      </c>
      <c r="AL296" s="4">
        <v>7.2503999999999999E-2</v>
      </c>
      <c r="AM296" s="4">
        <v>7.4049000000000004E-2</v>
      </c>
      <c r="AN296" s="4">
        <v>5.774E-2</v>
      </c>
      <c r="AO296" s="4">
        <v>6.2717999999999996E-2</v>
      </c>
      <c r="AP296" s="4">
        <v>5.6023000000000003E-2</v>
      </c>
      <c r="AQ296" s="4">
        <v>0.81794500000000003</v>
      </c>
      <c r="AR296" s="4">
        <v>0.82094599999999995</v>
      </c>
      <c r="AS296" s="4">
        <v>0.85845800000000005</v>
      </c>
      <c r="AT296" s="4">
        <v>0.42013899999999998</v>
      </c>
      <c r="AU296" s="4">
        <v>0.437996</v>
      </c>
      <c r="AV296" s="4">
        <v>0.44841300000000001</v>
      </c>
      <c r="AW296" s="4" t="s">
        <v>2083</v>
      </c>
      <c r="AX296" s="4" t="s">
        <v>2082</v>
      </c>
      <c r="AY296" s="4" t="s">
        <v>2081</v>
      </c>
      <c r="AZ296" s="4" t="s">
        <v>2080</v>
      </c>
      <c r="BA296" s="4" t="s">
        <v>2079</v>
      </c>
      <c r="BB296" s="4" t="s">
        <v>2078</v>
      </c>
      <c r="BC296" s="4" t="s">
        <v>2077</v>
      </c>
      <c r="BD296" s="4" t="s">
        <v>2076</v>
      </c>
      <c r="BE296" s="4" t="s">
        <v>2075</v>
      </c>
      <c r="BF296" s="4" t="s">
        <v>2074</v>
      </c>
      <c r="BG296" s="4" t="s">
        <v>2073</v>
      </c>
      <c r="BH296" s="4" t="s">
        <v>2072</v>
      </c>
      <c r="BI296" s="4" t="s">
        <v>2070</v>
      </c>
      <c r="BJ296" s="4" t="s">
        <v>2071</v>
      </c>
      <c r="BK296" s="4" t="s">
        <v>2070</v>
      </c>
      <c r="BL296" s="4" t="s">
        <v>2069</v>
      </c>
      <c r="BM296" s="4" t="s">
        <v>2068</v>
      </c>
      <c r="BN296" s="4" t="s">
        <v>2067</v>
      </c>
      <c r="BO296" s="4" t="s">
        <v>2066</v>
      </c>
      <c r="BP296" s="4" t="s">
        <v>2065</v>
      </c>
      <c r="BQ296" s="4" t="s">
        <v>2064</v>
      </c>
      <c r="BR296" s="4" t="s">
        <v>2063</v>
      </c>
      <c r="BS296" s="4" t="s">
        <v>2062</v>
      </c>
      <c r="BT296" s="4" t="s">
        <v>2061</v>
      </c>
      <c r="BU296" s="169" t="s">
        <v>2060</v>
      </c>
      <c r="BV296" s="169" t="s">
        <v>2059</v>
      </c>
      <c r="BW296" s="169" t="s">
        <v>2058</v>
      </c>
    </row>
  </sheetData>
  <mergeCells count="687">
    <mergeCell ref="AM176:AR176"/>
    <mergeCell ref="AS176:AX176"/>
    <mergeCell ref="AA166:AF166"/>
    <mergeCell ref="AG166:AL166"/>
    <mergeCell ref="AM166:AR166"/>
    <mergeCell ref="O186:T186"/>
    <mergeCell ref="U186:Z186"/>
    <mergeCell ref="O166:T166"/>
    <mergeCell ref="U166:Z166"/>
    <mergeCell ref="AS166:AX166"/>
    <mergeCell ref="AM167:AN167"/>
    <mergeCell ref="AO167:AP167"/>
    <mergeCell ref="AQ167:AR167"/>
    <mergeCell ref="AS167:AT167"/>
    <mergeCell ref="AU167:AV167"/>
    <mergeCell ref="AW167:AX167"/>
    <mergeCell ref="AK177:AL177"/>
    <mergeCell ref="AM177:AN177"/>
    <mergeCell ref="AO177:AP177"/>
    <mergeCell ref="AQ177:AR177"/>
    <mergeCell ref="Q177:R177"/>
    <mergeCell ref="O177:P177"/>
    <mergeCell ref="B1:S1"/>
    <mergeCell ref="B2:G2"/>
    <mergeCell ref="H2:M2"/>
    <mergeCell ref="N2:S2"/>
    <mergeCell ref="N58:P58"/>
    <mergeCell ref="B57:J57"/>
    <mergeCell ref="B45:S45"/>
    <mergeCell ref="B46:G46"/>
    <mergeCell ref="H46:M46"/>
    <mergeCell ref="N46:S46"/>
    <mergeCell ref="B12:S12"/>
    <mergeCell ref="B13:G13"/>
    <mergeCell ref="H13:M13"/>
    <mergeCell ref="N13:S13"/>
    <mergeCell ref="B58:G58"/>
    <mergeCell ref="H58:M58"/>
    <mergeCell ref="H35:M35"/>
    <mergeCell ref="N35:S35"/>
    <mergeCell ref="B23:S23"/>
    <mergeCell ref="B24:G24"/>
    <mergeCell ref="H24:M24"/>
    <mergeCell ref="N24:S24"/>
    <mergeCell ref="U247:Z247"/>
    <mergeCell ref="B219:G219"/>
    <mergeCell ref="H219:M219"/>
    <mergeCell ref="B34:S34"/>
    <mergeCell ref="B35:G35"/>
    <mergeCell ref="AM247:AR247"/>
    <mergeCell ref="AS247:AX247"/>
    <mergeCell ref="AM237:AR237"/>
    <mergeCell ref="AS237:AX237"/>
    <mergeCell ref="O227:T227"/>
    <mergeCell ref="U227:Z227"/>
    <mergeCell ref="AG227:AL227"/>
    <mergeCell ref="AM227:AR227"/>
    <mergeCell ref="AS227:AX227"/>
    <mergeCell ref="AA227:AF227"/>
    <mergeCell ref="AA247:AF247"/>
    <mergeCell ref="AG247:AL247"/>
    <mergeCell ref="U237:Z237"/>
    <mergeCell ref="AA237:AF237"/>
    <mergeCell ref="AG237:AL237"/>
    <mergeCell ref="AG146:AL146"/>
    <mergeCell ref="AG186:AL186"/>
    <mergeCell ref="AM186:AR186"/>
    <mergeCell ref="AS186:AX186"/>
    <mergeCell ref="AA217:AF217"/>
    <mergeCell ref="AG217:AL217"/>
    <mergeCell ref="AA186:AF186"/>
    <mergeCell ref="AA176:AF176"/>
    <mergeCell ref="AG176:AL176"/>
    <mergeCell ref="B158:G158"/>
    <mergeCell ref="H158:M158"/>
    <mergeCell ref="B157:M157"/>
    <mergeCell ref="B168:G168"/>
    <mergeCell ref="H168:M168"/>
    <mergeCell ref="B167:M167"/>
    <mergeCell ref="O167:P167"/>
    <mergeCell ref="Q167:R167"/>
    <mergeCell ref="S167:T167"/>
    <mergeCell ref="AC167:AD167"/>
    <mergeCell ref="AE167:AF167"/>
    <mergeCell ref="AG167:AH167"/>
    <mergeCell ref="AI167:AJ167"/>
    <mergeCell ref="AK167:AL167"/>
    <mergeCell ref="AA177:AB177"/>
    <mergeCell ref="AC177:AD177"/>
    <mergeCell ref="AE177:AF177"/>
    <mergeCell ref="AG177:AH177"/>
    <mergeCell ref="AI177:AJ177"/>
    <mergeCell ref="Y36:Z36"/>
    <mergeCell ref="B123:S123"/>
    <mergeCell ref="B101:S101"/>
    <mergeCell ref="B68:J68"/>
    <mergeCell ref="N69:P69"/>
    <mergeCell ref="B145:S145"/>
    <mergeCell ref="B134:S134"/>
    <mergeCell ref="B79:J79"/>
    <mergeCell ref="B112:S112"/>
    <mergeCell ref="T145:AK145"/>
    <mergeCell ref="AE36:AF36"/>
    <mergeCell ref="AG36:AH36"/>
    <mergeCell ref="AI36:AJ36"/>
    <mergeCell ref="AK36:AL36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U57:Z57"/>
    <mergeCell ref="B228:M228"/>
    <mergeCell ref="B229:G229"/>
    <mergeCell ref="H229:M229"/>
    <mergeCell ref="B209:G209"/>
    <mergeCell ref="H209:M209"/>
    <mergeCell ref="O217:T217"/>
    <mergeCell ref="O176:T176"/>
    <mergeCell ref="U176:Z176"/>
    <mergeCell ref="B187:M187"/>
    <mergeCell ref="B188:G188"/>
    <mergeCell ref="H188:M188"/>
    <mergeCell ref="B177:M177"/>
    <mergeCell ref="W218:X218"/>
    <mergeCell ref="Y218:Z218"/>
    <mergeCell ref="U177:V177"/>
    <mergeCell ref="W177:X177"/>
    <mergeCell ref="Y177:Z177"/>
    <mergeCell ref="Q198:R198"/>
    <mergeCell ref="U198:V198"/>
    <mergeCell ref="W198:X198"/>
    <mergeCell ref="Y198:Z198"/>
    <mergeCell ref="B178:G178"/>
    <mergeCell ref="H178:M178"/>
    <mergeCell ref="S177:T177"/>
    <mergeCell ref="AM217:AR217"/>
    <mergeCell ref="AS217:AX217"/>
    <mergeCell ref="AM207:AR207"/>
    <mergeCell ref="B218:M218"/>
    <mergeCell ref="AM197:AR197"/>
    <mergeCell ref="AS197:AX197"/>
    <mergeCell ref="B198:M198"/>
    <mergeCell ref="O207:T207"/>
    <mergeCell ref="U207:Z207"/>
    <mergeCell ref="AA207:AF207"/>
    <mergeCell ref="AG207:AL207"/>
    <mergeCell ref="B199:G199"/>
    <mergeCell ref="H199:M199"/>
    <mergeCell ref="O197:T197"/>
    <mergeCell ref="U197:Z197"/>
    <mergeCell ref="AA197:AF197"/>
    <mergeCell ref="AG197:AL197"/>
    <mergeCell ref="AS207:AX207"/>
    <mergeCell ref="B208:M208"/>
    <mergeCell ref="U217:Z217"/>
    <mergeCell ref="U218:V218"/>
    <mergeCell ref="AI218:AJ218"/>
    <mergeCell ref="AK218:AL218"/>
    <mergeCell ref="AM218:AN218"/>
    <mergeCell ref="W258:X258"/>
    <mergeCell ref="S258:T258"/>
    <mergeCell ref="Q258:R258"/>
    <mergeCell ref="B258:M258"/>
    <mergeCell ref="B259:G259"/>
    <mergeCell ref="H259:M259"/>
    <mergeCell ref="AS156:AX156"/>
    <mergeCell ref="O258:P258"/>
    <mergeCell ref="U258:V258"/>
    <mergeCell ref="AA258:AB258"/>
    <mergeCell ref="AG258:AH258"/>
    <mergeCell ref="AM258:AN258"/>
    <mergeCell ref="AS258:AT258"/>
    <mergeCell ref="AW258:AX258"/>
    <mergeCell ref="AU258:AV258"/>
    <mergeCell ref="AQ258:AR258"/>
    <mergeCell ref="AO258:AP258"/>
    <mergeCell ref="AK258:AL258"/>
    <mergeCell ref="AI258:AJ258"/>
    <mergeCell ref="AE258:AF258"/>
    <mergeCell ref="U156:Z156"/>
    <mergeCell ref="U248:V248"/>
    <mergeCell ref="W248:X248"/>
    <mergeCell ref="AE248:AF248"/>
    <mergeCell ref="T1:BP1"/>
    <mergeCell ref="U2:AB2"/>
    <mergeCell ref="AC2:AJ2"/>
    <mergeCell ref="AK2:AR2"/>
    <mergeCell ref="AS2:AZ2"/>
    <mergeCell ref="BA2:BH2"/>
    <mergeCell ref="BI2:BP2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BK3:BL3"/>
    <mergeCell ref="BM3:BN3"/>
    <mergeCell ref="BO3:BP3"/>
    <mergeCell ref="U146:Z146"/>
    <mergeCell ref="AA146:AF146"/>
    <mergeCell ref="AU3:AV3"/>
    <mergeCell ref="AW3:AX3"/>
    <mergeCell ref="AY3:AZ3"/>
    <mergeCell ref="BA3:BB3"/>
    <mergeCell ref="BG3:BH3"/>
    <mergeCell ref="BI3:BJ3"/>
    <mergeCell ref="BC3:BD3"/>
    <mergeCell ref="BE3:BF3"/>
    <mergeCell ref="T12:BP12"/>
    <mergeCell ref="U13:AB13"/>
    <mergeCell ref="AC13:AJ13"/>
    <mergeCell ref="AK13:AR13"/>
    <mergeCell ref="AS13:AZ13"/>
    <mergeCell ref="BA13:BH13"/>
    <mergeCell ref="BI13:BP13"/>
    <mergeCell ref="AA14:AB14"/>
    <mergeCell ref="AC14:AD14"/>
    <mergeCell ref="AE14:AF14"/>
    <mergeCell ref="AG14:AH14"/>
    <mergeCell ref="AI14:AJ14"/>
    <mergeCell ref="AK14:AL14"/>
    <mergeCell ref="BE14:BF14"/>
    <mergeCell ref="BG14:BH14"/>
    <mergeCell ref="BI14:BJ14"/>
    <mergeCell ref="BK14:BL14"/>
    <mergeCell ref="BM14:BN14"/>
    <mergeCell ref="BO14:BP14"/>
    <mergeCell ref="T23:BP23"/>
    <mergeCell ref="U24:AB24"/>
    <mergeCell ref="AC24:AJ24"/>
    <mergeCell ref="AK24:AR24"/>
    <mergeCell ref="AS24:AZ24"/>
    <mergeCell ref="BA24:BH24"/>
    <mergeCell ref="BI24:BP2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C14:BD14"/>
    <mergeCell ref="U14:V14"/>
    <mergeCell ref="W14:X14"/>
    <mergeCell ref="Y14:Z14"/>
    <mergeCell ref="BI25:BJ25"/>
    <mergeCell ref="BK25:BL25"/>
    <mergeCell ref="BM25:BN25"/>
    <mergeCell ref="BO25:BP25"/>
    <mergeCell ref="T34:BP34"/>
    <mergeCell ref="U35:AB35"/>
    <mergeCell ref="AC35:AJ35"/>
    <mergeCell ref="AK35:AR35"/>
    <mergeCell ref="AS35:AZ35"/>
    <mergeCell ref="BA35:BH35"/>
    <mergeCell ref="BI35:BP3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U25:V25"/>
    <mergeCell ref="W25:X25"/>
    <mergeCell ref="Y25:Z25"/>
    <mergeCell ref="AA25:AB25"/>
    <mergeCell ref="BE25:BF25"/>
    <mergeCell ref="BG25:BH25"/>
    <mergeCell ref="AC25:AD25"/>
    <mergeCell ref="AE25:AF25"/>
    <mergeCell ref="AG25:AH25"/>
    <mergeCell ref="AI25:AJ25"/>
    <mergeCell ref="AK25:AL25"/>
    <mergeCell ref="BE36:BF36"/>
    <mergeCell ref="BG36:BH36"/>
    <mergeCell ref="BI36:BJ36"/>
    <mergeCell ref="BK36:BL36"/>
    <mergeCell ref="BM36:BN36"/>
    <mergeCell ref="BO36:BP36"/>
    <mergeCell ref="T45:BP45"/>
    <mergeCell ref="U46:AB46"/>
    <mergeCell ref="AC46:AJ46"/>
    <mergeCell ref="AK46:AR46"/>
    <mergeCell ref="AS46:AZ46"/>
    <mergeCell ref="BA46:BH46"/>
    <mergeCell ref="BI46:BP4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U36:V36"/>
    <mergeCell ref="W36:X36"/>
    <mergeCell ref="AA36:AB36"/>
    <mergeCell ref="AC36:AD36"/>
    <mergeCell ref="BE47:BF47"/>
    <mergeCell ref="BG47:BH47"/>
    <mergeCell ref="BI47:BJ47"/>
    <mergeCell ref="BK47:BL47"/>
    <mergeCell ref="BM47:BN47"/>
    <mergeCell ref="BO47:BP47"/>
    <mergeCell ref="T90:BP90"/>
    <mergeCell ref="U91:AB91"/>
    <mergeCell ref="AC91:AJ91"/>
    <mergeCell ref="AK91:AR91"/>
    <mergeCell ref="AS91:AZ91"/>
    <mergeCell ref="BA91:BH91"/>
    <mergeCell ref="BI91:BP91"/>
    <mergeCell ref="U79:AL79"/>
    <mergeCell ref="V67:AM6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BI92:BJ92"/>
    <mergeCell ref="BK92:BL92"/>
    <mergeCell ref="BM92:BN92"/>
    <mergeCell ref="BO92:BP92"/>
    <mergeCell ref="T101:BP101"/>
    <mergeCell ref="U102:AB102"/>
    <mergeCell ref="AC102:AJ102"/>
    <mergeCell ref="AK102:AR102"/>
    <mergeCell ref="AS102:AZ102"/>
    <mergeCell ref="BA102:BH102"/>
    <mergeCell ref="BI102:BP102"/>
    <mergeCell ref="AM92:AN92"/>
    <mergeCell ref="AO92:AP92"/>
    <mergeCell ref="AQ92:AR92"/>
    <mergeCell ref="AS92:AT92"/>
    <mergeCell ref="AU92:AV92"/>
    <mergeCell ref="AW92:AX92"/>
    <mergeCell ref="AY92:AZ92"/>
    <mergeCell ref="BA92:BB92"/>
    <mergeCell ref="BC92:BD92"/>
    <mergeCell ref="U92:V92"/>
    <mergeCell ref="W92:X92"/>
    <mergeCell ref="Y92:Z92"/>
    <mergeCell ref="AA92:AB92"/>
    <mergeCell ref="BE92:BF92"/>
    <mergeCell ref="BG92:BH92"/>
    <mergeCell ref="AC92:AD92"/>
    <mergeCell ref="AE92:AF92"/>
    <mergeCell ref="AG92:AH92"/>
    <mergeCell ref="AI92:AJ92"/>
    <mergeCell ref="AK92:AL92"/>
    <mergeCell ref="BE103:BF103"/>
    <mergeCell ref="BG103:BH103"/>
    <mergeCell ref="BO103:BP103"/>
    <mergeCell ref="T112:BP112"/>
    <mergeCell ref="U113:AB113"/>
    <mergeCell ref="AC113:AJ113"/>
    <mergeCell ref="AK113:AR113"/>
    <mergeCell ref="AS113:AZ113"/>
    <mergeCell ref="BA113:BH113"/>
    <mergeCell ref="BI113:BP113"/>
    <mergeCell ref="AM103:AN103"/>
    <mergeCell ref="AO103:AP103"/>
    <mergeCell ref="AQ103:AR103"/>
    <mergeCell ref="AS103:AT103"/>
    <mergeCell ref="AU103:AV103"/>
    <mergeCell ref="AW103:AX103"/>
    <mergeCell ref="AY103:AZ103"/>
    <mergeCell ref="BA103:BB103"/>
    <mergeCell ref="BC103:BD103"/>
    <mergeCell ref="U103:V103"/>
    <mergeCell ref="W103:X103"/>
    <mergeCell ref="AA103:AB103"/>
    <mergeCell ref="AC103:AD103"/>
    <mergeCell ref="AI103:AJ103"/>
    <mergeCell ref="AK103:AL103"/>
    <mergeCell ref="Y103:Z103"/>
    <mergeCell ref="BO114:BP114"/>
    <mergeCell ref="T123:BP123"/>
    <mergeCell ref="U124:AB124"/>
    <mergeCell ref="AC124:AJ124"/>
    <mergeCell ref="AK124:AR124"/>
    <mergeCell ref="AS124:AZ124"/>
    <mergeCell ref="BA124:BH124"/>
    <mergeCell ref="BI124:BP124"/>
    <mergeCell ref="AM114:AN114"/>
    <mergeCell ref="AO114:AP114"/>
    <mergeCell ref="AQ114:AR114"/>
    <mergeCell ref="AS114:AT114"/>
    <mergeCell ref="AU114:AV114"/>
    <mergeCell ref="AW114:AX114"/>
    <mergeCell ref="AY114:AZ114"/>
    <mergeCell ref="BA114:BB114"/>
    <mergeCell ref="BC114:BD114"/>
    <mergeCell ref="U114:V114"/>
    <mergeCell ref="W114:X114"/>
    <mergeCell ref="Y114:Z114"/>
    <mergeCell ref="AA114:AB114"/>
    <mergeCell ref="AC114:AD114"/>
    <mergeCell ref="AE114:AF114"/>
    <mergeCell ref="AG114:AH114"/>
    <mergeCell ref="BO125:BP125"/>
    <mergeCell ref="T134:BP134"/>
    <mergeCell ref="U135:AB135"/>
    <mergeCell ref="AC135:AJ135"/>
    <mergeCell ref="AK135:AR135"/>
    <mergeCell ref="AS135:AZ135"/>
    <mergeCell ref="BA135:BH135"/>
    <mergeCell ref="BI135:BP135"/>
    <mergeCell ref="AM125:AN125"/>
    <mergeCell ref="AO125:AP125"/>
    <mergeCell ref="AQ125:AR125"/>
    <mergeCell ref="AS125:AT125"/>
    <mergeCell ref="AU125:AV125"/>
    <mergeCell ref="AW125:AX125"/>
    <mergeCell ref="AY125:AZ125"/>
    <mergeCell ref="BA125:BB125"/>
    <mergeCell ref="BC125:BD125"/>
    <mergeCell ref="U125:V125"/>
    <mergeCell ref="W125:X125"/>
    <mergeCell ref="AA125:AB125"/>
    <mergeCell ref="AC125:AD125"/>
    <mergeCell ref="Y125:Z125"/>
    <mergeCell ref="AE125:AF125"/>
    <mergeCell ref="AG125:AH125"/>
    <mergeCell ref="BI125:BJ125"/>
    <mergeCell ref="BK125:BL125"/>
    <mergeCell ref="BM125:BN125"/>
    <mergeCell ref="BE114:BF114"/>
    <mergeCell ref="BG114:BH114"/>
    <mergeCell ref="BM114:BN114"/>
    <mergeCell ref="BI103:BJ103"/>
    <mergeCell ref="BK103:BL103"/>
    <mergeCell ref="BM103:BN103"/>
    <mergeCell ref="BE125:BF125"/>
    <mergeCell ref="BG125:BH125"/>
    <mergeCell ref="BI114:BJ114"/>
    <mergeCell ref="BK114:BL114"/>
    <mergeCell ref="BI136:BJ136"/>
    <mergeCell ref="BK136:BL136"/>
    <mergeCell ref="BM136:BN136"/>
    <mergeCell ref="BO136:BP136"/>
    <mergeCell ref="AS136:AT136"/>
    <mergeCell ref="AU136:AV136"/>
    <mergeCell ref="AW136:AX136"/>
    <mergeCell ref="AY136:AZ136"/>
    <mergeCell ref="BA136:BB136"/>
    <mergeCell ref="BC136:BD136"/>
    <mergeCell ref="K287:S287"/>
    <mergeCell ref="B287:J287"/>
    <mergeCell ref="V273:X273"/>
    <mergeCell ref="Y273:AA273"/>
    <mergeCell ref="AM146:AR146"/>
    <mergeCell ref="AS146:AX146"/>
    <mergeCell ref="AY146:BD146"/>
    <mergeCell ref="BE136:BF136"/>
    <mergeCell ref="BG136:BH136"/>
    <mergeCell ref="AM136:AN136"/>
    <mergeCell ref="AO136:AP136"/>
    <mergeCell ref="AQ136:AR136"/>
    <mergeCell ref="U136:V136"/>
    <mergeCell ref="W136:X136"/>
    <mergeCell ref="Y136:Z136"/>
    <mergeCell ref="AA136:AB136"/>
    <mergeCell ref="AC136:AD136"/>
    <mergeCell ref="AE136:AF136"/>
    <mergeCell ref="AG136:AH136"/>
    <mergeCell ref="AI136:AJ136"/>
    <mergeCell ref="AK136:AL136"/>
    <mergeCell ref="AC258:AD258"/>
    <mergeCell ref="Y258:Z258"/>
    <mergeCell ref="O156:T156"/>
    <mergeCell ref="B274:M274"/>
    <mergeCell ref="B286:M286"/>
    <mergeCell ref="B273:M273"/>
    <mergeCell ref="B275:J275"/>
    <mergeCell ref="K275:S275"/>
    <mergeCell ref="B249:G249"/>
    <mergeCell ref="H249:M249"/>
    <mergeCell ref="O247:T247"/>
    <mergeCell ref="O237:T237"/>
    <mergeCell ref="S248:T248"/>
    <mergeCell ref="Q248:R248"/>
    <mergeCell ref="O248:P248"/>
    <mergeCell ref="B238:M238"/>
    <mergeCell ref="H239:M239"/>
    <mergeCell ref="B239:G239"/>
    <mergeCell ref="B248:M248"/>
    <mergeCell ref="AG248:AH248"/>
    <mergeCell ref="AI248:AJ248"/>
    <mergeCell ref="AK248:AL248"/>
    <mergeCell ref="AM248:AN248"/>
    <mergeCell ref="AO248:AP248"/>
    <mergeCell ref="B80:G80"/>
    <mergeCell ref="H80:M80"/>
    <mergeCell ref="B69:G69"/>
    <mergeCell ref="H69:M69"/>
    <mergeCell ref="B90:S90"/>
    <mergeCell ref="B91:G91"/>
    <mergeCell ref="H91:M91"/>
    <mergeCell ref="N91:S91"/>
    <mergeCell ref="S218:T218"/>
    <mergeCell ref="O157:P157"/>
    <mergeCell ref="Q157:R157"/>
    <mergeCell ref="S157:T157"/>
    <mergeCell ref="AI125:AJ125"/>
    <mergeCell ref="AK125:AL125"/>
    <mergeCell ref="AE103:AF103"/>
    <mergeCell ref="AG103:AH103"/>
    <mergeCell ref="AI114:AJ114"/>
    <mergeCell ref="AK114:AL114"/>
    <mergeCell ref="AG218:AH218"/>
    <mergeCell ref="AW248:AX24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AU208:AV208"/>
    <mergeCell ref="AW208:AX208"/>
    <mergeCell ref="O218:P218"/>
    <mergeCell ref="Q218:R218"/>
    <mergeCell ref="Y248:Z248"/>
    <mergeCell ref="AA248:AB248"/>
    <mergeCell ref="AC248:AD248"/>
    <mergeCell ref="AO218:AP218"/>
    <mergeCell ref="AQ218:AR218"/>
    <mergeCell ref="AQ248:AR248"/>
    <mergeCell ref="AS248:AT248"/>
    <mergeCell ref="AU248:AV248"/>
    <mergeCell ref="AS218:AT218"/>
    <mergeCell ref="AU218:AV218"/>
    <mergeCell ref="AW218:AX21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K228:AL228"/>
    <mergeCell ref="AM228:AN228"/>
    <mergeCell ref="AO228:AP228"/>
    <mergeCell ref="AQ228:AR228"/>
    <mergeCell ref="AS228:AT228"/>
    <mergeCell ref="AU228:AV228"/>
    <mergeCell ref="AW228:AX228"/>
    <mergeCell ref="AA218:AB218"/>
    <mergeCell ref="AC218:AD218"/>
    <mergeCell ref="AE218:AF218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AU147:AV147"/>
    <mergeCell ref="AW147:AX147"/>
    <mergeCell ref="U167:V167"/>
    <mergeCell ref="W167:X167"/>
    <mergeCell ref="Y167:Z167"/>
    <mergeCell ref="AA167:AB167"/>
    <mergeCell ref="BC147:BD147"/>
    <mergeCell ref="U157:V157"/>
    <mergeCell ref="W157:X157"/>
    <mergeCell ref="Y157:Z157"/>
    <mergeCell ref="AA157:AB157"/>
    <mergeCell ref="AC157:AD157"/>
    <mergeCell ref="AE157:AF157"/>
    <mergeCell ref="AG157:AH157"/>
    <mergeCell ref="AI157:AJ157"/>
    <mergeCell ref="AK157:AL157"/>
    <mergeCell ref="AM157:AN157"/>
    <mergeCell ref="AO157:AP157"/>
    <mergeCell ref="AQ157:AR157"/>
    <mergeCell ref="AS157:AT157"/>
    <mergeCell ref="AU157:AV157"/>
    <mergeCell ref="AW157:AX157"/>
    <mergeCell ref="AA156:AF156"/>
    <mergeCell ref="AG156:AL156"/>
    <mergeCell ref="AM156:AR156"/>
    <mergeCell ref="O187:P187"/>
    <mergeCell ref="Q187:R187"/>
    <mergeCell ref="S187:T187"/>
    <mergeCell ref="U187:V187"/>
    <mergeCell ref="W187:X187"/>
    <mergeCell ref="Y187:Z187"/>
    <mergeCell ref="AS198:AT198"/>
    <mergeCell ref="AU198:AV198"/>
    <mergeCell ref="AG187:AH187"/>
    <mergeCell ref="AI187:AJ187"/>
    <mergeCell ref="AK187:AL187"/>
    <mergeCell ref="AM187:AN187"/>
    <mergeCell ref="AO187:AP187"/>
    <mergeCell ref="AQ187:AR187"/>
    <mergeCell ref="AS187:AT187"/>
    <mergeCell ref="AU187:AV187"/>
    <mergeCell ref="U68:Z68"/>
    <mergeCell ref="AA68:AF68"/>
    <mergeCell ref="AG68:AL68"/>
    <mergeCell ref="AM68:AR68"/>
    <mergeCell ref="AS68:AX68"/>
    <mergeCell ref="AY68:BD68"/>
    <mergeCell ref="AA198:AB198"/>
    <mergeCell ref="AC198:AD198"/>
    <mergeCell ref="AE198:AF198"/>
    <mergeCell ref="AG198:AH198"/>
    <mergeCell ref="AI198:AJ198"/>
    <mergeCell ref="AK198:AL198"/>
    <mergeCell ref="AM198:AN198"/>
    <mergeCell ref="AO198:AP198"/>
    <mergeCell ref="AQ198:AR198"/>
    <mergeCell ref="AS177:AT177"/>
    <mergeCell ref="AU177:AV177"/>
    <mergeCell ref="AW177:AX177"/>
    <mergeCell ref="AA187:AB187"/>
    <mergeCell ref="AC187:AD187"/>
    <mergeCell ref="AE187:AF187"/>
    <mergeCell ref="AW187:AX187"/>
    <mergeCell ref="AY147:AZ147"/>
    <mergeCell ref="BA147:BB147"/>
    <mergeCell ref="AA57:AF57"/>
    <mergeCell ref="AG57:AL57"/>
    <mergeCell ref="AM57:AR57"/>
    <mergeCell ref="AS57:AX57"/>
    <mergeCell ref="AY57:BD57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AU238:AV238"/>
    <mergeCell ref="AW238:AX238"/>
    <mergeCell ref="AW198:AX198"/>
  </mergeCells>
  <phoneticPr fontId="3" type="noConversion"/>
  <conditionalFormatting sqref="B293:J29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{BB39D2E4-9303-4EE4-A9F5-C0E8B4152FA9}</x14:id>
        </ext>
      </extLst>
    </cfRule>
  </conditionalFormatting>
  <conditionalFormatting sqref="K293:S29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{055BEE55-6F98-47A4-A7B0-4D9478823FC2}</x14:id>
        </ext>
      </extLst>
    </cfRule>
  </conditionalFormatting>
  <conditionalFormatting sqref="BO289:BW29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{2E9EFF6D-8791-4420-941E-441B5201698D}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39D2E4-9303-4EE4-A9F5-C0E8B4152F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B293:J293</xm:sqref>
        </x14:conditionalFormatting>
        <x14:conditionalFormatting xmlns:xm="http://schemas.microsoft.com/office/excel/2006/main">
          <x14:cfRule type="dataBar" id="{055BEE55-6F98-47A4-A7B0-4D9478823F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K293:S293</xm:sqref>
        </x14:conditionalFormatting>
        <x14:conditionalFormatting xmlns:xm="http://schemas.microsoft.com/office/excel/2006/main">
          <x14:cfRule type="dataBar" id="{2E9EFF6D-8791-4420-941E-441B52016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BO289:BW296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EF0E-D536-408C-8204-A72E2D4E62A0}">
  <dimension ref="A1:AW100"/>
  <sheetViews>
    <sheetView zoomScale="70" zoomScaleNormal="70" workbookViewId="0">
      <selection activeCell="AJ96" sqref="AJ96"/>
    </sheetView>
  </sheetViews>
  <sheetFormatPr defaultRowHeight="14.25"/>
  <cols>
    <col min="1" max="1" width="27.125" customWidth="1"/>
  </cols>
  <sheetData>
    <row r="1" spans="1:49" ht="23.25">
      <c r="AO1" s="268" t="s">
        <v>2156</v>
      </c>
      <c r="AP1" s="269"/>
      <c r="AQ1" s="269"/>
      <c r="AR1" s="269"/>
      <c r="AS1" s="269"/>
      <c r="AT1" s="269"/>
      <c r="AU1" s="270"/>
    </row>
    <row r="2" spans="1:49" ht="27" thickBot="1">
      <c r="A2" s="59" t="s">
        <v>2152</v>
      </c>
      <c r="AO2" s="38" t="s">
        <v>1037</v>
      </c>
      <c r="AP2" s="235" t="s">
        <v>29</v>
      </c>
      <c r="AQ2" s="235"/>
      <c r="AR2" s="235"/>
      <c r="AS2" s="235" t="s">
        <v>30</v>
      </c>
      <c r="AT2" s="235"/>
      <c r="AU2" s="236"/>
    </row>
    <row r="3" spans="1:49" ht="18.75">
      <c r="A3" s="3" t="s">
        <v>730</v>
      </c>
      <c r="B3" s="274" t="s">
        <v>731</v>
      </c>
      <c r="C3" s="254"/>
      <c r="D3" s="254"/>
      <c r="E3" s="254"/>
      <c r="F3" s="254"/>
      <c r="G3" s="255"/>
      <c r="H3" s="274" t="s">
        <v>732</v>
      </c>
      <c r="I3" s="254"/>
      <c r="J3" s="254"/>
      <c r="K3" s="254"/>
      <c r="L3" s="254"/>
      <c r="M3" s="255"/>
      <c r="N3" s="274" t="s">
        <v>733</v>
      </c>
      <c r="O3" s="254"/>
      <c r="P3" s="254"/>
      <c r="Q3" s="254"/>
      <c r="R3" s="254"/>
      <c r="S3" s="255"/>
      <c r="T3" s="274" t="s">
        <v>734</v>
      </c>
      <c r="U3" s="254"/>
      <c r="V3" s="254"/>
      <c r="W3" s="254"/>
      <c r="X3" s="254"/>
      <c r="Y3" s="255"/>
      <c r="Z3" s="274" t="s">
        <v>735</v>
      </c>
      <c r="AA3" s="254"/>
      <c r="AB3" s="254"/>
      <c r="AC3" s="254"/>
      <c r="AD3" s="254"/>
      <c r="AE3" s="255"/>
      <c r="AF3" s="274" t="s">
        <v>736</v>
      </c>
      <c r="AG3" s="254"/>
      <c r="AH3" s="254"/>
      <c r="AI3" s="254"/>
      <c r="AJ3" s="254"/>
      <c r="AK3" s="255"/>
      <c r="AO3" s="39">
        <v>0</v>
      </c>
      <c r="AP3" s="2">
        <v>1.79</v>
      </c>
      <c r="AQ3" s="2"/>
      <c r="AR3" s="2"/>
      <c r="AS3" s="2">
        <v>1.79</v>
      </c>
      <c r="AT3" s="2"/>
      <c r="AU3" s="20"/>
      <c r="AV3" s="4" t="s">
        <v>2147</v>
      </c>
      <c r="AW3">
        <v>1.62</v>
      </c>
    </row>
    <row r="4" spans="1:49" ht="17.25">
      <c r="A4" s="2">
        <v>1E-4</v>
      </c>
      <c r="B4" s="39">
        <v>1.628223</v>
      </c>
      <c r="C4" s="2">
        <v>1.739484</v>
      </c>
      <c r="D4" s="2">
        <v>1.277013</v>
      </c>
      <c r="E4" s="2">
        <v>1.3774500000000001</v>
      </c>
      <c r="F4" s="2">
        <v>1.5121720000000001</v>
      </c>
      <c r="G4" s="20">
        <v>1.6481189999999999</v>
      </c>
      <c r="H4" s="39">
        <v>1.7014929999999999</v>
      </c>
      <c r="I4" s="2">
        <v>1.6852100000000001</v>
      </c>
      <c r="J4" s="2">
        <v>1.4163289999999999</v>
      </c>
      <c r="K4" s="2">
        <v>1.458448</v>
      </c>
      <c r="L4" s="2">
        <v>1.550111</v>
      </c>
      <c r="M4" s="20">
        <v>1.625988</v>
      </c>
      <c r="N4" s="39">
        <v>1.6960649999999999</v>
      </c>
      <c r="O4" s="2">
        <v>1.766621</v>
      </c>
      <c r="P4" s="2">
        <v>1.4163289999999999</v>
      </c>
      <c r="Q4" s="2">
        <v>1.4357690000000001</v>
      </c>
      <c r="R4" s="2">
        <v>1.625988</v>
      </c>
      <c r="S4" s="20">
        <v>1.6196649999999999</v>
      </c>
      <c r="T4" s="39">
        <v>1.7123470000000001</v>
      </c>
      <c r="U4" s="2">
        <v>1.6390769999999999</v>
      </c>
      <c r="V4" s="2">
        <v>1.3580110000000001</v>
      </c>
      <c r="W4" s="2">
        <v>1.3904099999999999</v>
      </c>
      <c r="X4" s="2">
        <v>1.6481189999999999</v>
      </c>
      <c r="Y4" s="20">
        <v>1.6955420000000001</v>
      </c>
      <c r="Z4" s="39">
        <v>1.7177750000000001</v>
      </c>
      <c r="AA4" s="2">
        <v>1.614654</v>
      </c>
      <c r="AB4" s="2">
        <v>1.422809</v>
      </c>
      <c r="AC4" s="2">
        <v>1.422809</v>
      </c>
      <c r="AD4" s="2">
        <v>1.5026870000000001</v>
      </c>
      <c r="AE4" s="20">
        <v>1.5754030000000001</v>
      </c>
      <c r="AF4" s="39">
        <v>1.614654</v>
      </c>
      <c r="AG4" s="2">
        <v>1.4219809999999999</v>
      </c>
      <c r="AH4" s="2">
        <v>1.458448</v>
      </c>
      <c r="AI4" s="2">
        <v>1.3418110000000001</v>
      </c>
      <c r="AJ4" s="2">
        <v>1.4742329999999999</v>
      </c>
      <c r="AK4" s="20">
        <v>1.515334</v>
      </c>
      <c r="AO4" s="39">
        <v>7.6999999999999996E-4</v>
      </c>
      <c r="AP4" s="2">
        <v>1.6662110000000001</v>
      </c>
      <c r="AQ4" s="2">
        <v>1.7688360000000001</v>
      </c>
      <c r="AR4" s="2">
        <v>1.802189</v>
      </c>
      <c r="AS4" s="2">
        <v>1.5712820000000001</v>
      </c>
      <c r="AT4" s="2">
        <v>1.4840500000000001</v>
      </c>
      <c r="AU4" s="20">
        <v>1.581545</v>
      </c>
      <c r="AV4" s="171" t="s">
        <v>2148</v>
      </c>
      <c r="AW4" s="2">
        <v>0.01</v>
      </c>
    </row>
    <row r="5" spans="1:49">
      <c r="A5" s="2">
        <v>1E-3</v>
      </c>
      <c r="B5" s="39">
        <v>1.7503390000000001</v>
      </c>
      <c r="C5" s="2">
        <v>1.894166</v>
      </c>
      <c r="D5" s="2">
        <v>1.338571</v>
      </c>
      <c r="E5" s="2">
        <v>1.4163289999999999</v>
      </c>
      <c r="F5" s="2">
        <v>1.5026870000000001</v>
      </c>
      <c r="G5" s="20">
        <v>1.6101799999999999</v>
      </c>
      <c r="H5" s="39">
        <v>1.883311</v>
      </c>
      <c r="I5" s="2">
        <v>1.894166</v>
      </c>
      <c r="J5" s="2">
        <v>1.4260489999999999</v>
      </c>
      <c r="K5" s="2">
        <v>1.490847</v>
      </c>
      <c r="L5" s="2">
        <v>1.5912109999999999</v>
      </c>
      <c r="M5" s="20">
        <v>1.6323110000000001</v>
      </c>
      <c r="N5" s="39">
        <v>1.8995930000000001</v>
      </c>
      <c r="O5" s="2">
        <v>1.9185890000000001</v>
      </c>
      <c r="P5" s="2">
        <v>1.4454880000000001</v>
      </c>
      <c r="Q5" s="2">
        <v>1.439009</v>
      </c>
      <c r="R5" s="2">
        <v>1.515334</v>
      </c>
      <c r="S5" s="20">
        <v>1.6006959999999999</v>
      </c>
      <c r="T5" s="39">
        <v>1.9185890000000001</v>
      </c>
      <c r="U5" s="2">
        <v>1.8643149999999999</v>
      </c>
      <c r="V5" s="2">
        <v>1.516767</v>
      </c>
      <c r="W5" s="2">
        <v>1.516767</v>
      </c>
      <c r="X5" s="2">
        <v>1.641796</v>
      </c>
      <c r="Y5" s="20">
        <v>1.5912109999999999</v>
      </c>
      <c r="Z5" s="39">
        <v>1.829037</v>
      </c>
      <c r="AA5" s="2">
        <v>1.785617</v>
      </c>
      <c r="AB5" s="2">
        <v>1.5102869999999999</v>
      </c>
      <c r="AC5" s="2">
        <v>1.4778880000000001</v>
      </c>
      <c r="AD5" s="2">
        <v>1.6101799999999999</v>
      </c>
      <c r="AE5" s="20">
        <v>1.5754030000000001</v>
      </c>
      <c r="AF5" s="39">
        <v>1.6824969999999999</v>
      </c>
      <c r="AG5" s="2">
        <v>1.5739479999999999</v>
      </c>
      <c r="AH5" s="2">
        <v>1.4454880000000001</v>
      </c>
      <c r="AI5" s="2">
        <v>1.3158920000000001</v>
      </c>
      <c r="AJ5" s="2">
        <v>1.4078409999999999</v>
      </c>
      <c r="AK5" s="20">
        <v>1.4932030000000001</v>
      </c>
      <c r="AO5" s="39">
        <v>2.3091E-2</v>
      </c>
      <c r="AP5" s="2">
        <v>1.5097069999999999</v>
      </c>
      <c r="AQ5" s="2">
        <v>1.586676</v>
      </c>
      <c r="AR5" s="2">
        <v>1.779099</v>
      </c>
      <c r="AS5" s="2">
        <v>0.96835700000000002</v>
      </c>
      <c r="AT5" s="2">
        <v>0.99401399999999995</v>
      </c>
      <c r="AU5" s="20">
        <v>1.047892</v>
      </c>
      <c r="AV5" t="s">
        <v>2183</v>
      </c>
      <c r="AW5" s="2">
        <v>2</v>
      </c>
    </row>
    <row r="6" spans="1:49">
      <c r="A6" s="2">
        <v>0.01</v>
      </c>
      <c r="B6" s="39">
        <v>1.934871</v>
      </c>
      <c r="C6" s="2">
        <v>1.972863</v>
      </c>
      <c r="D6" s="2">
        <v>1.406609</v>
      </c>
      <c r="E6" s="2">
        <v>1.458448</v>
      </c>
      <c r="F6" s="2">
        <v>1.496364</v>
      </c>
      <c r="G6" s="20">
        <v>1.534303</v>
      </c>
      <c r="H6" s="39">
        <v>2.0298509999999998</v>
      </c>
      <c r="I6" s="2">
        <v>2.151967</v>
      </c>
      <c r="J6" s="2">
        <v>1.439009</v>
      </c>
      <c r="K6" s="2">
        <v>1.536206</v>
      </c>
      <c r="L6" s="2">
        <v>1.578565</v>
      </c>
      <c r="M6" s="20">
        <v>1.7208349999999999</v>
      </c>
      <c r="N6" s="39">
        <v>2.0488469999999999</v>
      </c>
      <c r="O6" s="2">
        <v>2.0217100000000001</v>
      </c>
      <c r="P6" s="2">
        <v>1.413089</v>
      </c>
      <c r="Q6" s="2">
        <v>1.5394460000000001</v>
      </c>
      <c r="R6" s="2">
        <v>1.56908</v>
      </c>
      <c r="S6" s="20">
        <v>1.635473</v>
      </c>
      <c r="T6" s="39">
        <v>1.8019000000000001</v>
      </c>
      <c r="U6" s="2">
        <v>1.7177750000000001</v>
      </c>
      <c r="V6" s="2">
        <v>1.4454880000000001</v>
      </c>
      <c r="W6" s="2">
        <v>1.4778880000000001</v>
      </c>
      <c r="X6" s="2">
        <v>1.616503</v>
      </c>
      <c r="Y6" s="20">
        <v>1.5848880000000001</v>
      </c>
      <c r="Z6" s="39">
        <v>1.4762550000000001</v>
      </c>
      <c r="AA6" s="2">
        <v>1.4192670000000001</v>
      </c>
      <c r="AB6" s="2">
        <v>1.277013</v>
      </c>
      <c r="AC6" s="2">
        <v>1.2899719999999999</v>
      </c>
      <c r="AD6" s="2">
        <v>1.505849</v>
      </c>
      <c r="AE6" s="20">
        <v>1.4457789999999999</v>
      </c>
      <c r="AF6" s="39">
        <v>1.142469</v>
      </c>
      <c r="AG6" s="2">
        <v>1.0502039999999999</v>
      </c>
      <c r="AH6" s="2">
        <v>1.01458</v>
      </c>
      <c r="AI6" s="2">
        <v>1.01458</v>
      </c>
      <c r="AJ6" s="2">
        <v>1.1422699999999999</v>
      </c>
      <c r="AK6" s="20">
        <v>1.072716</v>
      </c>
      <c r="AO6" s="39">
        <v>8.1073999999999993E-2</v>
      </c>
      <c r="AP6" s="2">
        <v>1.3455060000000001</v>
      </c>
      <c r="AQ6" s="2">
        <v>1.517404</v>
      </c>
      <c r="AR6" s="2">
        <v>1.6713420000000001</v>
      </c>
      <c r="AS6" s="2">
        <v>0.509108</v>
      </c>
      <c r="AT6" s="2">
        <v>0.54246099999999997</v>
      </c>
      <c r="AU6" s="20">
        <v>0.55785499999999999</v>
      </c>
    </row>
    <row r="7" spans="1:49">
      <c r="A7" s="2">
        <v>0.05</v>
      </c>
      <c r="B7" s="39">
        <v>1.869742</v>
      </c>
      <c r="C7" s="2">
        <v>1.972863</v>
      </c>
      <c r="D7" s="2">
        <v>1.38717</v>
      </c>
      <c r="E7" s="2">
        <v>1.4973270000000001</v>
      </c>
      <c r="F7" s="2">
        <v>1.6323110000000001</v>
      </c>
      <c r="G7" s="20">
        <v>1.6196649999999999</v>
      </c>
      <c r="H7" s="39">
        <v>2.187246</v>
      </c>
      <c r="I7" s="2">
        <v>2.1655359999999999</v>
      </c>
      <c r="J7" s="2">
        <v>1.507047</v>
      </c>
      <c r="K7" s="2">
        <v>1.578325</v>
      </c>
      <c r="L7" s="2">
        <v>1.641796</v>
      </c>
      <c r="M7" s="20">
        <v>1.822004</v>
      </c>
      <c r="N7" s="39">
        <v>1.943012</v>
      </c>
      <c r="O7" s="2">
        <v>1.9050199999999999</v>
      </c>
      <c r="P7" s="2">
        <v>1.302932</v>
      </c>
      <c r="Q7" s="2">
        <v>1.351531</v>
      </c>
      <c r="R7" s="2">
        <v>1.4457789999999999</v>
      </c>
      <c r="S7" s="20">
        <v>1.4837180000000001</v>
      </c>
      <c r="T7" s="39">
        <v>1.0719129999999999</v>
      </c>
      <c r="U7" s="2">
        <v>1.0502039999999999</v>
      </c>
      <c r="V7" s="2">
        <v>0.83962400000000004</v>
      </c>
      <c r="W7" s="2">
        <v>0.84610399999999997</v>
      </c>
      <c r="X7" s="2">
        <v>1.047423</v>
      </c>
      <c r="Y7" s="20">
        <v>1.047423</v>
      </c>
      <c r="Z7" s="39">
        <v>0.43690600000000002</v>
      </c>
      <c r="AA7" s="2">
        <v>0.41248299999999999</v>
      </c>
      <c r="AB7" s="2">
        <v>0.40871499999999999</v>
      </c>
      <c r="AC7" s="2">
        <v>0.42167500000000002</v>
      </c>
      <c r="AD7" s="2">
        <v>0.48782799999999998</v>
      </c>
      <c r="AE7" s="20">
        <v>0.48782799999999998</v>
      </c>
      <c r="AF7" s="39">
        <v>0.19131600000000001</v>
      </c>
      <c r="AG7" s="2">
        <v>0.184532</v>
      </c>
      <c r="AH7" s="2">
        <v>0.20524899999999999</v>
      </c>
      <c r="AI7" s="2">
        <v>0.18710499999999999</v>
      </c>
      <c r="AJ7" s="2">
        <v>0.24754999999999999</v>
      </c>
      <c r="AK7" s="20">
        <v>0.235536</v>
      </c>
      <c r="AO7" s="39">
        <v>0.170871</v>
      </c>
      <c r="AP7" s="2">
        <v>1.4506969999999999</v>
      </c>
      <c r="AQ7" s="2">
        <v>1.3609</v>
      </c>
      <c r="AR7" s="2">
        <v>1.522535</v>
      </c>
      <c r="AS7" s="2">
        <v>0.265372</v>
      </c>
      <c r="AT7" s="2">
        <v>0.28076600000000002</v>
      </c>
      <c r="AU7" s="20">
        <v>0.30129099999999998</v>
      </c>
    </row>
    <row r="8" spans="1:49">
      <c r="A8" s="2">
        <v>0.1</v>
      </c>
      <c r="B8" s="39">
        <v>1.967436</v>
      </c>
      <c r="C8" s="2">
        <v>2.1411129999999998</v>
      </c>
      <c r="D8" s="2">
        <v>1.40337</v>
      </c>
      <c r="E8" s="2">
        <v>1.4876069999999999</v>
      </c>
      <c r="F8" s="2">
        <v>1.550111</v>
      </c>
      <c r="G8" s="20">
        <v>1.616503</v>
      </c>
      <c r="H8" s="39">
        <v>2.1058340000000002</v>
      </c>
      <c r="I8" s="2">
        <v>2.1926730000000001</v>
      </c>
      <c r="J8" s="2">
        <v>1.500567</v>
      </c>
      <c r="K8" s="2">
        <v>1.5912850000000001</v>
      </c>
      <c r="L8" s="2">
        <v>1.6828959999999999</v>
      </c>
      <c r="M8" s="20">
        <v>1.7872269999999999</v>
      </c>
      <c r="N8" s="39">
        <v>1.5875170000000001</v>
      </c>
      <c r="O8" s="2">
        <v>1.473541</v>
      </c>
      <c r="P8" s="2">
        <v>1.134457</v>
      </c>
      <c r="Q8" s="2">
        <v>1.1085370000000001</v>
      </c>
      <c r="R8" s="2">
        <v>1.1580779999999999</v>
      </c>
      <c r="S8" s="20">
        <v>1.091685</v>
      </c>
      <c r="T8" s="39">
        <v>0.68385300000000004</v>
      </c>
      <c r="U8" s="2">
        <v>0.57530499999999996</v>
      </c>
      <c r="V8" s="2">
        <v>0.554512</v>
      </c>
      <c r="W8" s="2">
        <v>0.51887300000000003</v>
      </c>
      <c r="X8" s="2">
        <v>0.72810600000000003</v>
      </c>
      <c r="Y8" s="20">
        <v>0.74707599999999996</v>
      </c>
      <c r="Z8" s="39">
        <v>0.22523699999999999</v>
      </c>
      <c r="AA8" s="2">
        <v>0.206784</v>
      </c>
      <c r="AB8" s="2">
        <v>0.206869</v>
      </c>
      <c r="AC8" s="2">
        <v>0.206869</v>
      </c>
      <c r="AD8" s="2">
        <v>0.23458699999999999</v>
      </c>
      <c r="AE8" s="20">
        <v>0.24565300000000001</v>
      </c>
      <c r="AF8" s="39">
        <v>9.6607999999999999E-2</v>
      </c>
      <c r="AG8" s="2">
        <v>8.6295999999999998E-2</v>
      </c>
      <c r="AH8" s="2">
        <v>9.3472E-2</v>
      </c>
      <c r="AI8" s="2">
        <v>8.4400000000000003E-2</v>
      </c>
      <c r="AJ8" s="2">
        <v>0.116345</v>
      </c>
      <c r="AK8" s="20">
        <v>0.116345</v>
      </c>
      <c r="AO8" s="39">
        <v>0.37398399999999998</v>
      </c>
      <c r="AP8" s="2">
        <v>1.5430600000000001</v>
      </c>
      <c r="AQ8" s="2">
        <v>1.4327380000000001</v>
      </c>
      <c r="AR8" s="2">
        <v>1.6020700000000001</v>
      </c>
      <c r="AS8" s="2">
        <v>0.145814</v>
      </c>
      <c r="AT8" s="2">
        <v>0.13863</v>
      </c>
      <c r="AU8" s="20">
        <v>0.13401199999999999</v>
      </c>
    </row>
    <row r="9" spans="1:49">
      <c r="A9" s="2">
        <v>0.5</v>
      </c>
      <c r="B9" s="39">
        <v>1.9864310000000001</v>
      </c>
      <c r="C9" s="2">
        <v>2.227951</v>
      </c>
      <c r="D9" s="2">
        <v>1.3936500000000001</v>
      </c>
      <c r="E9" s="2">
        <v>1.5297259999999999</v>
      </c>
      <c r="F9" s="2">
        <v>1.625988</v>
      </c>
      <c r="G9" s="20">
        <v>1.6101799999999999</v>
      </c>
      <c r="H9" s="39">
        <v>1.6852100000000001</v>
      </c>
      <c r="I9" s="2">
        <v>1.660787</v>
      </c>
      <c r="J9" s="2">
        <v>1.0988169999999999</v>
      </c>
      <c r="K9" s="2">
        <v>1.1182570000000001</v>
      </c>
      <c r="L9" s="2">
        <v>1.2624089999999999</v>
      </c>
      <c r="M9" s="20">
        <v>1.660765</v>
      </c>
      <c r="N9" s="39">
        <v>0.50203500000000001</v>
      </c>
      <c r="O9" s="2">
        <v>0.44504700000000003</v>
      </c>
      <c r="P9" s="2">
        <v>0.379556</v>
      </c>
      <c r="Q9" s="2">
        <v>0.37307600000000002</v>
      </c>
      <c r="R9" s="2">
        <v>0.541574</v>
      </c>
      <c r="S9" s="20">
        <v>0.40562799999999999</v>
      </c>
      <c r="T9" s="39">
        <v>0.13242899999999999</v>
      </c>
      <c r="U9" s="2">
        <v>0.12618699999999999</v>
      </c>
      <c r="V9" s="2">
        <v>0.117447</v>
      </c>
      <c r="W9" s="2">
        <v>0.122631</v>
      </c>
      <c r="X9" s="2">
        <v>0.14416699999999999</v>
      </c>
      <c r="Y9" s="20">
        <v>0.139741</v>
      </c>
      <c r="Z9" s="39">
        <v>5.6174000000000002E-2</v>
      </c>
      <c r="AA9" s="2">
        <v>5.2916999999999999E-2</v>
      </c>
      <c r="AB9" s="2">
        <v>3.9040999999999999E-2</v>
      </c>
      <c r="AC9" s="2">
        <v>4.0013E-2</v>
      </c>
      <c r="AD9" s="2">
        <v>5.0584999999999998E-2</v>
      </c>
      <c r="AE9" s="20">
        <v>5.4063E-2</v>
      </c>
      <c r="AF9" s="39">
        <v>3.6906000000000001E-2</v>
      </c>
      <c r="AG9" s="2">
        <v>3.4193000000000001E-2</v>
      </c>
      <c r="AH9" s="2">
        <v>2.5433000000000001E-2</v>
      </c>
      <c r="AI9" s="2">
        <v>1.7658E-2</v>
      </c>
      <c r="AJ9" s="2">
        <v>2.6557000000000001E-2</v>
      </c>
      <c r="AK9" s="20">
        <v>3.6673999999999998E-2</v>
      </c>
      <c r="AO9" s="39">
        <v>0.70409600000000006</v>
      </c>
      <c r="AP9" s="2">
        <v>1.627726</v>
      </c>
      <c r="AQ9" s="2">
        <v>1.4378690000000001</v>
      </c>
      <c r="AR9" s="2">
        <v>1.517404</v>
      </c>
      <c r="AS9" s="2">
        <v>4.1904999999999998E-2</v>
      </c>
      <c r="AT9" s="2">
        <v>4.6267000000000003E-2</v>
      </c>
      <c r="AU9" s="20">
        <v>6.8845000000000003E-2</v>
      </c>
    </row>
    <row r="10" spans="1:49">
      <c r="A10" s="2">
        <v>1</v>
      </c>
      <c r="B10" s="39">
        <v>2.0027140000000001</v>
      </c>
      <c r="C10" s="2">
        <v>2.2360920000000002</v>
      </c>
      <c r="D10" s="2">
        <v>1.3936500000000001</v>
      </c>
      <c r="E10" s="2">
        <v>1.516767</v>
      </c>
      <c r="F10" s="2">
        <v>1.8156810000000001</v>
      </c>
      <c r="G10" s="20">
        <v>1.6006959999999999</v>
      </c>
      <c r="H10" s="39">
        <v>1.3514250000000001</v>
      </c>
      <c r="I10" s="2">
        <v>1.348711</v>
      </c>
      <c r="J10" s="2">
        <v>0.94330099999999995</v>
      </c>
      <c r="K10" s="2">
        <v>0.95302100000000001</v>
      </c>
      <c r="L10" s="2">
        <v>1.2149859999999999</v>
      </c>
      <c r="M10" s="20">
        <v>1.208663</v>
      </c>
      <c r="N10" s="39">
        <v>0.27408399999999999</v>
      </c>
      <c r="O10" s="2">
        <v>0.27679799999999999</v>
      </c>
      <c r="P10" s="2">
        <v>0.22825200000000001</v>
      </c>
      <c r="Q10" s="2">
        <v>0.23181599999999999</v>
      </c>
      <c r="R10" s="2">
        <v>0.29497299999999999</v>
      </c>
      <c r="S10" s="20">
        <v>0.317104</v>
      </c>
      <c r="T10" s="39">
        <v>9.4708000000000001E-2</v>
      </c>
      <c r="U10" s="2">
        <v>9.3351000000000003E-2</v>
      </c>
      <c r="V10" s="2">
        <v>6.4635999999999999E-2</v>
      </c>
      <c r="W10" s="2">
        <v>7.2735999999999995E-2</v>
      </c>
      <c r="X10" s="2">
        <v>0.108125</v>
      </c>
      <c r="Y10" s="20">
        <v>0.100854</v>
      </c>
      <c r="Z10" s="39">
        <v>4.1248E-2</v>
      </c>
      <c r="AA10" s="2">
        <v>4.2604999999999997E-2</v>
      </c>
      <c r="AB10" s="2">
        <v>2.8348999999999999E-2</v>
      </c>
      <c r="AC10" s="2">
        <v>2.8996999999999998E-2</v>
      </c>
      <c r="AD10" s="2">
        <v>4.3945999999999999E-2</v>
      </c>
      <c r="AE10" s="20">
        <v>4.3629000000000001E-2</v>
      </c>
      <c r="AF10" s="39">
        <v>4.1248E-2</v>
      </c>
      <c r="AG10" s="2">
        <v>3.1479E-2</v>
      </c>
      <c r="AH10" s="2">
        <v>1.7982000000000001E-2</v>
      </c>
      <c r="AI10" s="2">
        <v>1.2798E-2</v>
      </c>
      <c r="AJ10" s="2">
        <v>3.6990000000000002E-2</v>
      </c>
      <c r="AK10" s="20">
        <v>3.1932000000000002E-2</v>
      </c>
      <c r="AO10" s="39">
        <v>1.2001200000000001</v>
      </c>
      <c r="AP10" s="2">
        <v>1.5097069999999999</v>
      </c>
      <c r="AQ10" s="2">
        <v>1.366031</v>
      </c>
      <c r="AR10" s="2">
        <v>1.632857</v>
      </c>
      <c r="AS10" s="2">
        <v>3.6774000000000001E-2</v>
      </c>
      <c r="AT10" s="2">
        <v>3.2925999999999997E-2</v>
      </c>
      <c r="AU10" s="20">
        <v>4.3957999999999997E-2</v>
      </c>
    </row>
    <row r="11" spans="1:49" ht="15" thickBot="1">
      <c r="A11" s="2">
        <v>10</v>
      </c>
      <c r="B11" s="43">
        <v>1.991859</v>
      </c>
      <c r="C11" s="22">
        <v>2.1004070000000001</v>
      </c>
      <c r="D11" s="22">
        <v>1.3677299999999999</v>
      </c>
      <c r="E11" s="22">
        <v>1.520006</v>
      </c>
      <c r="F11" s="22">
        <v>1.834651</v>
      </c>
      <c r="G11" s="23">
        <v>1.9484669999999999</v>
      </c>
      <c r="H11" s="43">
        <v>0.66214399999999995</v>
      </c>
      <c r="I11" s="22">
        <v>0.65128900000000001</v>
      </c>
      <c r="J11" s="22">
        <v>0.50267300000000004</v>
      </c>
      <c r="K11" s="22">
        <v>0.50267300000000004</v>
      </c>
      <c r="L11" s="22">
        <v>0.69965200000000005</v>
      </c>
      <c r="M11" s="23">
        <v>0.69965200000000005</v>
      </c>
      <c r="N11" s="43">
        <v>0.122931</v>
      </c>
      <c r="O11" s="22">
        <v>0.12076000000000001</v>
      </c>
      <c r="P11" s="22">
        <v>9.2175999999999994E-2</v>
      </c>
      <c r="Q11" s="22">
        <v>9.1203999999999993E-2</v>
      </c>
      <c r="R11" s="22">
        <v>0.13057199999999999</v>
      </c>
      <c r="S11" s="23">
        <v>0.12614600000000001</v>
      </c>
      <c r="T11" s="43">
        <v>4.9660999999999997E-2</v>
      </c>
      <c r="U11" s="22">
        <v>4.9118000000000002E-2</v>
      </c>
      <c r="V11" s="22">
        <v>3.0293E-2</v>
      </c>
      <c r="W11" s="22">
        <v>2.9321E-2</v>
      </c>
      <c r="X11" s="22">
        <v>5.7223999999999997E-2</v>
      </c>
      <c r="Y11" s="23">
        <v>5.4378999999999997E-2</v>
      </c>
      <c r="Z11" s="43">
        <v>3.8535E-2</v>
      </c>
      <c r="AA11" s="22">
        <v>3.175E-2</v>
      </c>
      <c r="AB11" s="22">
        <v>1.7010000000000001E-2</v>
      </c>
      <c r="AC11" s="22">
        <v>1.7333999999999999E-2</v>
      </c>
      <c r="AD11" s="22">
        <v>3.7622999999999997E-2</v>
      </c>
      <c r="AE11" s="23">
        <v>3.6041999999999998E-2</v>
      </c>
      <c r="AF11" s="43">
        <v>2.8493999999999998E-2</v>
      </c>
      <c r="AG11" s="22">
        <v>2.1437999999999999E-2</v>
      </c>
      <c r="AH11" s="22">
        <v>1.3122E-2</v>
      </c>
      <c r="AI11" s="22">
        <v>1.4580000000000001E-3</v>
      </c>
      <c r="AJ11" s="22">
        <v>3.1932000000000002E-2</v>
      </c>
      <c r="AK11" s="23">
        <v>1.7072E-2</v>
      </c>
      <c r="AO11" s="39">
        <v>1.4147780000000001</v>
      </c>
      <c r="AP11" s="2">
        <v>1.522535</v>
      </c>
      <c r="AQ11" s="2">
        <v>1.4430000000000001</v>
      </c>
      <c r="AR11" s="2">
        <v>1.6174630000000001</v>
      </c>
      <c r="AS11" s="2">
        <v>2.7538E-2</v>
      </c>
      <c r="AT11" s="2">
        <v>2.5229000000000001E-2</v>
      </c>
      <c r="AU11" s="20">
        <v>3.2412999999999997E-2</v>
      </c>
    </row>
    <row r="12" spans="1:49">
      <c r="AO12" s="39">
        <v>1.9073800000000001</v>
      </c>
      <c r="AP12" s="2">
        <v>1.622595</v>
      </c>
      <c r="AQ12" s="2">
        <v>1.112033</v>
      </c>
      <c r="AR12" s="2">
        <v>0.33977600000000002</v>
      </c>
      <c r="AS12" s="2">
        <v>1.7018999999999999E-2</v>
      </c>
      <c r="AT12" s="2">
        <v>1.9328000000000001E-2</v>
      </c>
      <c r="AU12" s="20">
        <v>2.0611000000000001E-2</v>
      </c>
    </row>
    <row r="13" spans="1:49">
      <c r="AO13" s="39">
        <v>3.2842730000000002</v>
      </c>
      <c r="AP13" s="2">
        <v>1.532797</v>
      </c>
      <c r="AQ13" s="2">
        <v>1.5481910000000001</v>
      </c>
      <c r="AR13" s="2">
        <v>1.591807</v>
      </c>
      <c r="AS13" s="2">
        <v>1.5223E-2</v>
      </c>
      <c r="AT13" s="2">
        <v>1.1631000000000001E-2</v>
      </c>
      <c r="AU13" s="20">
        <v>7.7819999999999999E-3</v>
      </c>
    </row>
    <row r="14" spans="1:49">
      <c r="AO14" s="39">
        <v>4.13863</v>
      </c>
      <c r="AP14" s="2">
        <v>1.4506969999999999</v>
      </c>
      <c r="AQ14" s="2">
        <v>1.471222</v>
      </c>
      <c r="AR14" s="2">
        <v>1.4789190000000001</v>
      </c>
      <c r="AS14" s="2">
        <v>7.0130000000000001E-3</v>
      </c>
      <c r="AT14" s="2">
        <v>3.1640000000000001E-3</v>
      </c>
      <c r="AU14" s="20">
        <v>3.934E-3</v>
      </c>
    </row>
    <row r="15" spans="1:49">
      <c r="AO15" s="39">
        <v>5.8909599999999998</v>
      </c>
      <c r="AP15" s="2">
        <v>1.568716</v>
      </c>
      <c r="AQ15" s="2">
        <v>1.4481310000000001</v>
      </c>
      <c r="AR15" s="2">
        <v>1.46096</v>
      </c>
      <c r="AS15" s="2">
        <v>4.96E-3</v>
      </c>
      <c r="AT15" s="2">
        <v>3.421E-3</v>
      </c>
      <c r="AU15" s="20">
        <v>2.908E-3</v>
      </c>
    </row>
    <row r="16" spans="1:49">
      <c r="AO16" s="39">
        <v>7.0283930000000003</v>
      </c>
      <c r="AP16" s="2">
        <v>1.4378690000000001</v>
      </c>
      <c r="AQ16" s="2">
        <v>1.40195</v>
      </c>
      <c r="AR16" s="2">
        <v>1.425041</v>
      </c>
      <c r="AS16" s="2">
        <v>3.934E-3</v>
      </c>
      <c r="AT16" s="2">
        <v>8.5499999999999997E-4</v>
      </c>
      <c r="AU16" s="20">
        <v>5.2170000000000003E-3</v>
      </c>
    </row>
    <row r="17" spans="1:49" ht="15" thickBot="1">
      <c r="AO17" s="43">
        <v>7.2182500000000003</v>
      </c>
      <c r="AP17" s="22">
        <v>1.4506969999999999</v>
      </c>
      <c r="AQ17" s="22">
        <v>1.4096470000000001</v>
      </c>
      <c r="AR17" s="22">
        <v>1.6764730000000001</v>
      </c>
      <c r="AS17" s="22">
        <v>2.6510000000000001E-3</v>
      </c>
      <c r="AT17" s="22">
        <v>1.1119999999999999E-3</v>
      </c>
      <c r="AU17" s="23">
        <v>4.1910000000000003E-3</v>
      </c>
    </row>
    <row r="18" spans="1:49" ht="24" thickBot="1">
      <c r="A18" s="45" t="s">
        <v>2151</v>
      </c>
    </row>
    <row r="19" spans="1:49" ht="23.25">
      <c r="A19" s="3" t="s">
        <v>730</v>
      </c>
      <c r="B19" s="274" t="s">
        <v>741</v>
      </c>
      <c r="C19" s="254"/>
      <c r="D19" s="254"/>
      <c r="E19" s="254"/>
      <c r="F19" s="254"/>
      <c r="G19" s="255"/>
      <c r="H19" s="274" t="s">
        <v>742</v>
      </c>
      <c r="I19" s="254"/>
      <c r="J19" s="254"/>
      <c r="K19" s="254"/>
      <c r="L19" s="254"/>
      <c r="M19" s="255"/>
      <c r="N19" s="274" t="s">
        <v>743</v>
      </c>
      <c r="O19" s="254"/>
      <c r="P19" s="254"/>
      <c r="Q19" s="254"/>
      <c r="R19" s="254"/>
      <c r="S19" s="255"/>
      <c r="T19" s="274" t="s">
        <v>744</v>
      </c>
      <c r="U19" s="254"/>
      <c r="V19" s="254"/>
      <c r="W19" s="254"/>
      <c r="X19" s="254"/>
      <c r="Y19" s="255"/>
      <c r="Z19" s="274" t="s">
        <v>745</v>
      </c>
      <c r="AA19" s="254"/>
      <c r="AB19" s="254"/>
      <c r="AC19" s="254"/>
      <c r="AD19" s="254"/>
      <c r="AE19" s="255"/>
      <c r="AF19" s="274" t="s">
        <v>746</v>
      </c>
      <c r="AG19" s="254"/>
      <c r="AH19" s="254"/>
      <c r="AI19" s="254"/>
      <c r="AJ19" s="254"/>
      <c r="AK19" s="255"/>
      <c r="AO19" s="268" t="s">
        <v>2155</v>
      </c>
      <c r="AP19" s="269"/>
      <c r="AQ19" s="269"/>
      <c r="AR19" s="269"/>
      <c r="AS19" s="269"/>
      <c r="AT19" s="269"/>
      <c r="AU19" s="270"/>
    </row>
    <row r="20" spans="1:49">
      <c r="A20" s="2">
        <v>1E-4</v>
      </c>
      <c r="B20" s="39">
        <v>2.2713700000000001</v>
      </c>
      <c r="C20" s="2">
        <v>2.4016280000000001</v>
      </c>
      <c r="D20" s="2">
        <v>1.688482</v>
      </c>
      <c r="E20" s="2">
        <v>1.646363</v>
      </c>
      <c r="F20" s="10" t="s">
        <v>737</v>
      </c>
      <c r="G20" s="20">
        <v>1.809358</v>
      </c>
      <c r="H20" s="2">
        <v>2.507463</v>
      </c>
      <c r="I20" s="2">
        <v>2.3799190000000001</v>
      </c>
      <c r="J20" s="2">
        <v>1.8634379999999999</v>
      </c>
      <c r="K20" s="2">
        <v>1.75004</v>
      </c>
      <c r="L20" s="2">
        <v>1.9895670000000001</v>
      </c>
      <c r="M20" s="20">
        <v>1.9358200000000001</v>
      </c>
      <c r="N20" s="39">
        <v>2.4233380000000002</v>
      </c>
      <c r="O20" s="2">
        <v>2.4477609999999999</v>
      </c>
      <c r="P20" s="2">
        <v>1.8763970000000001</v>
      </c>
      <c r="Q20" s="2">
        <v>1.8504780000000001</v>
      </c>
      <c r="R20" s="2">
        <v>2.014859</v>
      </c>
      <c r="S20" s="20">
        <v>1.9642740000000001</v>
      </c>
      <c r="T20" s="39">
        <v>2.3419270000000001</v>
      </c>
      <c r="U20" s="2">
        <v>2.3717769999999998</v>
      </c>
      <c r="V20" s="2">
        <v>1.886117</v>
      </c>
      <c r="W20" s="2">
        <v>1.8763970000000001</v>
      </c>
      <c r="X20" s="2">
        <v>1.9421440000000001</v>
      </c>
      <c r="Y20" s="20">
        <v>1.957951</v>
      </c>
      <c r="Z20" s="39">
        <v>2.3364989999999999</v>
      </c>
      <c r="AA20" s="2">
        <v>2.3799190000000001</v>
      </c>
      <c r="AB20" s="2">
        <v>1.8828769999999999</v>
      </c>
      <c r="AC20" s="2">
        <v>1.947675</v>
      </c>
      <c r="AD20" s="2">
        <v>1.9042049999999999</v>
      </c>
      <c r="AE20" s="2">
        <v>1.8504579999999999</v>
      </c>
      <c r="AF20" s="39">
        <v>2.3717769999999998</v>
      </c>
      <c r="AG20" s="2">
        <v>2.2578019999999999</v>
      </c>
      <c r="AH20" s="2">
        <v>1.8472379999999999</v>
      </c>
      <c r="AI20" s="2">
        <v>1.7727200000000001</v>
      </c>
      <c r="AJ20" s="2">
        <v>1.882074</v>
      </c>
      <c r="AK20" s="20">
        <v>1.8978820000000001</v>
      </c>
      <c r="AO20" s="38" t="s">
        <v>1037</v>
      </c>
      <c r="AP20" s="235" t="s">
        <v>29</v>
      </c>
      <c r="AQ20" s="235"/>
      <c r="AR20" s="235"/>
      <c r="AS20" s="235" t="s">
        <v>30</v>
      </c>
      <c r="AT20" s="235"/>
      <c r="AU20" s="236"/>
    </row>
    <row r="21" spans="1:49" ht="18.75">
      <c r="A21" s="2">
        <v>1E-3</v>
      </c>
      <c r="B21" s="39">
        <v>2.2632289999999999</v>
      </c>
      <c r="C21" s="2">
        <v>2.455902</v>
      </c>
      <c r="D21" s="2">
        <v>1.717641</v>
      </c>
      <c r="E21" s="2">
        <v>1.795399</v>
      </c>
      <c r="F21" s="2">
        <v>1.689219</v>
      </c>
      <c r="G21" s="20">
        <v>1.79355</v>
      </c>
      <c r="H21" s="2">
        <v>2.5644499999999999</v>
      </c>
      <c r="I21" s="2">
        <v>2.5807329999999999</v>
      </c>
      <c r="J21" s="2">
        <v>1.8990769999999999</v>
      </c>
      <c r="K21" s="2">
        <v>1.886117</v>
      </c>
      <c r="L21" s="2">
        <v>1.765096</v>
      </c>
      <c r="M21" s="20">
        <v>1.458426</v>
      </c>
      <c r="N21" s="39">
        <v>2.605156</v>
      </c>
      <c r="O21" s="2">
        <v>2.5563090000000002</v>
      </c>
      <c r="P21" s="2">
        <v>1.947675</v>
      </c>
      <c r="Q21" s="2">
        <v>1.905556</v>
      </c>
      <c r="R21" s="2">
        <v>2.0338289999999999</v>
      </c>
      <c r="S21" s="20">
        <v>1.9705980000000001</v>
      </c>
      <c r="T21" s="39">
        <v>2.4016280000000001</v>
      </c>
      <c r="U21" s="2">
        <v>2.4477609999999999</v>
      </c>
      <c r="V21" s="2">
        <v>1.8925970000000001</v>
      </c>
      <c r="W21" s="2">
        <v>1.905556</v>
      </c>
      <c r="X21" s="2">
        <v>1.9705980000000001</v>
      </c>
      <c r="Y21" s="20">
        <v>1.9895670000000001</v>
      </c>
      <c r="Z21" s="39">
        <v>2.3283580000000001</v>
      </c>
      <c r="AA21" s="2">
        <v>2.455902</v>
      </c>
      <c r="AB21" s="2">
        <v>1.9606349999999999</v>
      </c>
      <c r="AC21" s="2">
        <v>1.8828769999999999</v>
      </c>
      <c r="AD21" s="2">
        <v>2.046475</v>
      </c>
      <c r="AE21" s="2">
        <v>1.9358200000000001</v>
      </c>
      <c r="AF21" s="39">
        <v>2.4613299999999998</v>
      </c>
      <c r="AG21" s="2">
        <v>2.1926730000000001</v>
      </c>
      <c r="AH21" s="2">
        <v>1.827798</v>
      </c>
      <c r="AI21" s="2">
        <v>1.818079</v>
      </c>
      <c r="AJ21" s="2">
        <v>1.983244</v>
      </c>
      <c r="AK21" s="20">
        <v>1.863105</v>
      </c>
      <c r="AO21" s="39">
        <v>0</v>
      </c>
      <c r="AP21" s="2">
        <v>1.904183862</v>
      </c>
      <c r="AQ21" s="2"/>
      <c r="AR21" s="2"/>
      <c r="AS21" s="2">
        <v>1.904183862</v>
      </c>
      <c r="AT21" s="2"/>
      <c r="AU21" s="20"/>
      <c r="AV21" s="4" t="s">
        <v>2147</v>
      </c>
      <c r="AW21">
        <v>2.2000000000000002</v>
      </c>
    </row>
    <row r="22" spans="1:49" ht="17.25">
      <c r="A22" s="2">
        <v>0.01</v>
      </c>
      <c r="B22" s="39">
        <v>2.3364989999999999</v>
      </c>
      <c r="C22" s="2">
        <v>2.5807329999999999</v>
      </c>
      <c r="D22" s="2">
        <v>1.6528430000000001</v>
      </c>
      <c r="E22" s="2">
        <v>1.7435609999999999</v>
      </c>
      <c r="F22" s="2">
        <v>1.7872269999999999</v>
      </c>
      <c r="G22" s="20">
        <v>1.7492890000000001</v>
      </c>
      <c r="H22" s="2">
        <v>2.833107</v>
      </c>
      <c r="I22" s="2">
        <v>2.833107</v>
      </c>
      <c r="J22" s="2">
        <v>1.656083</v>
      </c>
      <c r="K22" s="2">
        <v>1.76624</v>
      </c>
      <c r="L22" s="2">
        <v>1.9358200000000001</v>
      </c>
      <c r="M22" s="20">
        <v>1.9231739999999999</v>
      </c>
      <c r="N22" s="39">
        <v>3.1071909999999998</v>
      </c>
      <c r="O22" s="2">
        <v>2.7028490000000001</v>
      </c>
      <c r="P22" s="2">
        <v>2.0027539999999999</v>
      </c>
      <c r="Q22" s="2">
        <v>1.8990769999999999</v>
      </c>
      <c r="R22" s="2">
        <v>2.0812520000000001</v>
      </c>
      <c r="S22" s="20">
        <v>2.046475</v>
      </c>
      <c r="T22" s="39">
        <v>2.5725920000000002</v>
      </c>
      <c r="U22" s="2">
        <v>2.2713700000000001</v>
      </c>
      <c r="V22" s="2">
        <v>1.9249959999999999</v>
      </c>
      <c r="W22" s="2">
        <v>1.8213189999999999</v>
      </c>
      <c r="X22" s="2">
        <v>1.8978820000000001</v>
      </c>
      <c r="Y22" s="20">
        <v>1.929497</v>
      </c>
      <c r="Z22" s="39">
        <v>2.3799190000000001</v>
      </c>
      <c r="AA22" s="2">
        <v>2.5318860000000001</v>
      </c>
      <c r="AB22" s="2">
        <v>1.6366430000000001</v>
      </c>
      <c r="AC22" s="2">
        <v>1.9541550000000001</v>
      </c>
      <c r="AD22" s="2">
        <v>1.9358200000000001</v>
      </c>
      <c r="AE22" s="2">
        <v>1.983244</v>
      </c>
      <c r="AF22" s="39">
        <v>2.455902</v>
      </c>
      <c r="AG22" s="2">
        <v>2.187246</v>
      </c>
      <c r="AH22" s="2">
        <v>1.8569580000000001</v>
      </c>
      <c r="AI22" s="2">
        <v>1.7986390000000001</v>
      </c>
      <c r="AJ22" s="2">
        <v>1.8978820000000001</v>
      </c>
      <c r="AK22" s="20">
        <v>1.863105</v>
      </c>
      <c r="AO22" s="39">
        <v>2.3091E-2</v>
      </c>
      <c r="AP22" s="2">
        <v>2.1049349999999998</v>
      </c>
      <c r="AQ22" s="2">
        <v>2.0023089999999999</v>
      </c>
      <c r="AR22" s="2">
        <v>1.8971180000000001</v>
      </c>
      <c r="AS22" s="2">
        <v>1.7637050000000001</v>
      </c>
      <c r="AT22" s="2">
        <v>1.7739670000000001</v>
      </c>
      <c r="AU22" s="20">
        <v>1.7406140000000001</v>
      </c>
      <c r="AV22" s="171" t="s">
        <v>2148</v>
      </c>
      <c r="AW22" s="2">
        <v>0.01</v>
      </c>
    </row>
    <row r="23" spans="1:49">
      <c r="A23" s="2">
        <v>0.05</v>
      </c>
      <c r="B23" s="39">
        <v>2.2767979999999999</v>
      </c>
      <c r="C23" s="2">
        <v>2.7191320000000001</v>
      </c>
      <c r="D23" s="2">
        <v>1.6690430000000001</v>
      </c>
      <c r="E23" s="2">
        <v>1.7435609999999999</v>
      </c>
      <c r="F23" s="2">
        <v>1.780904</v>
      </c>
      <c r="G23" s="20">
        <v>1.7777430000000001</v>
      </c>
      <c r="H23" s="2">
        <v>3.0040710000000002</v>
      </c>
      <c r="I23" s="2">
        <v>2.9308010000000002</v>
      </c>
      <c r="J23" s="2">
        <v>1.9671149999999999</v>
      </c>
      <c r="K23" s="2">
        <v>2.0092340000000002</v>
      </c>
      <c r="L23" s="2">
        <v>1.957951</v>
      </c>
      <c r="M23" s="20">
        <v>1.929497</v>
      </c>
      <c r="N23" s="39">
        <v>2.1329720000000001</v>
      </c>
      <c r="O23" s="10" t="s">
        <v>738</v>
      </c>
      <c r="P23" s="10" t="s">
        <v>739</v>
      </c>
      <c r="Q23" s="10" t="s">
        <v>740</v>
      </c>
      <c r="R23" s="2">
        <v>1.755612</v>
      </c>
      <c r="S23" s="20">
        <v>1.7872269999999999</v>
      </c>
      <c r="T23" s="39">
        <v>2.3500679999999998</v>
      </c>
      <c r="U23" s="2">
        <v>2.092266</v>
      </c>
      <c r="V23" s="2">
        <v>1.78244</v>
      </c>
      <c r="W23" s="2">
        <v>1.76624</v>
      </c>
      <c r="X23" s="2">
        <v>1.6828959999999999</v>
      </c>
      <c r="Y23" s="20">
        <v>1.733481</v>
      </c>
      <c r="Z23" s="39">
        <v>1.614654</v>
      </c>
      <c r="AA23" s="2">
        <v>1.6906380000000001</v>
      </c>
      <c r="AB23" s="2">
        <v>1.458448</v>
      </c>
      <c r="AC23" s="2">
        <v>1.40337</v>
      </c>
      <c r="AD23" s="2">
        <v>1.414164</v>
      </c>
      <c r="AE23" s="2">
        <v>1.3983559999999999</v>
      </c>
      <c r="AF23" s="39">
        <v>1.2618720000000001</v>
      </c>
      <c r="AG23" s="2">
        <v>1.1750339999999999</v>
      </c>
      <c r="AH23" s="2">
        <v>1.173335</v>
      </c>
      <c r="AI23" s="2">
        <v>1.1020570000000001</v>
      </c>
      <c r="AJ23" s="2">
        <v>1.129624</v>
      </c>
      <c r="AK23" s="20">
        <v>1.0505850000000001</v>
      </c>
      <c r="AO23" s="39">
        <v>8.1073999999999993E-2</v>
      </c>
      <c r="AP23" s="2">
        <v>1.9689559999999999</v>
      </c>
      <c r="AQ23" s="2">
        <v>1.8560680000000001</v>
      </c>
      <c r="AR23" s="2">
        <v>1.797058</v>
      </c>
      <c r="AS23" s="2">
        <v>1.3147180000000001</v>
      </c>
      <c r="AT23" s="2">
        <v>1.319849</v>
      </c>
      <c r="AU23" s="20">
        <v>1.296759</v>
      </c>
      <c r="AV23" t="s">
        <v>2183</v>
      </c>
      <c r="AW23" s="2">
        <v>2</v>
      </c>
    </row>
    <row r="24" spans="1:49">
      <c r="A24" s="2">
        <v>0.1</v>
      </c>
      <c r="B24" s="39">
        <v>1.9782900000000001</v>
      </c>
      <c r="C24" s="2">
        <v>2.1601089999999998</v>
      </c>
      <c r="D24" s="2">
        <v>1.6949620000000001</v>
      </c>
      <c r="E24" s="2">
        <v>1.795399</v>
      </c>
      <c r="F24" s="2">
        <v>1.641796</v>
      </c>
      <c r="G24" s="20">
        <v>1.714512</v>
      </c>
      <c r="H24" s="2">
        <v>2.2496610000000001</v>
      </c>
      <c r="I24" s="2">
        <v>2.3934869999999999</v>
      </c>
      <c r="J24" s="2">
        <v>1.9606349999999999</v>
      </c>
      <c r="K24" s="2">
        <v>2.041633</v>
      </c>
      <c r="L24" s="2">
        <v>1.8061970000000001</v>
      </c>
      <c r="M24" s="20">
        <v>1.7492890000000001</v>
      </c>
      <c r="N24" s="39">
        <v>2.2578019999999999</v>
      </c>
      <c r="O24" s="2">
        <v>2.187246</v>
      </c>
      <c r="P24" s="2">
        <v>1.8213189999999999</v>
      </c>
      <c r="Q24" s="2">
        <v>1.827798</v>
      </c>
      <c r="R24" s="2">
        <v>1.7777430000000001</v>
      </c>
      <c r="S24" s="20">
        <v>1.6955420000000001</v>
      </c>
      <c r="T24" s="39">
        <v>1.739484</v>
      </c>
      <c r="U24" s="2">
        <v>1.739484</v>
      </c>
      <c r="V24" s="2">
        <v>1.5556460000000001</v>
      </c>
      <c r="W24" s="2">
        <v>1.4876069999999999</v>
      </c>
      <c r="X24" s="2">
        <v>1.357256</v>
      </c>
      <c r="Y24" s="20">
        <v>1.369902</v>
      </c>
      <c r="Z24" s="39">
        <v>1.191316</v>
      </c>
      <c r="AA24" s="2">
        <v>1.226594</v>
      </c>
      <c r="AB24" s="2">
        <v>1.050219</v>
      </c>
      <c r="AC24" s="2">
        <v>0.99838000000000005</v>
      </c>
      <c r="AD24" s="2">
        <v>0.98735399999999995</v>
      </c>
      <c r="AE24" s="2">
        <v>1.009485</v>
      </c>
      <c r="AF24" s="39">
        <v>0.83853500000000003</v>
      </c>
      <c r="AG24" s="2">
        <v>0.75983699999999998</v>
      </c>
      <c r="AH24" s="2">
        <v>0.833144</v>
      </c>
      <c r="AI24" s="2">
        <v>0.83638400000000002</v>
      </c>
      <c r="AJ24" s="2">
        <v>0.78817599999999999</v>
      </c>
      <c r="AK24" s="20">
        <v>0.76288299999999998</v>
      </c>
      <c r="AO24" s="39">
        <v>0.170871</v>
      </c>
      <c r="AP24" s="2">
        <v>1.9073800000000001</v>
      </c>
      <c r="AQ24" s="2">
        <v>2.2563070000000001</v>
      </c>
      <c r="AR24" s="2">
        <v>1.791927</v>
      </c>
      <c r="AS24" s="2">
        <v>1.0299320000000001</v>
      </c>
      <c r="AT24" s="2">
        <v>1.0042759999999999</v>
      </c>
      <c r="AU24" s="20">
        <v>0.97862000000000005</v>
      </c>
    </row>
    <row r="25" spans="1:49">
      <c r="A25" s="2">
        <v>0.5</v>
      </c>
      <c r="B25" s="39">
        <v>1.9782900000000001</v>
      </c>
      <c r="C25" s="2">
        <v>2.1411129999999998</v>
      </c>
      <c r="D25" s="2">
        <v>1.733841</v>
      </c>
      <c r="E25" s="2">
        <v>1.7435609999999999</v>
      </c>
      <c r="F25" s="2">
        <v>1.6006959999999999</v>
      </c>
      <c r="G25" s="20">
        <v>1.7587729999999999</v>
      </c>
      <c r="H25" s="2">
        <v>2.1194030000000001</v>
      </c>
      <c r="I25" s="2">
        <v>2.0542739999999999</v>
      </c>
      <c r="J25" s="2">
        <v>1.8407579999999999</v>
      </c>
      <c r="K25" s="2">
        <v>1.75004</v>
      </c>
      <c r="L25" s="2">
        <v>1.755612</v>
      </c>
      <c r="M25" s="20">
        <v>1.77142</v>
      </c>
      <c r="N25" s="39">
        <v>1.2781549999999999</v>
      </c>
      <c r="O25" s="2">
        <v>1.3188599999999999</v>
      </c>
      <c r="P25" s="2">
        <v>1.163616</v>
      </c>
      <c r="Q25" s="2">
        <v>1.1182570000000001</v>
      </c>
      <c r="R25" s="2">
        <v>1.120139</v>
      </c>
      <c r="S25" s="20">
        <v>1.0695539999999999</v>
      </c>
      <c r="T25" s="39">
        <v>0.800543</v>
      </c>
      <c r="U25" s="2">
        <v>0.78426099999999999</v>
      </c>
      <c r="V25" s="2">
        <v>0.755386</v>
      </c>
      <c r="W25" s="2">
        <v>0.693828</v>
      </c>
      <c r="X25" s="2">
        <v>0.69332899999999997</v>
      </c>
      <c r="Y25" s="20">
        <v>0.690168</v>
      </c>
      <c r="Z25" s="39">
        <v>0.56173700000000004</v>
      </c>
      <c r="AA25" s="2">
        <v>0.53188599999999997</v>
      </c>
      <c r="AB25" s="2">
        <v>0.496193</v>
      </c>
      <c r="AC25" s="2">
        <v>0.457314</v>
      </c>
      <c r="AD25" s="2">
        <v>0.46885900000000003</v>
      </c>
      <c r="AE25" s="2">
        <v>0.48782799999999998</v>
      </c>
      <c r="AF25" s="39">
        <v>0.434193</v>
      </c>
      <c r="AG25" s="2">
        <v>0.420624</v>
      </c>
      <c r="AH25" s="2">
        <v>0.38279600000000003</v>
      </c>
      <c r="AI25" s="2">
        <v>0.369836</v>
      </c>
      <c r="AJ25" s="2">
        <v>0.39298100000000002</v>
      </c>
      <c r="AK25" s="20">
        <v>0.38982</v>
      </c>
      <c r="AO25" s="39">
        <v>0.37398399999999998</v>
      </c>
      <c r="AP25" s="2">
        <v>1.9381679999999999</v>
      </c>
      <c r="AQ25" s="2">
        <v>2.1998630000000001</v>
      </c>
      <c r="AR25" s="2">
        <v>1.6431199999999999</v>
      </c>
      <c r="AS25" s="2">
        <v>0.76053999999999999</v>
      </c>
      <c r="AT25" s="2">
        <v>0.72462199999999999</v>
      </c>
      <c r="AU25" s="20">
        <v>0.73745000000000005</v>
      </c>
    </row>
    <row r="26" spans="1:49">
      <c r="A26" s="2">
        <v>1</v>
      </c>
      <c r="B26" s="39">
        <v>2.469471</v>
      </c>
      <c r="C26" s="2">
        <v>2.8575309999999998</v>
      </c>
      <c r="D26" s="2">
        <v>1.75004</v>
      </c>
      <c r="E26" s="2">
        <v>1.795399</v>
      </c>
      <c r="F26" s="2">
        <v>1.7777430000000001</v>
      </c>
      <c r="G26" s="20">
        <v>1.5595950000000001</v>
      </c>
      <c r="H26" s="2">
        <v>2.2849390000000001</v>
      </c>
      <c r="I26" s="2">
        <v>2.5237449999999999</v>
      </c>
      <c r="J26" s="2">
        <v>1.7727200000000001</v>
      </c>
      <c r="K26" s="2">
        <v>1.733841</v>
      </c>
      <c r="L26" s="2">
        <v>1.733481</v>
      </c>
      <c r="M26" s="20">
        <v>1.6576040000000001</v>
      </c>
      <c r="N26" s="39">
        <v>1.1940299999999999</v>
      </c>
      <c r="O26" s="2">
        <v>1.185889</v>
      </c>
      <c r="P26" s="2">
        <v>0.88822299999999998</v>
      </c>
      <c r="Q26" s="2">
        <v>0.9919</v>
      </c>
      <c r="R26" s="2">
        <v>0.996838</v>
      </c>
      <c r="S26" s="20">
        <v>0.97154600000000002</v>
      </c>
      <c r="T26" s="39">
        <v>0.71099100000000004</v>
      </c>
      <c r="U26" s="2">
        <v>0.69470799999999999</v>
      </c>
      <c r="V26" s="2">
        <v>0.60958999999999997</v>
      </c>
      <c r="W26" s="2">
        <v>0.58043100000000003</v>
      </c>
      <c r="X26" s="2">
        <v>0.59848199999999996</v>
      </c>
      <c r="Y26" s="20">
        <v>0.63642100000000001</v>
      </c>
      <c r="Z26" s="39">
        <v>0.493894</v>
      </c>
      <c r="AA26" s="2">
        <v>0.493894</v>
      </c>
      <c r="AB26" s="2">
        <v>0.42491499999999999</v>
      </c>
      <c r="AC26" s="2">
        <v>0.42167500000000002</v>
      </c>
      <c r="AD26" s="2">
        <v>0.45305099999999998</v>
      </c>
      <c r="AE26" s="2">
        <v>0.43724299999999999</v>
      </c>
      <c r="AF26" s="39">
        <v>0.41519699999999998</v>
      </c>
      <c r="AG26" s="2">
        <v>0.39891500000000002</v>
      </c>
      <c r="AH26" s="2">
        <v>0.356877</v>
      </c>
      <c r="AI26" s="2">
        <v>0.356877</v>
      </c>
      <c r="AJ26" s="2">
        <v>0.37401200000000001</v>
      </c>
      <c r="AK26" s="20">
        <v>0.36452699999999999</v>
      </c>
      <c r="AO26" s="39">
        <v>0.70409600000000006</v>
      </c>
      <c r="AP26" s="2">
        <v>1.820149</v>
      </c>
      <c r="AQ26" s="2">
        <v>1.820149</v>
      </c>
      <c r="AR26" s="2">
        <v>1.84324</v>
      </c>
      <c r="AS26" s="10" t="s">
        <v>1038</v>
      </c>
      <c r="AT26" s="10" t="s">
        <v>1039</v>
      </c>
      <c r="AU26" s="44" t="s">
        <v>1040</v>
      </c>
    </row>
    <row r="27" spans="1:49" ht="15" thickBot="1">
      <c r="A27" s="2">
        <v>10</v>
      </c>
      <c r="B27" s="43">
        <v>2.5644499999999999</v>
      </c>
      <c r="C27" s="22">
        <v>2.814111</v>
      </c>
      <c r="D27" s="22">
        <v>1.8504780000000001</v>
      </c>
      <c r="E27" s="22">
        <v>1.993034</v>
      </c>
      <c r="F27" s="22">
        <v>1.9484669999999999</v>
      </c>
      <c r="G27" s="23">
        <v>1.9421440000000001</v>
      </c>
      <c r="H27" s="22">
        <v>1.7557670000000001</v>
      </c>
      <c r="I27" s="22">
        <v>1.649932</v>
      </c>
      <c r="J27" s="22">
        <v>1.38069</v>
      </c>
      <c r="K27" s="22">
        <v>1.3677299999999999</v>
      </c>
      <c r="L27" s="22">
        <v>1.3161560000000001</v>
      </c>
      <c r="M27" s="23">
        <v>1.3477710000000001</v>
      </c>
      <c r="N27" s="43">
        <v>0.75983699999999998</v>
      </c>
      <c r="O27" s="22">
        <v>0.73812800000000001</v>
      </c>
      <c r="P27" s="22">
        <v>0.63874900000000001</v>
      </c>
      <c r="Q27" s="22">
        <v>0.59662999999999999</v>
      </c>
      <c r="R27" s="22">
        <v>0.69332899999999997</v>
      </c>
      <c r="S27" s="23">
        <v>0.64274399999999998</v>
      </c>
      <c r="T27" s="43">
        <v>0.52645900000000001</v>
      </c>
      <c r="U27" s="22">
        <v>0.51288999999999996</v>
      </c>
      <c r="V27" s="22">
        <v>0.43139499999999997</v>
      </c>
      <c r="W27" s="22">
        <v>0.43139499999999997</v>
      </c>
      <c r="X27" s="22">
        <v>0.459374</v>
      </c>
      <c r="Y27" s="23">
        <v>0.47518199999999999</v>
      </c>
      <c r="Z27" s="43">
        <v>0.41791</v>
      </c>
      <c r="AA27" s="22">
        <v>0.42605199999999999</v>
      </c>
      <c r="AB27" s="22">
        <v>0.34067700000000001</v>
      </c>
      <c r="AC27" s="22">
        <v>0.34391699999999997</v>
      </c>
      <c r="AD27" s="22">
        <v>0.38033499999999998</v>
      </c>
      <c r="AE27" s="22">
        <v>0.39930399999999999</v>
      </c>
      <c r="AF27" s="43">
        <v>0.37449100000000002</v>
      </c>
      <c r="AG27" s="22">
        <v>0.30936200000000003</v>
      </c>
      <c r="AH27" s="22">
        <v>0.29531800000000002</v>
      </c>
      <c r="AI27" s="22">
        <v>0.26615899999999998</v>
      </c>
      <c r="AJ27" s="22">
        <v>0.32974999999999999</v>
      </c>
      <c r="AK27" s="23">
        <v>0.30761899999999998</v>
      </c>
      <c r="AO27" s="39">
        <v>1.2001200000000001</v>
      </c>
      <c r="AP27" s="2">
        <v>1.820149</v>
      </c>
      <c r="AQ27" s="2">
        <v>1.797058</v>
      </c>
      <c r="AR27" s="2">
        <v>2.0253999999999999</v>
      </c>
      <c r="AS27" s="2">
        <v>0.47062300000000001</v>
      </c>
      <c r="AT27" s="2">
        <v>0.46292699999999998</v>
      </c>
      <c r="AU27" s="20">
        <v>0.46805799999999997</v>
      </c>
    </row>
    <row r="28" spans="1:49">
      <c r="AO28" s="39">
        <v>1.4147780000000001</v>
      </c>
      <c r="AP28" s="2">
        <v>2.0382280000000002</v>
      </c>
      <c r="AQ28" s="2">
        <v>2.0253999999999999</v>
      </c>
      <c r="AR28" s="2">
        <v>1.9894810000000001</v>
      </c>
      <c r="AS28" s="2">
        <v>0.42957299999999998</v>
      </c>
      <c r="AT28" s="2">
        <v>0.444967</v>
      </c>
      <c r="AU28" s="20">
        <v>0.40904800000000002</v>
      </c>
    </row>
    <row r="29" spans="1:49">
      <c r="AO29" s="39">
        <v>1.9073800000000001</v>
      </c>
      <c r="AP29" s="2">
        <v>1.9381679999999999</v>
      </c>
      <c r="AQ29" s="2">
        <v>1.9561280000000001</v>
      </c>
      <c r="AR29" s="2">
        <v>1.9894810000000001</v>
      </c>
      <c r="AS29" s="2">
        <v>0.38852300000000001</v>
      </c>
      <c r="AT29" s="2">
        <v>0.38852300000000001</v>
      </c>
      <c r="AU29" s="20">
        <v>0.39878599999999997</v>
      </c>
    </row>
    <row r="30" spans="1:49">
      <c r="AO30" s="39">
        <v>3.2842730000000002</v>
      </c>
      <c r="AP30" s="2">
        <v>1.889421</v>
      </c>
      <c r="AQ30" s="2">
        <v>1.889421</v>
      </c>
      <c r="AR30" s="2">
        <v>1.9330369999999999</v>
      </c>
      <c r="AS30" s="2">
        <v>0.35003800000000002</v>
      </c>
      <c r="AT30" s="2">
        <v>0.34490700000000002</v>
      </c>
      <c r="AU30" s="20">
        <v>0.34234199999999998</v>
      </c>
    </row>
    <row r="31" spans="1:49">
      <c r="AO31" s="39">
        <v>4.13863</v>
      </c>
      <c r="AP31" s="2">
        <v>1.802189</v>
      </c>
      <c r="AQ31" s="2">
        <v>1.86633</v>
      </c>
      <c r="AR31" s="2">
        <v>1.848371</v>
      </c>
      <c r="AS31" s="2">
        <v>0.324382</v>
      </c>
      <c r="AT31" s="2">
        <v>0.30898799999999998</v>
      </c>
      <c r="AU31" s="20">
        <v>0.30385699999999999</v>
      </c>
    </row>
    <row r="32" spans="1:49">
      <c r="AO32" s="39">
        <v>5.8909599999999998</v>
      </c>
      <c r="AP32" s="2">
        <v>1.861199</v>
      </c>
      <c r="AQ32" s="2">
        <v>1.871462</v>
      </c>
      <c r="AR32" s="2">
        <v>1.8560680000000001</v>
      </c>
      <c r="AS32" s="2">
        <v>0.29359400000000002</v>
      </c>
      <c r="AT32" s="2">
        <v>0.29102899999999998</v>
      </c>
      <c r="AU32" s="20">
        <v>0.30129099999999998</v>
      </c>
    </row>
    <row r="33" spans="1:49" ht="24" thickBot="1">
      <c r="A33" s="45" t="s">
        <v>2150</v>
      </c>
      <c r="AO33" s="39">
        <v>7.0283930000000003</v>
      </c>
      <c r="AP33" s="2">
        <v>1.9150769999999999</v>
      </c>
      <c r="AQ33" s="2">
        <v>2.0972379999999999</v>
      </c>
      <c r="AR33" s="2">
        <v>1.830411</v>
      </c>
      <c r="AS33" s="2">
        <v>0.29872599999999999</v>
      </c>
      <c r="AT33" s="2">
        <v>0.31412000000000001</v>
      </c>
      <c r="AU33" s="20">
        <v>0.28846300000000002</v>
      </c>
    </row>
    <row r="34" spans="1:49" ht="15" thickBot="1">
      <c r="A34" s="3" t="s">
        <v>730</v>
      </c>
      <c r="B34" s="274" t="s">
        <v>741</v>
      </c>
      <c r="C34" s="254"/>
      <c r="D34" s="254"/>
      <c r="E34" s="254"/>
      <c r="F34" s="254"/>
      <c r="G34" s="255"/>
      <c r="H34" s="274" t="s">
        <v>742</v>
      </c>
      <c r="I34" s="254"/>
      <c r="J34" s="254"/>
      <c r="K34" s="254"/>
      <c r="L34" s="254"/>
      <c r="M34" s="255"/>
      <c r="N34" s="274" t="s">
        <v>743</v>
      </c>
      <c r="O34" s="254"/>
      <c r="P34" s="254"/>
      <c r="Q34" s="254"/>
      <c r="R34" s="254"/>
      <c r="S34" s="255"/>
      <c r="T34" s="274" t="s">
        <v>744</v>
      </c>
      <c r="U34" s="254"/>
      <c r="V34" s="254"/>
      <c r="W34" s="254"/>
      <c r="X34" s="254"/>
      <c r="Y34" s="255"/>
      <c r="Z34" s="274" t="s">
        <v>745</v>
      </c>
      <c r="AA34" s="254"/>
      <c r="AB34" s="254"/>
      <c r="AC34" s="254"/>
      <c r="AD34" s="254"/>
      <c r="AE34" s="255"/>
      <c r="AF34" s="274" t="s">
        <v>746</v>
      </c>
      <c r="AG34" s="254"/>
      <c r="AH34" s="254"/>
      <c r="AI34" s="254"/>
      <c r="AJ34" s="254"/>
      <c r="AK34" s="255"/>
      <c r="AO34" s="43">
        <v>7.2182500000000003</v>
      </c>
      <c r="AP34" s="22">
        <v>1.84324</v>
      </c>
      <c r="AQ34" s="22">
        <v>1.820149</v>
      </c>
      <c r="AR34" s="22">
        <v>1.84324</v>
      </c>
      <c r="AS34" s="22">
        <v>0.26280700000000001</v>
      </c>
      <c r="AT34" s="22">
        <v>0.27820099999999998</v>
      </c>
      <c r="AU34" s="23">
        <v>0.28333199999999997</v>
      </c>
    </row>
    <row r="35" spans="1:49">
      <c r="A35" s="2">
        <v>1E-4</v>
      </c>
      <c r="B35" s="39">
        <v>1.0203530000000001</v>
      </c>
      <c r="C35" s="2">
        <v>1.1289009999999999</v>
      </c>
      <c r="D35" s="2">
        <v>1.0178199999999999</v>
      </c>
      <c r="E35" s="2">
        <v>1.0566990000000001</v>
      </c>
      <c r="F35" s="2">
        <v>1.139108</v>
      </c>
      <c r="G35" s="20">
        <v>1.1138159999999999</v>
      </c>
      <c r="H35" s="2">
        <v>1.1750339999999999</v>
      </c>
      <c r="I35" s="2">
        <v>1.1451830000000001</v>
      </c>
      <c r="J35" s="2">
        <v>1.140936</v>
      </c>
      <c r="K35" s="2">
        <v>1.127977</v>
      </c>
      <c r="L35" s="2">
        <v>1.139108</v>
      </c>
      <c r="M35" s="20">
        <v>1.1549160000000001</v>
      </c>
      <c r="N35" s="39">
        <v>1.139756</v>
      </c>
      <c r="O35" s="2">
        <v>1.1831750000000001</v>
      </c>
      <c r="P35" s="2">
        <v>1.1312169999999999</v>
      </c>
      <c r="Q35" s="2">
        <v>1.1441760000000001</v>
      </c>
      <c r="R35" s="2">
        <v>1.1580779999999999</v>
      </c>
      <c r="S35" s="20">
        <v>1.120139</v>
      </c>
      <c r="T35" s="39">
        <v>1.1750339999999999</v>
      </c>
      <c r="U35" s="2">
        <v>1.112619</v>
      </c>
      <c r="V35" s="2">
        <v>1.1603760000000001</v>
      </c>
      <c r="W35" s="2">
        <v>1.225174</v>
      </c>
      <c r="X35" s="2">
        <v>1.177047</v>
      </c>
      <c r="Y35" s="20">
        <v>1.1264620000000001</v>
      </c>
      <c r="Z35" s="39">
        <v>1.1234740000000001</v>
      </c>
      <c r="AA35" s="2">
        <v>1.12076</v>
      </c>
      <c r="AB35" s="2">
        <v>1.1506559999999999</v>
      </c>
      <c r="AC35" s="2">
        <v>1.137696</v>
      </c>
      <c r="AD35" s="2">
        <v>1.091685</v>
      </c>
      <c r="AE35" s="2">
        <v>1.1074930000000001</v>
      </c>
      <c r="AF35" s="39">
        <v>1.1696070000000001</v>
      </c>
      <c r="AG35" s="2">
        <v>1.0447759999999999</v>
      </c>
      <c r="AH35" s="2">
        <v>1.1312169999999999</v>
      </c>
      <c r="AI35" s="2">
        <v>1.1020570000000001</v>
      </c>
      <c r="AJ35" s="2">
        <v>1.0505850000000001</v>
      </c>
      <c r="AK35" s="20">
        <v>1.018969</v>
      </c>
    </row>
    <row r="36" spans="1:49" ht="15" thickBot="1">
      <c r="A36" s="2">
        <v>1E-3</v>
      </c>
      <c r="B36" s="39">
        <v>1.237449</v>
      </c>
      <c r="C36" s="2">
        <v>1.1940299999999999</v>
      </c>
      <c r="D36" s="2">
        <v>1.043739</v>
      </c>
      <c r="E36" s="2">
        <v>1.0890979999999999</v>
      </c>
      <c r="F36" s="2">
        <v>1.139108</v>
      </c>
      <c r="G36" s="20">
        <v>1.148593</v>
      </c>
      <c r="H36" s="2">
        <v>1.3052919999999999</v>
      </c>
      <c r="I36" s="2">
        <v>1.2781549999999999</v>
      </c>
      <c r="J36" s="2">
        <v>1.1150169999999999</v>
      </c>
      <c r="K36" s="2">
        <v>1.1182570000000001</v>
      </c>
      <c r="L36" s="2">
        <v>1.1549160000000001</v>
      </c>
      <c r="M36" s="20">
        <v>1.1707240000000001</v>
      </c>
      <c r="N36" s="39">
        <v>1.2808679999999999</v>
      </c>
      <c r="O36" s="2">
        <v>1.321574</v>
      </c>
      <c r="P36" s="2">
        <v>1.1312169999999999</v>
      </c>
      <c r="Q36" s="2">
        <v>1.1441760000000001</v>
      </c>
      <c r="R36" s="2">
        <v>1.1517550000000001</v>
      </c>
      <c r="S36" s="20">
        <v>1.18337</v>
      </c>
      <c r="T36" s="39">
        <v>1.24559</v>
      </c>
      <c r="U36" s="2">
        <v>1.204885</v>
      </c>
      <c r="V36" s="2">
        <v>1.205735</v>
      </c>
      <c r="W36" s="2">
        <v>1.134457</v>
      </c>
      <c r="X36" s="2">
        <v>1.192855</v>
      </c>
      <c r="Y36" s="20">
        <v>1.1549160000000001</v>
      </c>
      <c r="Z36" s="39">
        <v>1.2130259999999999</v>
      </c>
      <c r="AA36" s="2">
        <v>1.2103120000000001</v>
      </c>
      <c r="AB36" s="2">
        <v>1.1668559999999999</v>
      </c>
      <c r="AC36" s="2">
        <v>1.134457</v>
      </c>
      <c r="AD36" s="2">
        <v>1.148593</v>
      </c>
      <c r="AE36" s="2">
        <v>1.1327849999999999</v>
      </c>
      <c r="AF36" s="39">
        <v>1.2130259999999999</v>
      </c>
      <c r="AG36" s="2">
        <v>1.0854820000000001</v>
      </c>
      <c r="AH36" s="2">
        <v>1.1182570000000001</v>
      </c>
      <c r="AI36" s="2">
        <v>1.063178</v>
      </c>
      <c r="AJ36" s="2">
        <v>1.0853619999999999</v>
      </c>
      <c r="AK36" s="20">
        <v>1.091685</v>
      </c>
    </row>
    <row r="37" spans="1:49" ht="23.25">
      <c r="A37" s="2">
        <v>0.01</v>
      </c>
      <c r="B37" s="39">
        <v>1.1696070000000001</v>
      </c>
      <c r="C37" s="2">
        <v>1.2537309999999999</v>
      </c>
      <c r="D37" s="2">
        <v>1.076138</v>
      </c>
      <c r="E37" s="2">
        <v>1.1247370000000001</v>
      </c>
      <c r="F37" s="2">
        <v>1.120139</v>
      </c>
      <c r="G37" s="20">
        <v>1.1264620000000001</v>
      </c>
      <c r="H37" s="2">
        <v>1.3432839999999999</v>
      </c>
      <c r="I37" s="2">
        <v>1.427408</v>
      </c>
      <c r="J37" s="2">
        <v>1.173335</v>
      </c>
      <c r="K37" s="2">
        <v>1.183055</v>
      </c>
      <c r="L37" s="2">
        <v>1.1896929999999999</v>
      </c>
      <c r="M37" s="20">
        <v>1.192855</v>
      </c>
      <c r="N37" s="39">
        <v>1.454545</v>
      </c>
      <c r="O37" s="2">
        <v>1.2021710000000001</v>
      </c>
      <c r="P37" s="2">
        <v>1.1668559999999999</v>
      </c>
      <c r="Q37" s="2">
        <v>1.137696</v>
      </c>
      <c r="R37" s="2">
        <v>1.18337</v>
      </c>
      <c r="S37" s="20">
        <v>1.135947</v>
      </c>
      <c r="T37" s="39">
        <v>1.2401629999999999</v>
      </c>
      <c r="U37" s="2">
        <v>1.218453</v>
      </c>
      <c r="V37" s="2">
        <v>1.137696</v>
      </c>
      <c r="W37" s="2">
        <v>1.2024950000000001</v>
      </c>
      <c r="X37" s="2">
        <v>1.1422699999999999</v>
      </c>
      <c r="Y37" s="20">
        <v>1.148593</v>
      </c>
      <c r="Z37" s="39">
        <v>1.1831750000000001</v>
      </c>
      <c r="AA37" s="2">
        <v>1.2130259999999999</v>
      </c>
      <c r="AB37" s="2">
        <v>1.140936</v>
      </c>
      <c r="AC37" s="2">
        <v>1.205735</v>
      </c>
      <c r="AD37" s="2">
        <v>1.1517550000000001</v>
      </c>
      <c r="AE37" s="2">
        <v>1.1612389999999999</v>
      </c>
      <c r="AF37" s="39">
        <v>1.1831750000000001</v>
      </c>
      <c r="AG37" s="2">
        <v>1.069199</v>
      </c>
      <c r="AH37" s="2">
        <v>1.111777</v>
      </c>
      <c r="AI37" s="2">
        <v>1.0664180000000001</v>
      </c>
      <c r="AJ37" s="2">
        <v>1.0822000000000001</v>
      </c>
      <c r="AK37" s="20">
        <v>1.056908</v>
      </c>
      <c r="AO37" s="268" t="s">
        <v>2153</v>
      </c>
      <c r="AP37" s="269"/>
      <c r="AQ37" s="269"/>
      <c r="AR37" s="269"/>
      <c r="AS37" s="269"/>
      <c r="AT37" s="269"/>
      <c r="AU37" s="270"/>
    </row>
    <row r="38" spans="1:49">
      <c r="A38" s="2">
        <v>0.05</v>
      </c>
      <c r="B38" s="39">
        <v>1.199457</v>
      </c>
      <c r="C38" s="2">
        <v>1.3052919999999999</v>
      </c>
      <c r="D38" s="2">
        <v>1.069658</v>
      </c>
      <c r="E38" s="2">
        <v>1.1085370000000001</v>
      </c>
      <c r="F38" s="2">
        <v>1.120139</v>
      </c>
      <c r="G38" s="20">
        <v>1.1264620000000001</v>
      </c>
      <c r="H38" s="2">
        <v>1.427408</v>
      </c>
      <c r="I38" s="2">
        <v>1.473541</v>
      </c>
      <c r="J38" s="2">
        <v>1.1571359999999999</v>
      </c>
      <c r="K38" s="2">
        <v>1.1668559999999999</v>
      </c>
      <c r="L38" s="2">
        <v>1.1327849999999999</v>
      </c>
      <c r="M38" s="20">
        <v>1.1707240000000001</v>
      </c>
      <c r="N38" s="39">
        <v>1.530529</v>
      </c>
      <c r="O38" s="2">
        <v>1.3270010000000001</v>
      </c>
      <c r="P38" s="2">
        <v>1.137696</v>
      </c>
      <c r="Q38" s="2">
        <v>1.105297</v>
      </c>
      <c r="R38" s="2">
        <v>1.1074930000000001</v>
      </c>
      <c r="S38" s="20">
        <v>1.056908</v>
      </c>
      <c r="T38" s="39">
        <v>1.1506110000000001</v>
      </c>
      <c r="U38" s="2">
        <v>1.139756</v>
      </c>
      <c r="V38" s="2">
        <v>1.0469790000000001</v>
      </c>
      <c r="W38" s="2">
        <v>1.063178</v>
      </c>
      <c r="X38" s="2">
        <v>1.0379389999999999</v>
      </c>
      <c r="Y38" s="20">
        <v>1.0537460000000001</v>
      </c>
      <c r="Z38" s="39">
        <v>0.97421999999999997</v>
      </c>
      <c r="AA38" s="2">
        <v>0.95793799999999996</v>
      </c>
      <c r="AB38" s="2">
        <v>0.92062200000000005</v>
      </c>
      <c r="AC38" s="2">
        <v>0.91738200000000003</v>
      </c>
      <c r="AD38" s="2">
        <v>0.88934599999999997</v>
      </c>
      <c r="AE38" s="2">
        <v>0.91147599999999995</v>
      </c>
      <c r="AF38" s="39">
        <v>0.82496599999999998</v>
      </c>
      <c r="AG38" s="2">
        <v>0.78968799999999995</v>
      </c>
      <c r="AH38" s="2">
        <v>0.79750500000000002</v>
      </c>
      <c r="AI38" s="2">
        <v>0.77806600000000004</v>
      </c>
      <c r="AJ38" s="2">
        <v>0.77869100000000002</v>
      </c>
      <c r="AK38" s="20">
        <v>0.75339900000000004</v>
      </c>
      <c r="AO38" s="38" t="s">
        <v>1037</v>
      </c>
      <c r="AP38" s="235" t="s">
        <v>29</v>
      </c>
      <c r="AQ38" s="235"/>
      <c r="AR38" s="235"/>
      <c r="AS38" s="235" t="s">
        <v>30</v>
      </c>
      <c r="AT38" s="235"/>
      <c r="AU38" s="236"/>
    </row>
    <row r="39" spans="1:49" ht="18.75">
      <c r="A39" s="2">
        <v>0.1</v>
      </c>
      <c r="B39" s="39">
        <v>1.2293080000000001</v>
      </c>
      <c r="C39" s="2">
        <v>1.4355500000000001</v>
      </c>
      <c r="D39" s="2">
        <v>1.0664180000000001</v>
      </c>
      <c r="E39" s="2">
        <v>1.1441760000000001</v>
      </c>
      <c r="F39" s="2">
        <v>1.056908</v>
      </c>
      <c r="G39" s="20">
        <v>1.091685</v>
      </c>
      <c r="H39" s="2">
        <v>1.4681139999999999</v>
      </c>
      <c r="I39" s="2">
        <v>1.446404</v>
      </c>
      <c r="J39" s="2">
        <v>1.1668559999999999</v>
      </c>
      <c r="K39" s="2">
        <v>1.1862950000000001</v>
      </c>
      <c r="L39" s="2">
        <v>1.129624</v>
      </c>
      <c r="M39" s="20">
        <v>1.1612389999999999</v>
      </c>
      <c r="N39" s="39">
        <v>1.394844</v>
      </c>
      <c r="O39" s="2">
        <v>1.2130259999999999</v>
      </c>
      <c r="P39" s="2">
        <v>1.105297</v>
      </c>
      <c r="Q39" s="2">
        <v>1.1085370000000001</v>
      </c>
      <c r="R39" s="2">
        <v>1.0379389999999999</v>
      </c>
      <c r="S39" s="20">
        <v>1.0537460000000001</v>
      </c>
      <c r="T39" s="39">
        <v>1.0447759999999999</v>
      </c>
      <c r="U39" s="2">
        <v>1.04749</v>
      </c>
      <c r="V39" s="2">
        <v>1.0307789999999999</v>
      </c>
      <c r="W39" s="2">
        <v>0.969221</v>
      </c>
      <c r="X39" s="2">
        <v>0.90199200000000002</v>
      </c>
      <c r="Y39" s="20">
        <v>1.009485</v>
      </c>
      <c r="Z39" s="39">
        <v>0.84667599999999998</v>
      </c>
      <c r="AA39" s="2">
        <v>0.82496599999999998</v>
      </c>
      <c r="AB39" s="2">
        <v>0.77806600000000004</v>
      </c>
      <c r="AC39" s="2">
        <v>0.81046499999999999</v>
      </c>
      <c r="AD39" s="2">
        <v>0.93676899999999996</v>
      </c>
      <c r="AE39" s="2">
        <v>0.93676899999999996</v>
      </c>
      <c r="AF39" s="39">
        <v>0.67571199999999998</v>
      </c>
      <c r="AG39" s="2">
        <v>0.70013599999999998</v>
      </c>
      <c r="AH39" s="2">
        <v>0.67438799999999999</v>
      </c>
      <c r="AI39" s="2">
        <v>0.64846899999999996</v>
      </c>
      <c r="AJ39" s="2">
        <v>0.65222899999999995</v>
      </c>
      <c r="AK39" s="20">
        <v>0.63958300000000001</v>
      </c>
      <c r="AO39" s="39">
        <v>0</v>
      </c>
      <c r="AP39" s="2">
        <v>1.2432580419999999</v>
      </c>
      <c r="AQ39" s="2"/>
      <c r="AR39" s="2"/>
      <c r="AS39" s="2">
        <v>1.2432580419999999</v>
      </c>
      <c r="AT39" s="2"/>
      <c r="AU39" s="20"/>
      <c r="AV39" s="4" t="s">
        <v>2147</v>
      </c>
      <c r="AW39">
        <v>1.06</v>
      </c>
    </row>
    <row r="40" spans="1:49" ht="17.25">
      <c r="A40" s="2">
        <v>0.5</v>
      </c>
      <c r="B40" s="39">
        <v>1.0583450000000001</v>
      </c>
      <c r="C40" s="2">
        <v>1.1750339999999999</v>
      </c>
      <c r="D40" s="2">
        <v>1.0955779999999999</v>
      </c>
      <c r="E40" s="2">
        <v>1.1312169999999999</v>
      </c>
      <c r="F40" s="2">
        <v>1.0695539999999999</v>
      </c>
      <c r="G40" s="20">
        <v>1.088524</v>
      </c>
      <c r="H40" s="2">
        <v>1.161465</v>
      </c>
      <c r="I40" s="2">
        <v>1.153324</v>
      </c>
      <c r="J40" s="2">
        <v>1.1312169999999999</v>
      </c>
      <c r="K40" s="2">
        <v>1.1441760000000001</v>
      </c>
      <c r="L40" s="2">
        <v>1.0790390000000001</v>
      </c>
      <c r="M40" s="20">
        <v>1.072716</v>
      </c>
      <c r="N40" s="39">
        <v>0.98236100000000004</v>
      </c>
      <c r="O40" s="2">
        <v>0.99050199999999999</v>
      </c>
      <c r="P40" s="2">
        <v>0.94978099999999999</v>
      </c>
      <c r="Q40" s="2">
        <v>0.94654099999999997</v>
      </c>
      <c r="R40" s="2">
        <v>0.879861</v>
      </c>
      <c r="S40" s="20">
        <v>0.84192199999999995</v>
      </c>
      <c r="T40" s="39">
        <v>0.78154699999999999</v>
      </c>
      <c r="U40" s="2">
        <v>0.77340600000000004</v>
      </c>
      <c r="V40" s="2">
        <v>0.75214599999999998</v>
      </c>
      <c r="W40" s="2">
        <v>0.74242699999999995</v>
      </c>
      <c r="X40" s="2">
        <v>0.70913700000000002</v>
      </c>
      <c r="Y40" s="20">
        <v>0.69649099999999997</v>
      </c>
      <c r="Z40" s="39">
        <v>0.57259199999999999</v>
      </c>
      <c r="AA40" s="2">
        <v>0.57259199999999999</v>
      </c>
      <c r="AB40" s="2">
        <v>0.56423100000000004</v>
      </c>
      <c r="AC40" s="2">
        <v>0.58367100000000005</v>
      </c>
      <c r="AD40" s="2">
        <v>0.55105899999999997</v>
      </c>
      <c r="AE40" s="2">
        <v>0.544736</v>
      </c>
      <c r="AF40" s="39">
        <v>0.45590199999999997</v>
      </c>
      <c r="AG40" s="2">
        <v>0.45861600000000002</v>
      </c>
      <c r="AH40" s="2">
        <v>0.46379399999999998</v>
      </c>
      <c r="AI40" s="2">
        <v>0.44435400000000003</v>
      </c>
      <c r="AJ40" s="10" t="s">
        <v>747</v>
      </c>
      <c r="AK40" s="20">
        <v>0.46885900000000003</v>
      </c>
      <c r="AO40" s="39">
        <v>2.3091E-2</v>
      </c>
      <c r="AP40" s="2">
        <v>1.0376289999999999</v>
      </c>
      <c r="AQ40" s="2">
        <v>1.0273669999999999</v>
      </c>
      <c r="AR40" s="2">
        <v>0.98375100000000004</v>
      </c>
      <c r="AS40" s="2">
        <v>1.017104</v>
      </c>
      <c r="AT40" s="2">
        <v>1.0196700000000001</v>
      </c>
      <c r="AU40" s="20">
        <v>1.0376289999999999</v>
      </c>
      <c r="AV40" s="171" t="s">
        <v>2148</v>
      </c>
      <c r="AW40" s="2">
        <v>0.01</v>
      </c>
    </row>
    <row r="41" spans="1:49">
      <c r="A41" s="2">
        <v>1</v>
      </c>
      <c r="B41" s="39">
        <v>1.4192670000000001</v>
      </c>
      <c r="C41" s="2">
        <v>1.3731340000000001</v>
      </c>
      <c r="D41" s="2">
        <v>1.241374</v>
      </c>
      <c r="E41" s="2">
        <v>1.1020570000000001</v>
      </c>
      <c r="F41" s="2">
        <v>1.116978</v>
      </c>
      <c r="G41" s="20">
        <v>1.0822000000000001</v>
      </c>
      <c r="H41" s="2">
        <v>1.2890090000000001</v>
      </c>
      <c r="I41" s="2">
        <v>1.2971509999999999</v>
      </c>
      <c r="J41" s="2">
        <v>1.1765749999999999</v>
      </c>
      <c r="K41" s="2">
        <v>1.1571359999999999</v>
      </c>
      <c r="L41" s="2">
        <v>1.0600700000000001</v>
      </c>
      <c r="M41" s="20">
        <v>1.072716</v>
      </c>
      <c r="N41" s="39">
        <v>1.0203530000000001</v>
      </c>
      <c r="O41" s="2">
        <v>1.0610580000000001</v>
      </c>
      <c r="P41" s="2">
        <v>0.81370500000000001</v>
      </c>
      <c r="Q41" s="2">
        <v>0.94654099999999997</v>
      </c>
      <c r="R41" s="2">
        <v>0.89566900000000005</v>
      </c>
      <c r="S41" s="20">
        <v>0.88934599999999997</v>
      </c>
      <c r="T41" s="39">
        <v>0.81139799999999995</v>
      </c>
      <c r="U41" s="2">
        <v>0.82767999999999997</v>
      </c>
      <c r="V41" s="2">
        <v>0.72622699999999996</v>
      </c>
      <c r="W41" s="2">
        <v>0.68086800000000003</v>
      </c>
      <c r="X41" s="2">
        <v>0.67435999999999996</v>
      </c>
      <c r="Y41" s="20">
        <v>0.66171400000000002</v>
      </c>
      <c r="Z41" s="39">
        <v>0.59430099999999997</v>
      </c>
      <c r="AA41" s="2">
        <v>0.59430099999999997</v>
      </c>
      <c r="AB41" s="2">
        <v>0.53183199999999997</v>
      </c>
      <c r="AC41" s="2">
        <v>0.53831200000000001</v>
      </c>
      <c r="AD41" s="2">
        <v>0.49098999999999998</v>
      </c>
      <c r="AE41" s="2">
        <v>0.48466599999999999</v>
      </c>
      <c r="AF41" s="39">
        <v>0.51017599999999996</v>
      </c>
      <c r="AG41" s="2">
        <v>0.48575299999999999</v>
      </c>
      <c r="AH41" s="2">
        <v>0.43787500000000001</v>
      </c>
      <c r="AI41" s="2">
        <v>0.41519499999999998</v>
      </c>
      <c r="AJ41" s="2">
        <v>0.424597</v>
      </c>
      <c r="AK41" s="20">
        <v>0.43724299999999999</v>
      </c>
      <c r="AO41" s="39">
        <v>8.1073999999999993E-2</v>
      </c>
      <c r="AP41" s="2">
        <v>1.0607200000000001</v>
      </c>
      <c r="AQ41" s="2">
        <v>1.006842</v>
      </c>
      <c r="AR41" s="2">
        <v>1.0376289999999999</v>
      </c>
      <c r="AS41" s="2">
        <v>0.92730699999999999</v>
      </c>
      <c r="AT41" s="2">
        <v>0.98888200000000004</v>
      </c>
      <c r="AU41" s="20">
        <v>0.92474100000000004</v>
      </c>
      <c r="AV41" t="s">
        <v>2183</v>
      </c>
      <c r="AW41" s="2">
        <v>2</v>
      </c>
    </row>
    <row r="42" spans="1:49" ht="15" thickBot="1">
      <c r="A42" s="2">
        <v>10</v>
      </c>
      <c r="B42" s="43">
        <v>1.3921300000000001</v>
      </c>
      <c r="C42" s="22">
        <v>1.405699</v>
      </c>
      <c r="D42" s="22">
        <v>1.2219340000000001</v>
      </c>
      <c r="E42" s="22">
        <v>1.260813</v>
      </c>
      <c r="F42" s="22">
        <v>1.1549160000000001</v>
      </c>
      <c r="G42" s="23">
        <v>1.148593</v>
      </c>
      <c r="H42" s="22">
        <v>1.3432839999999999</v>
      </c>
      <c r="I42" s="22">
        <v>1.408412</v>
      </c>
      <c r="J42" s="22">
        <v>1.1765749999999999</v>
      </c>
      <c r="K42" s="22">
        <v>1.1862950000000001</v>
      </c>
      <c r="L42" s="22">
        <v>1.0853619999999999</v>
      </c>
      <c r="M42" s="23">
        <v>1.088524</v>
      </c>
      <c r="N42" s="43">
        <v>1.0502039999999999</v>
      </c>
      <c r="O42" s="22">
        <v>1.0339210000000001</v>
      </c>
      <c r="P42" s="22">
        <v>0.90766199999999997</v>
      </c>
      <c r="Q42" s="22">
        <v>0.89794300000000005</v>
      </c>
      <c r="R42" s="22">
        <v>0.84824500000000003</v>
      </c>
      <c r="S42" s="23">
        <v>0.83559899999999998</v>
      </c>
      <c r="T42" s="43">
        <v>0.79511500000000002</v>
      </c>
      <c r="U42" s="22">
        <v>0.73541400000000001</v>
      </c>
      <c r="V42" s="22">
        <v>0.67438799999999999</v>
      </c>
      <c r="W42" s="22">
        <v>0.66142900000000004</v>
      </c>
      <c r="X42" s="22">
        <v>0.65222899999999995</v>
      </c>
      <c r="Y42" s="23">
        <v>0.65855200000000003</v>
      </c>
      <c r="Z42" s="43">
        <v>0.53731300000000004</v>
      </c>
      <c r="AA42" s="22">
        <v>0.54545500000000002</v>
      </c>
      <c r="AB42" s="22">
        <v>0.48971300000000001</v>
      </c>
      <c r="AC42" s="22">
        <v>0.49943300000000002</v>
      </c>
      <c r="AD42" s="22">
        <v>0.48782799999999998</v>
      </c>
      <c r="AE42" s="22">
        <v>0.50047399999999997</v>
      </c>
      <c r="AF42" s="43">
        <v>0.442334</v>
      </c>
      <c r="AG42" s="22">
        <v>0.37177700000000002</v>
      </c>
      <c r="AH42" s="22">
        <v>0.37631599999999998</v>
      </c>
      <c r="AI42" s="22">
        <v>0.34391699999999997</v>
      </c>
      <c r="AJ42" s="22">
        <v>0.39930399999999999</v>
      </c>
      <c r="AK42" s="23">
        <v>0.37401200000000001</v>
      </c>
      <c r="AO42" s="39">
        <v>0.170871</v>
      </c>
      <c r="AP42" s="2">
        <v>1.058154</v>
      </c>
      <c r="AQ42" s="2">
        <v>1.112033</v>
      </c>
      <c r="AR42" s="2">
        <v>1.0658510000000001</v>
      </c>
      <c r="AS42" s="2">
        <v>0.883691</v>
      </c>
      <c r="AT42" s="2">
        <v>0.90165099999999998</v>
      </c>
      <c r="AU42" s="20">
        <v>0.82724699999999995</v>
      </c>
    </row>
    <row r="43" spans="1:49">
      <c r="AO43" s="39">
        <v>0.37398399999999998</v>
      </c>
      <c r="AP43" s="2">
        <v>1.0504579999999999</v>
      </c>
      <c r="AQ43" s="2">
        <v>1.0504579999999999</v>
      </c>
      <c r="AR43" s="2">
        <v>1.017104</v>
      </c>
      <c r="AS43" s="2">
        <v>0.814419</v>
      </c>
      <c r="AT43" s="2">
        <v>0.82724699999999995</v>
      </c>
      <c r="AU43" s="20">
        <v>0.74771200000000004</v>
      </c>
    </row>
    <row r="44" spans="1:49">
      <c r="AO44" s="39">
        <v>0.70409600000000006</v>
      </c>
      <c r="AP44" s="2">
        <v>1.104336</v>
      </c>
      <c r="AQ44" s="2">
        <v>1.045326</v>
      </c>
      <c r="AR44" s="2">
        <v>0.99657899999999999</v>
      </c>
      <c r="AS44" s="2">
        <v>0.65791500000000003</v>
      </c>
      <c r="AT44" s="2">
        <v>0.681006</v>
      </c>
      <c r="AU44" s="20">
        <v>0.66304600000000002</v>
      </c>
    </row>
    <row r="45" spans="1:49">
      <c r="AO45" s="39">
        <v>1.2001200000000001</v>
      </c>
      <c r="AP45" s="2">
        <v>0.84777199999999997</v>
      </c>
      <c r="AQ45" s="2">
        <v>0.991448</v>
      </c>
      <c r="AR45" s="2">
        <v>1.104336</v>
      </c>
      <c r="AS45" s="2">
        <v>0.63225900000000002</v>
      </c>
      <c r="AT45" s="2">
        <v>0.616865</v>
      </c>
      <c r="AU45" s="20">
        <v>0.611734</v>
      </c>
    </row>
    <row r="46" spans="1:49">
      <c r="AO46" s="39">
        <v>1.4147780000000001</v>
      </c>
      <c r="AP46" s="2">
        <v>0.94783200000000001</v>
      </c>
      <c r="AQ46" s="2">
        <v>1.099205</v>
      </c>
      <c r="AR46" s="2">
        <v>1.0248010000000001</v>
      </c>
      <c r="AS46" s="2">
        <v>0.58351200000000003</v>
      </c>
      <c r="AT46" s="2">
        <v>0.59377400000000002</v>
      </c>
      <c r="AU46" s="20">
        <v>0.51167399999999996</v>
      </c>
    </row>
    <row r="47" spans="1:49">
      <c r="AO47" s="39">
        <v>1.9073800000000001</v>
      </c>
      <c r="AP47" s="2">
        <v>1.076114</v>
      </c>
      <c r="AQ47" s="2">
        <v>1.0966389999999999</v>
      </c>
      <c r="AR47" s="2">
        <v>1.068417</v>
      </c>
      <c r="AS47" s="2">
        <v>0.59120799999999996</v>
      </c>
      <c r="AT47" s="2">
        <v>0.58607699999999996</v>
      </c>
      <c r="AU47" s="20">
        <v>0.60403700000000005</v>
      </c>
    </row>
    <row r="48" spans="1:49">
      <c r="AO48" s="39">
        <v>3.2842730000000002</v>
      </c>
      <c r="AP48" s="2">
        <v>1.0273669999999999</v>
      </c>
      <c r="AQ48" s="2">
        <v>1.0145390000000001</v>
      </c>
      <c r="AR48" s="2">
        <v>1.017104</v>
      </c>
      <c r="AS48" s="2">
        <v>0.41417900000000002</v>
      </c>
      <c r="AT48" s="2">
        <v>0.40648299999999998</v>
      </c>
      <c r="AU48" s="20">
        <v>0.42957299999999998</v>
      </c>
    </row>
    <row r="49" spans="1:49">
      <c r="AO49" s="39">
        <v>4.13863</v>
      </c>
      <c r="AP49" s="2">
        <v>0.96835700000000002</v>
      </c>
      <c r="AQ49" s="2">
        <v>0.99657899999999999</v>
      </c>
      <c r="AR49" s="2">
        <v>0.98375100000000004</v>
      </c>
      <c r="AS49" s="2">
        <v>0.42187599999999997</v>
      </c>
      <c r="AT49" s="2">
        <v>0.40648299999999998</v>
      </c>
      <c r="AU49" s="20">
        <v>0.37825999999999999</v>
      </c>
    </row>
    <row r="50" spans="1:49" ht="24" thickBot="1">
      <c r="A50" s="45" t="s">
        <v>2149</v>
      </c>
      <c r="AO50" s="39">
        <v>5.8909599999999998</v>
      </c>
      <c r="AP50" s="2">
        <v>1.0273669999999999</v>
      </c>
      <c r="AQ50" s="2">
        <v>1.0248010000000001</v>
      </c>
      <c r="AR50" s="2">
        <v>0.99401399999999995</v>
      </c>
      <c r="AS50" s="2">
        <v>0.306423</v>
      </c>
      <c r="AT50" s="2">
        <v>0.311554</v>
      </c>
      <c r="AU50" s="20">
        <v>0.306423</v>
      </c>
    </row>
    <row r="51" spans="1:49">
      <c r="A51" s="3" t="s">
        <v>730</v>
      </c>
      <c r="B51" s="271" t="s">
        <v>741</v>
      </c>
      <c r="C51" s="272"/>
      <c r="D51" s="272"/>
      <c r="E51" s="272"/>
      <c r="F51" s="272"/>
      <c r="G51" s="273"/>
      <c r="H51" s="271" t="s">
        <v>742</v>
      </c>
      <c r="I51" s="272"/>
      <c r="J51" s="272"/>
      <c r="K51" s="272"/>
      <c r="L51" s="272"/>
      <c r="M51" s="273"/>
      <c r="N51" s="271" t="s">
        <v>743</v>
      </c>
      <c r="O51" s="272"/>
      <c r="P51" s="272"/>
      <c r="Q51" s="272"/>
      <c r="R51" s="272"/>
      <c r="S51" s="273"/>
      <c r="T51" s="271" t="s">
        <v>744</v>
      </c>
      <c r="U51" s="272"/>
      <c r="V51" s="272"/>
      <c r="W51" s="272"/>
      <c r="X51" s="272"/>
      <c r="Y51" s="273"/>
      <c r="Z51" s="271" t="s">
        <v>745</v>
      </c>
      <c r="AA51" s="272"/>
      <c r="AB51" s="272"/>
      <c r="AC51" s="272"/>
      <c r="AD51" s="272"/>
      <c r="AE51" s="273"/>
      <c r="AF51" s="271" t="s">
        <v>746</v>
      </c>
      <c r="AG51" s="272"/>
      <c r="AH51" s="272"/>
      <c r="AI51" s="272"/>
      <c r="AJ51" s="272"/>
      <c r="AK51" s="273"/>
      <c r="AO51" s="39">
        <v>7.0283930000000003</v>
      </c>
      <c r="AP51" s="2">
        <v>1.047892</v>
      </c>
      <c r="AQ51" s="2">
        <v>1.0273669999999999</v>
      </c>
      <c r="AR51" s="2">
        <v>1.047892</v>
      </c>
      <c r="AS51" s="2">
        <v>0.29359400000000002</v>
      </c>
      <c r="AT51" s="2">
        <v>0.26280700000000001</v>
      </c>
      <c r="AU51" s="20">
        <v>0.28333199999999997</v>
      </c>
    </row>
    <row r="52" spans="1:49" ht="15" thickBot="1">
      <c r="A52" s="2">
        <v>1E-4</v>
      </c>
      <c r="B52" s="39">
        <v>0.65671599999999997</v>
      </c>
      <c r="C52" s="2">
        <v>0.71913199999999999</v>
      </c>
      <c r="D52" s="10" t="s">
        <v>748</v>
      </c>
      <c r="E52" s="2">
        <v>0.66142900000000004</v>
      </c>
      <c r="F52" s="2">
        <v>0.62693600000000005</v>
      </c>
      <c r="G52" s="20">
        <v>0.66487499999999999</v>
      </c>
      <c r="H52" s="2">
        <v>0.67028500000000002</v>
      </c>
      <c r="I52" s="2">
        <v>0.68113999999999997</v>
      </c>
      <c r="J52" s="2">
        <v>0.64522900000000005</v>
      </c>
      <c r="K52" s="2">
        <v>0.68086800000000003</v>
      </c>
      <c r="L52" s="2">
        <v>0.69965200000000005</v>
      </c>
      <c r="M52" s="20">
        <v>0.69965200000000005</v>
      </c>
      <c r="N52" s="39">
        <v>0.67299900000000001</v>
      </c>
      <c r="O52" s="2">
        <v>0.67571199999999998</v>
      </c>
      <c r="P52" s="2">
        <v>0.64198900000000003</v>
      </c>
      <c r="Q52" s="2">
        <v>0.65170899999999998</v>
      </c>
      <c r="R52" s="2">
        <v>0.67119799999999996</v>
      </c>
      <c r="S52" s="20">
        <v>0.68384400000000001</v>
      </c>
      <c r="T52" s="39">
        <v>0.64314800000000005</v>
      </c>
      <c r="U52" s="2">
        <v>0.64043399999999995</v>
      </c>
      <c r="V52" s="2">
        <v>0.65170899999999998</v>
      </c>
      <c r="W52" s="2">
        <v>0.64198900000000003</v>
      </c>
      <c r="X52" s="2">
        <v>0.68700600000000001</v>
      </c>
      <c r="Y52" s="20">
        <v>0.65222899999999995</v>
      </c>
      <c r="Z52" s="39">
        <v>0.61329699999999998</v>
      </c>
      <c r="AA52" s="2">
        <v>0.63771999999999995</v>
      </c>
      <c r="AB52" s="2">
        <v>0.63227</v>
      </c>
      <c r="AC52" s="2">
        <v>0.61931000000000003</v>
      </c>
      <c r="AD52" s="2">
        <v>0.64590599999999998</v>
      </c>
      <c r="AE52" s="20">
        <v>0.66171400000000002</v>
      </c>
      <c r="AF52" s="39">
        <v>0.59701499999999996</v>
      </c>
      <c r="AG52" s="2">
        <v>0.51017599999999996</v>
      </c>
      <c r="AH52" s="2">
        <v>0.58367100000000005</v>
      </c>
      <c r="AI52" s="2">
        <v>0.53831200000000001</v>
      </c>
      <c r="AJ52" s="2">
        <v>0.57951299999999994</v>
      </c>
      <c r="AK52" s="20">
        <v>0.544736</v>
      </c>
      <c r="AO52" s="43">
        <v>7.2182500000000003</v>
      </c>
      <c r="AP52" s="22">
        <v>0.991448</v>
      </c>
      <c r="AQ52" s="22">
        <v>1.0376289999999999</v>
      </c>
      <c r="AR52" s="22">
        <v>0.96579099999999996</v>
      </c>
      <c r="AS52" s="22">
        <v>0.27563500000000002</v>
      </c>
      <c r="AT52" s="22">
        <v>0.27820099999999998</v>
      </c>
      <c r="AU52" s="23">
        <v>0.27306900000000001</v>
      </c>
    </row>
    <row r="53" spans="1:49">
      <c r="A53" s="2">
        <v>1E-3</v>
      </c>
      <c r="B53" s="39">
        <v>0.61601099999999998</v>
      </c>
      <c r="C53" s="2">
        <v>0.63771999999999995</v>
      </c>
      <c r="D53" s="2">
        <v>0.62578999999999996</v>
      </c>
      <c r="E53" s="2">
        <v>0.68410800000000005</v>
      </c>
      <c r="F53" s="2">
        <v>0.66171400000000002</v>
      </c>
      <c r="G53" s="20">
        <v>0.66803699999999999</v>
      </c>
      <c r="H53" s="2">
        <v>0.65671599999999997</v>
      </c>
      <c r="I53" s="2">
        <v>0.64857500000000001</v>
      </c>
      <c r="J53" s="2">
        <v>0.67438799999999999</v>
      </c>
      <c r="K53" s="2">
        <v>0.69706800000000002</v>
      </c>
      <c r="L53" s="2">
        <v>0.67435999999999996</v>
      </c>
      <c r="M53" s="20">
        <v>0.66803699999999999</v>
      </c>
      <c r="N53" s="39">
        <v>0.67842599999999997</v>
      </c>
      <c r="O53" s="2">
        <v>0.69470799999999999</v>
      </c>
      <c r="P53" s="2">
        <v>0.67762800000000001</v>
      </c>
      <c r="Q53" s="2">
        <v>0.69706800000000002</v>
      </c>
      <c r="R53" s="2">
        <v>0.68384400000000001</v>
      </c>
      <c r="S53" s="20">
        <v>0.68068300000000004</v>
      </c>
      <c r="T53" s="39">
        <v>0.66214399999999995</v>
      </c>
      <c r="U53" s="2">
        <v>0.64857500000000001</v>
      </c>
      <c r="V53" s="2">
        <v>0.63874900000000001</v>
      </c>
      <c r="W53" s="2">
        <v>0.63227</v>
      </c>
      <c r="X53" s="2">
        <v>0.66487499999999999</v>
      </c>
      <c r="Y53" s="20">
        <v>0.66803699999999999</v>
      </c>
      <c r="Z53" s="39">
        <v>0.59972899999999996</v>
      </c>
      <c r="AA53" s="2">
        <v>0.61329699999999998</v>
      </c>
      <c r="AB53" s="2">
        <v>0.62578999999999996</v>
      </c>
      <c r="AC53" s="2">
        <v>0.59662999999999999</v>
      </c>
      <c r="AD53" s="2">
        <v>0.62693600000000005</v>
      </c>
      <c r="AE53" s="20">
        <v>0.62061299999999997</v>
      </c>
      <c r="AF53" s="39">
        <v>0.53731300000000004</v>
      </c>
      <c r="AG53" s="2">
        <v>0.49660799999999999</v>
      </c>
      <c r="AH53" s="2">
        <v>0.52859199999999995</v>
      </c>
      <c r="AI53" s="2">
        <v>0.54155200000000003</v>
      </c>
      <c r="AJ53" s="2">
        <v>0.55738200000000004</v>
      </c>
      <c r="AK53" s="20">
        <v>0.50679700000000005</v>
      </c>
    </row>
    <row r="54" spans="1:49" ht="15" thickBot="1">
      <c r="A54" s="2">
        <v>0.01</v>
      </c>
      <c r="B54" s="39">
        <v>0.63229299999999999</v>
      </c>
      <c r="C54" s="2">
        <v>0.66485799999999995</v>
      </c>
      <c r="D54" s="2">
        <v>0.64198900000000003</v>
      </c>
      <c r="E54" s="2">
        <v>0.671149</v>
      </c>
      <c r="F54" s="2">
        <v>0.63958300000000001</v>
      </c>
      <c r="G54" s="20">
        <v>0.67119799999999996</v>
      </c>
      <c r="H54" s="2">
        <v>0.68113999999999997</v>
      </c>
      <c r="I54" s="2">
        <v>0.65671599999999997</v>
      </c>
      <c r="J54" s="2">
        <v>0.63874900000000001</v>
      </c>
      <c r="K54" s="2">
        <v>0.64198900000000003</v>
      </c>
      <c r="L54" s="2">
        <v>0.67119799999999996</v>
      </c>
      <c r="M54" s="20">
        <v>0.67752100000000004</v>
      </c>
      <c r="N54" s="39">
        <v>0.63500699999999999</v>
      </c>
      <c r="O54" s="2">
        <v>0.63229299999999999</v>
      </c>
      <c r="P54" s="2">
        <v>0.57071099999999997</v>
      </c>
      <c r="Q54" s="2">
        <v>0.554512</v>
      </c>
      <c r="R54" s="2">
        <v>0.55105899999999997</v>
      </c>
      <c r="S54" s="20">
        <v>0.56686700000000001</v>
      </c>
      <c r="T54" s="39">
        <v>0.37991900000000001</v>
      </c>
      <c r="U54" s="2">
        <v>0.358209</v>
      </c>
      <c r="V54" s="2">
        <v>0.36011700000000002</v>
      </c>
      <c r="W54" s="2">
        <v>0.36659599999999998</v>
      </c>
      <c r="X54" s="2">
        <v>0.39930399999999999</v>
      </c>
      <c r="Y54" s="20">
        <v>0.38982</v>
      </c>
      <c r="Z54" s="39">
        <v>0.17313400000000001</v>
      </c>
      <c r="AA54" s="2">
        <v>0.16716400000000001</v>
      </c>
      <c r="AB54" s="2">
        <v>0.187753</v>
      </c>
      <c r="AC54" s="2">
        <v>0.17544100000000001</v>
      </c>
      <c r="AD54" s="2">
        <v>0.20644999999999999</v>
      </c>
      <c r="AE54" s="20">
        <v>0.20233999999999999</v>
      </c>
      <c r="AF54" s="39">
        <v>9.7964999999999997E-2</v>
      </c>
      <c r="AG54" s="2">
        <v>8.3310999999999996E-2</v>
      </c>
      <c r="AH54" s="2">
        <v>0.103839</v>
      </c>
      <c r="AI54" s="2">
        <v>9.2175999999999994E-2</v>
      </c>
      <c r="AJ54" s="2">
        <v>0.11761000000000001</v>
      </c>
      <c r="AK54" s="20">
        <v>0.10591200000000001</v>
      </c>
    </row>
    <row r="55" spans="1:49" ht="23.25">
      <c r="A55" s="2">
        <v>0.05</v>
      </c>
      <c r="B55" s="39">
        <v>0.65671599999999997</v>
      </c>
      <c r="C55" s="2">
        <v>0.76797800000000005</v>
      </c>
      <c r="D55" s="2">
        <v>0.63227</v>
      </c>
      <c r="E55" s="2">
        <v>0.68410800000000005</v>
      </c>
      <c r="F55" s="2">
        <v>0.66171400000000002</v>
      </c>
      <c r="G55" s="20">
        <v>0.67752100000000004</v>
      </c>
      <c r="H55" s="2">
        <v>0.591588</v>
      </c>
      <c r="I55" s="2">
        <v>0.60515600000000003</v>
      </c>
      <c r="J55" s="2">
        <v>0.43787500000000001</v>
      </c>
      <c r="K55" s="2">
        <v>0.467034</v>
      </c>
      <c r="L55" s="2">
        <v>0.47518199999999999</v>
      </c>
      <c r="M55" s="20">
        <v>0.46885900000000003</v>
      </c>
      <c r="N55" s="39">
        <v>0.17177700000000001</v>
      </c>
      <c r="O55" s="2">
        <v>0.16445000000000001</v>
      </c>
      <c r="P55" s="2">
        <v>0.14077400000000001</v>
      </c>
      <c r="Q55" s="2">
        <v>0.13688600000000001</v>
      </c>
      <c r="R55" s="2">
        <v>0.13847599999999999</v>
      </c>
      <c r="S55" s="20">
        <v>0.13910800000000001</v>
      </c>
      <c r="T55" s="39">
        <v>5.4003000000000002E-2</v>
      </c>
      <c r="U55" s="2">
        <v>4.0433999999999998E-2</v>
      </c>
      <c r="V55" s="2">
        <v>3.9689000000000002E-2</v>
      </c>
      <c r="W55" s="2">
        <v>4.0013E-2</v>
      </c>
      <c r="X55" s="2">
        <v>5.185E-2</v>
      </c>
      <c r="Y55" s="20">
        <v>5.7223999999999997E-2</v>
      </c>
      <c r="Z55" s="39">
        <v>2.6322999999999999E-2</v>
      </c>
      <c r="AA55" s="2">
        <v>2.2523999999999999E-2</v>
      </c>
      <c r="AB55" s="2">
        <v>2.2516999999999999E-2</v>
      </c>
      <c r="AC55" s="2">
        <v>2.0896999999999999E-2</v>
      </c>
      <c r="AD55" s="2">
        <v>3.1299E-2</v>
      </c>
      <c r="AE55" s="20">
        <v>2.6873000000000001E-2</v>
      </c>
      <c r="AF55" s="39">
        <v>1.8453000000000001E-2</v>
      </c>
      <c r="AG55" s="2">
        <v>1.4654E-2</v>
      </c>
      <c r="AH55" s="2">
        <v>1.4742E-2</v>
      </c>
      <c r="AI55" s="2">
        <v>9.8820000000000002E-3</v>
      </c>
      <c r="AJ55" s="2">
        <v>2.2131000000000001E-2</v>
      </c>
      <c r="AK55" s="20">
        <v>1.7389000000000002E-2</v>
      </c>
      <c r="AO55" s="268" t="s">
        <v>2154</v>
      </c>
      <c r="AP55" s="269"/>
      <c r="AQ55" s="269"/>
      <c r="AR55" s="269"/>
      <c r="AS55" s="269"/>
      <c r="AT55" s="269"/>
      <c r="AU55" s="270"/>
    </row>
    <row r="56" spans="1:49">
      <c r="A56" s="2">
        <v>0.1</v>
      </c>
      <c r="B56" s="39">
        <v>0.67571199999999998</v>
      </c>
      <c r="C56" s="2">
        <v>0.75441000000000003</v>
      </c>
      <c r="D56" s="2">
        <v>0.62578999999999996</v>
      </c>
      <c r="E56" s="2">
        <v>0.66466899999999995</v>
      </c>
      <c r="F56" s="2">
        <v>0.63009800000000005</v>
      </c>
      <c r="G56" s="20">
        <v>0.65855200000000003</v>
      </c>
      <c r="H56" s="2">
        <v>0.41248299999999999</v>
      </c>
      <c r="I56" s="2">
        <v>0.42605199999999999</v>
      </c>
      <c r="J56" s="2">
        <v>0.31475799999999998</v>
      </c>
      <c r="K56" s="2">
        <v>0.32447799999999999</v>
      </c>
      <c r="L56" s="2">
        <v>0.320266</v>
      </c>
      <c r="M56" s="20">
        <v>0.32658900000000002</v>
      </c>
      <c r="N56" s="39">
        <v>0.100136</v>
      </c>
      <c r="O56" s="2">
        <v>9.4166E-2</v>
      </c>
      <c r="P56" s="2">
        <v>6.8848000000000006E-2</v>
      </c>
      <c r="Q56" s="2">
        <v>7.5004000000000001E-2</v>
      </c>
      <c r="R56" s="2">
        <v>8.473E-2</v>
      </c>
      <c r="S56" s="20">
        <v>7.9671000000000006E-2</v>
      </c>
      <c r="T56" s="39">
        <v>2.8223000000000002E-2</v>
      </c>
      <c r="U56" s="2">
        <v>2.9308000000000001E-2</v>
      </c>
      <c r="V56" s="2">
        <v>2.5756999999999999E-2</v>
      </c>
      <c r="W56" s="2">
        <v>2.2516999999999999E-2</v>
      </c>
      <c r="X56" s="2">
        <v>3.0034999999999999E-2</v>
      </c>
      <c r="Y56" s="20">
        <v>3.0034999999999999E-2</v>
      </c>
      <c r="Z56" s="39">
        <v>1.8453000000000001E-2</v>
      </c>
      <c r="AA56" s="2">
        <v>1.5739E-2</v>
      </c>
      <c r="AB56" s="2">
        <v>1.5066E-2</v>
      </c>
      <c r="AC56" s="2">
        <v>1.3446E-2</v>
      </c>
      <c r="AD56" s="2">
        <v>2.0865999999999999E-2</v>
      </c>
      <c r="AE56" s="20">
        <v>1.9602000000000001E-2</v>
      </c>
      <c r="AF56" s="39">
        <v>1.5739E-2</v>
      </c>
      <c r="AG56" s="2">
        <v>1.3568999999999999E-2</v>
      </c>
      <c r="AH56" s="2">
        <v>1.2474000000000001E-2</v>
      </c>
      <c r="AI56" s="2">
        <v>8.9099999999999995E-3</v>
      </c>
      <c r="AJ56" s="2">
        <v>1.7704999999999999E-2</v>
      </c>
      <c r="AK56" s="20">
        <v>1.4227E-2</v>
      </c>
      <c r="AO56" s="38" t="s">
        <v>1037</v>
      </c>
      <c r="AP56" s="235" t="s">
        <v>29</v>
      </c>
      <c r="AQ56" s="235"/>
      <c r="AR56" s="235"/>
      <c r="AS56" s="235" t="s">
        <v>30</v>
      </c>
      <c r="AT56" s="235"/>
      <c r="AU56" s="236"/>
    </row>
    <row r="57" spans="1:49">
      <c r="A57" s="2">
        <v>0.5</v>
      </c>
      <c r="B57" s="39">
        <v>0.68113999999999997</v>
      </c>
      <c r="C57" s="2">
        <v>0.63500699999999999</v>
      </c>
      <c r="D57" s="2">
        <v>0.56423100000000004</v>
      </c>
      <c r="E57" s="2">
        <v>0.62255000000000005</v>
      </c>
      <c r="F57" s="2">
        <v>0.46569700000000003</v>
      </c>
      <c r="G57" s="20">
        <v>0.53208999999999995</v>
      </c>
      <c r="H57" s="2">
        <v>0.12618699999999999</v>
      </c>
      <c r="I57" s="2">
        <v>0.124559</v>
      </c>
      <c r="J57" s="2">
        <v>0.109347</v>
      </c>
      <c r="K57" s="2">
        <v>0.104487</v>
      </c>
      <c r="L57" s="2">
        <v>0.15301899999999999</v>
      </c>
      <c r="M57" s="20">
        <v>0.16029099999999999</v>
      </c>
      <c r="N57" s="39">
        <v>3.4735000000000002E-2</v>
      </c>
      <c r="O57" s="2">
        <v>3.2564000000000003E-2</v>
      </c>
      <c r="P57" s="2">
        <v>1.5389999999999999E-2</v>
      </c>
      <c r="Q57" s="2">
        <v>2.1869E-2</v>
      </c>
      <c r="R57" s="2">
        <v>2.8454E-2</v>
      </c>
      <c r="S57" s="20">
        <v>3.5092999999999999E-2</v>
      </c>
      <c r="T57" s="39">
        <v>2.4695000000000002E-2</v>
      </c>
      <c r="U57" s="2">
        <v>1.8724999999999999E-2</v>
      </c>
      <c r="V57" s="2">
        <v>9.5580000000000005E-3</v>
      </c>
      <c r="W57" s="2">
        <v>1.2474000000000001E-2</v>
      </c>
      <c r="X57" s="10" t="s">
        <v>749</v>
      </c>
      <c r="Y57" s="44" t="s">
        <v>750</v>
      </c>
      <c r="Z57" s="39">
        <v>1.8995999999999999E-2</v>
      </c>
      <c r="AA57" s="2">
        <v>1.8182E-2</v>
      </c>
      <c r="AB57" s="2">
        <v>1.2149999999999999E-2</v>
      </c>
      <c r="AC57" s="2">
        <v>1.3446E-2</v>
      </c>
      <c r="AD57" s="10" t="s">
        <v>751</v>
      </c>
      <c r="AE57" s="44" t="s">
        <v>752</v>
      </c>
      <c r="AF57" s="39">
        <v>2.6594E-2</v>
      </c>
      <c r="AG57" s="2">
        <v>2.7951E-2</v>
      </c>
      <c r="AH57" s="2">
        <v>1.7333999999999999E-2</v>
      </c>
      <c r="AI57" s="2">
        <v>1.1826E-2</v>
      </c>
      <c r="AJ57" s="10" t="s">
        <v>753</v>
      </c>
      <c r="AK57" s="44" t="s">
        <v>754</v>
      </c>
      <c r="AO57" s="39"/>
      <c r="AP57" s="2"/>
      <c r="AQ57" s="2"/>
      <c r="AR57" s="2"/>
      <c r="AS57" s="2"/>
      <c r="AT57" s="2"/>
      <c r="AU57" s="20"/>
    </row>
    <row r="58" spans="1:49" ht="18.75">
      <c r="A58" s="2">
        <v>1</v>
      </c>
      <c r="B58" s="39">
        <v>0.716418</v>
      </c>
      <c r="C58" s="2">
        <v>0.72998600000000002</v>
      </c>
      <c r="D58" s="2">
        <v>0.57395099999999999</v>
      </c>
      <c r="E58" s="2">
        <v>0.63227</v>
      </c>
      <c r="F58" s="2">
        <v>0.58583600000000002</v>
      </c>
      <c r="G58" s="20">
        <v>0.617452</v>
      </c>
      <c r="H58" s="2">
        <v>0.102578</v>
      </c>
      <c r="I58" s="2">
        <v>8.3310999999999996E-2</v>
      </c>
      <c r="J58" s="2">
        <v>7.8243999999999994E-2</v>
      </c>
      <c r="K58" s="2">
        <v>7.5651999999999997E-2</v>
      </c>
      <c r="L58" s="2">
        <v>7.9987000000000003E-2</v>
      </c>
      <c r="M58" s="20">
        <v>7.7773999999999996E-2</v>
      </c>
      <c r="N58" s="39">
        <v>2.5236999999999999E-2</v>
      </c>
      <c r="O58" s="2">
        <v>3.0665000000000001E-2</v>
      </c>
      <c r="P58" s="2">
        <v>1.8630000000000001E-2</v>
      </c>
      <c r="Q58" s="2">
        <v>2.2841E-2</v>
      </c>
      <c r="R58" s="2">
        <v>2.4028000000000001E-2</v>
      </c>
      <c r="S58" s="20">
        <v>2.3396E-2</v>
      </c>
      <c r="T58" s="39">
        <v>2.6594E-2</v>
      </c>
      <c r="U58" s="2">
        <v>2.3880999999999999E-2</v>
      </c>
      <c r="V58" s="2">
        <v>1.6038E-2</v>
      </c>
      <c r="W58" s="2">
        <v>1.4742E-2</v>
      </c>
      <c r="X58" s="2">
        <v>2.2447000000000002E-2</v>
      </c>
      <c r="Y58" s="20">
        <v>2.1499000000000001E-2</v>
      </c>
      <c r="Z58" s="39">
        <v>3.1208E-2</v>
      </c>
      <c r="AA58" s="2">
        <v>2.8764999999999999E-2</v>
      </c>
      <c r="AB58" s="2">
        <v>1.6685999999999999E-2</v>
      </c>
      <c r="AC58" s="2">
        <v>9.5580000000000005E-3</v>
      </c>
      <c r="AD58" s="2">
        <v>2.5291999999999999E-2</v>
      </c>
      <c r="AE58" s="20">
        <v>2.2762999999999999E-2</v>
      </c>
      <c r="AF58" s="39">
        <v>3.2564000000000003E-2</v>
      </c>
      <c r="AG58" s="2">
        <v>3.5820999999999999E-2</v>
      </c>
      <c r="AH58" s="2">
        <v>1.7658E-2</v>
      </c>
      <c r="AI58" s="2">
        <v>1.8630000000000001E-2</v>
      </c>
      <c r="AJ58" s="2">
        <v>1.7704999999999999E-2</v>
      </c>
      <c r="AK58" s="20">
        <v>2.4344000000000001E-2</v>
      </c>
      <c r="AO58" s="39">
        <v>0</v>
      </c>
      <c r="AP58" s="2">
        <v>0.68751259499999995</v>
      </c>
      <c r="AQ58" s="2"/>
      <c r="AR58" s="2"/>
      <c r="AS58" s="2">
        <v>0.68751259499999995</v>
      </c>
      <c r="AT58" s="2"/>
      <c r="AU58" s="20"/>
      <c r="AV58" s="4" t="s">
        <v>2147</v>
      </c>
      <c r="AW58">
        <v>0.66</v>
      </c>
    </row>
    <row r="59" spans="1:49" ht="18" thickBot="1">
      <c r="A59" s="2">
        <v>10</v>
      </c>
      <c r="B59" s="43">
        <v>0.61329699999999998</v>
      </c>
      <c r="C59" s="22">
        <v>0.64043399999999995</v>
      </c>
      <c r="D59" s="22">
        <v>0.56747099999999995</v>
      </c>
      <c r="E59" s="22">
        <v>0.60634999999999994</v>
      </c>
      <c r="F59" s="22">
        <v>0.544736</v>
      </c>
      <c r="G59" s="23">
        <v>0.60164399999999996</v>
      </c>
      <c r="H59" s="22">
        <v>5.3189E-2</v>
      </c>
      <c r="I59" s="22">
        <v>5.8073E-2</v>
      </c>
      <c r="J59" s="22">
        <v>4.7788999999999998E-2</v>
      </c>
      <c r="K59" s="22">
        <v>4.6816999999999998E-2</v>
      </c>
      <c r="L59" s="22">
        <v>4.4578E-2</v>
      </c>
      <c r="M59" s="23">
        <v>4.8688000000000002E-2</v>
      </c>
      <c r="N59" s="43">
        <v>3.0665000000000001E-2</v>
      </c>
      <c r="O59" s="22">
        <v>2.6866000000000001E-2</v>
      </c>
      <c r="P59" s="22">
        <v>2.1869E-2</v>
      </c>
      <c r="Q59" s="22">
        <v>2.1869E-2</v>
      </c>
      <c r="R59" s="22">
        <v>2.7189000000000001E-2</v>
      </c>
      <c r="S59" s="23">
        <v>2.6557000000000001E-2</v>
      </c>
      <c r="T59" s="43">
        <v>2.4423E-2</v>
      </c>
      <c r="U59" s="22">
        <v>2.9579000000000001E-2</v>
      </c>
      <c r="V59" s="22">
        <v>2.0249E-2</v>
      </c>
      <c r="W59" s="22">
        <v>2.3165000000000002E-2</v>
      </c>
      <c r="X59" s="22">
        <v>2.6557000000000001E-2</v>
      </c>
      <c r="Y59" s="23">
        <v>2.0549999999999999E-2</v>
      </c>
      <c r="Z59" s="43">
        <v>3.2293000000000002E-2</v>
      </c>
      <c r="AA59" s="22">
        <v>3.2835999999999997E-2</v>
      </c>
      <c r="AB59" s="22">
        <v>2.7053000000000001E-2</v>
      </c>
      <c r="AC59" s="22">
        <v>2.3165000000000002E-2</v>
      </c>
      <c r="AD59" s="22">
        <v>2.8454E-2</v>
      </c>
      <c r="AE59" s="23">
        <v>2.2131000000000001E-2</v>
      </c>
      <c r="AF59" s="43">
        <v>3.9620000000000002E-2</v>
      </c>
      <c r="AG59" s="22">
        <v>2.9037E-2</v>
      </c>
      <c r="AH59" s="22">
        <v>5.4917000000000001E-2</v>
      </c>
      <c r="AI59" s="22">
        <v>2.2516999999999999E-2</v>
      </c>
      <c r="AJ59" s="22">
        <v>2.7505999999999999E-2</v>
      </c>
      <c r="AK59" s="23">
        <v>1.8336999999999999E-2</v>
      </c>
      <c r="AO59" s="39">
        <v>2.3091E-2</v>
      </c>
      <c r="AP59" s="2">
        <v>0.57068300000000005</v>
      </c>
      <c r="AQ59" s="2">
        <v>0.56042099999999995</v>
      </c>
      <c r="AR59" s="2">
        <v>0.55785499999999999</v>
      </c>
      <c r="AS59" s="2">
        <v>6.1661000000000001E-2</v>
      </c>
      <c r="AT59" s="2">
        <v>5.6786000000000003E-2</v>
      </c>
      <c r="AU59" s="20">
        <v>6.4995999999999998E-2</v>
      </c>
      <c r="AV59" s="171" t="s">
        <v>2148</v>
      </c>
      <c r="AW59" s="2">
        <v>0.01</v>
      </c>
    </row>
    <row r="60" spans="1:49">
      <c r="AO60" s="39">
        <v>8.1073999999999993E-2</v>
      </c>
      <c r="AP60" s="2">
        <v>0.56555200000000005</v>
      </c>
      <c r="AQ60" s="2">
        <v>0.56298599999999999</v>
      </c>
      <c r="AR60" s="2">
        <v>0.58351200000000003</v>
      </c>
      <c r="AS60" s="2">
        <v>8.0389999999999993E-3</v>
      </c>
      <c r="AT60" s="2">
        <v>9.5779999999999997E-3</v>
      </c>
      <c r="AU60" s="20">
        <v>9.0650000000000001E-3</v>
      </c>
      <c r="AV60" t="s">
        <v>2183</v>
      </c>
      <c r="AW60" s="2">
        <v>2</v>
      </c>
    </row>
    <row r="61" spans="1:49">
      <c r="AO61" s="39">
        <v>0.170871</v>
      </c>
      <c r="AP61" s="2">
        <v>0.54246099999999997</v>
      </c>
      <c r="AQ61" s="2">
        <v>0.56555200000000005</v>
      </c>
      <c r="AR61" s="2">
        <v>0.58607699999999996</v>
      </c>
      <c r="AS61" s="10" t="s">
        <v>1041</v>
      </c>
      <c r="AT61" s="10" t="s">
        <v>1042</v>
      </c>
      <c r="AU61" s="44" t="s">
        <v>1043</v>
      </c>
    </row>
    <row r="62" spans="1:49">
      <c r="AO62" s="39">
        <v>0.37398399999999998</v>
      </c>
      <c r="AP62" s="2">
        <v>0.62199599999999999</v>
      </c>
      <c r="AQ62" s="2">
        <v>0.58607699999999996</v>
      </c>
      <c r="AR62" s="2">
        <v>0.61943000000000004</v>
      </c>
      <c r="AS62" s="10" t="s">
        <v>1044</v>
      </c>
      <c r="AT62" s="10" t="s">
        <v>1045</v>
      </c>
      <c r="AU62" s="44" t="s">
        <v>1046</v>
      </c>
    </row>
    <row r="63" spans="1:49">
      <c r="AO63" s="39">
        <v>0.70409600000000006</v>
      </c>
      <c r="AP63" s="2">
        <v>0.60403700000000005</v>
      </c>
      <c r="AQ63" s="2">
        <v>0.56811800000000001</v>
      </c>
      <c r="AR63" s="2">
        <v>0.60916800000000004</v>
      </c>
      <c r="AS63" s="10" t="s">
        <v>1047</v>
      </c>
      <c r="AT63" s="10" t="s">
        <v>1048</v>
      </c>
      <c r="AU63" s="44" t="s">
        <v>1049</v>
      </c>
    </row>
    <row r="64" spans="1:49">
      <c r="AO64" s="39">
        <v>1.2001200000000001</v>
      </c>
      <c r="AP64" s="2">
        <v>0.54502700000000004</v>
      </c>
      <c r="AQ64" s="2">
        <v>0.59120799999999996</v>
      </c>
      <c r="AR64" s="2">
        <v>0.61429900000000004</v>
      </c>
      <c r="AS64" s="10" t="s">
        <v>1050</v>
      </c>
      <c r="AT64" s="10" t="s">
        <v>1051</v>
      </c>
      <c r="AU64" s="44" t="s">
        <v>1052</v>
      </c>
    </row>
    <row r="65" spans="3:47">
      <c r="C65" t="s">
        <v>755</v>
      </c>
      <c r="D65" t="s">
        <v>756</v>
      </c>
      <c r="E65" t="s">
        <v>928</v>
      </c>
      <c r="AO65" s="39">
        <v>1.4147780000000001</v>
      </c>
      <c r="AP65" s="2">
        <v>0.59377400000000002</v>
      </c>
      <c r="AQ65" s="2">
        <v>0.57581499999999997</v>
      </c>
      <c r="AR65" s="2">
        <v>0.60403700000000005</v>
      </c>
      <c r="AS65" s="10" t="s">
        <v>1041</v>
      </c>
      <c r="AT65" s="10" t="s">
        <v>1049</v>
      </c>
      <c r="AU65" s="44" t="s">
        <v>1053</v>
      </c>
    </row>
    <row r="66" spans="3:47">
      <c r="C66">
        <f t="shared" ref="C66:C73" si="0">AVERAGE(B4:G4)</f>
        <v>1.5304101666666667</v>
      </c>
      <c r="D66">
        <f t="shared" ref="D66:D73" si="1">_xlfn.STDEV.P(B4:G4)</f>
        <v>0.16076595565128943</v>
      </c>
      <c r="E66" s="2">
        <v>6</v>
      </c>
      <c r="I66">
        <f t="shared" ref="I66:I73" si="2">AVERAGE(H4:M4)</f>
        <v>1.5729298333333332</v>
      </c>
      <c r="J66">
        <f t="shared" ref="J66:J73" si="3">_xlfn.STDEV.P(H4:M4)</f>
        <v>0.10809031950089498</v>
      </c>
      <c r="K66" s="2">
        <v>6</v>
      </c>
      <c r="O66">
        <f t="shared" ref="O66:O73" si="4">AVERAGE(N4:S4)</f>
        <v>1.5934061666666663</v>
      </c>
      <c r="P66">
        <f t="shared" ref="P66:P73" si="5">_xlfn.STDEV.P(N4:S4)</f>
        <v>0.12812696568172349</v>
      </c>
      <c r="Q66" s="2">
        <v>6</v>
      </c>
      <c r="U66">
        <f t="shared" ref="U66:U73" si="6">AVERAGE(T4:Y4)</f>
        <v>1.5739176666666665</v>
      </c>
      <c r="V66">
        <f t="shared" ref="V66:V73" si="7">_xlfn.STDEV.P(T4:Y4)</f>
        <v>0.14375760142877855</v>
      </c>
      <c r="W66" s="2">
        <v>6</v>
      </c>
      <c r="AA66">
        <f t="shared" ref="AA66:AA73" si="8">AVERAGE(Z4:AE4)</f>
        <v>1.5426895</v>
      </c>
      <c r="AB66">
        <f t="shared" ref="AB66:AB73" si="9">_xlfn.STDEV.P(Z4:AE4)</f>
        <v>0.1058669473281597</v>
      </c>
      <c r="AC66" s="2">
        <v>6</v>
      </c>
      <c r="AG66">
        <f>AVERAGE(AF4:AK4)</f>
        <v>1.4710768333333333</v>
      </c>
      <c r="AH66">
        <f t="shared" ref="AH66:AH73" si="10">_xlfn.STDEV.P(AF4:AK4)</f>
        <v>8.3529041782717028E-2</v>
      </c>
      <c r="AI66" s="2">
        <v>6</v>
      </c>
      <c r="AO66" s="39">
        <v>1.9073800000000001</v>
      </c>
      <c r="AP66" s="2">
        <v>0.58607699999999996</v>
      </c>
      <c r="AQ66" s="2">
        <v>0.58351200000000003</v>
      </c>
      <c r="AR66" s="2">
        <v>0.56811800000000001</v>
      </c>
      <c r="AS66" s="10" t="s">
        <v>1054</v>
      </c>
      <c r="AT66" s="10" t="s">
        <v>1055</v>
      </c>
      <c r="AU66" s="44" t="s">
        <v>1043</v>
      </c>
    </row>
    <row r="67" spans="3:47">
      <c r="C67">
        <f t="shared" si="0"/>
        <v>1.5853786666666669</v>
      </c>
      <c r="D67">
        <f t="shared" si="1"/>
        <v>0.1912704720186095</v>
      </c>
      <c r="E67" s="2">
        <v>6</v>
      </c>
      <c r="I67">
        <f t="shared" si="2"/>
        <v>1.6529825</v>
      </c>
      <c r="J67">
        <f t="shared" si="3"/>
        <v>0.17946701716076868</v>
      </c>
      <c r="K67" s="2">
        <v>6</v>
      </c>
      <c r="O67">
        <f t="shared" si="4"/>
        <v>1.6364514999999997</v>
      </c>
      <c r="P67">
        <f t="shared" si="5"/>
        <v>0.20010144162961807</v>
      </c>
      <c r="Q67" s="2">
        <v>6</v>
      </c>
      <c r="U67">
        <f t="shared" si="6"/>
        <v>1.6749074999999998</v>
      </c>
      <c r="V67">
        <f t="shared" si="7"/>
        <v>0.15988234503508095</v>
      </c>
      <c r="W67" s="2">
        <v>6</v>
      </c>
      <c r="AA67">
        <f t="shared" si="8"/>
        <v>1.6314019999999998</v>
      </c>
      <c r="AB67">
        <f t="shared" si="9"/>
        <v>0.13207542804271605</v>
      </c>
      <c r="AC67" s="2">
        <v>6</v>
      </c>
      <c r="AG67">
        <f t="shared" ref="AG67:AG73" si="11">AVERAGE(AF5:AK5)</f>
        <v>1.4864781666666664</v>
      </c>
      <c r="AH67">
        <f t="shared" si="10"/>
        <v>0.11767413773555151</v>
      </c>
      <c r="AI67" s="2">
        <v>6</v>
      </c>
      <c r="AO67" s="39">
        <v>3.2842730000000002</v>
      </c>
      <c r="AP67" s="2">
        <v>0.51937100000000003</v>
      </c>
      <c r="AQ67" s="2">
        <v>0.53732999999999997</v>
      </c>
      <c r="AR67" s="2">
        <v>0.50141100000000005</v>
      </c>
      <c r="AS67" s="10" t="s">
        <v>827</v>
      </c>
      <c r="AT67" s="10" t="s">
        <v>1056</v>
      </c>
      <c r="AU67" s="44" t="s">
        <v>1045</v>
      </c>
    </row>
    <row r="68" spans="3:47">
      <c r="C68">
        <f t="shared" si="0"/>
        <v>1.6339096666666666</v>
      </c>
      <c r="D68">
        <f t="shared" si="1"/>
        <v>0.22976791708857597</v>
      </c>
      <c r="E68" s="2">
        <v>6</v>
      </c>
      <c r="I68">
        <f t="shared" si="2"/>
        <v>1.7427388333333331</v>
      </c>
      <c r="J68">
        <f t="shared" si="3"/>
        <v>0.26212005424004881</v>
      </c>
      <c r="K68" s="2">
        <v>6</v>
      </c>
      <c r="O68">
        <f t="shared" si="4"/>
        <v>1.7046074999999998</v>
      </c>
      <c r="P68">
        <f t="shared" si="5"/>
        <v>0.24305810969721589</v>
      </c>
      <c r="Q68" s="2">
        <v>6</v>
      </c>
      <c r="U68">
        <f t="shared" si="6"/>
        <v>1.607407</v>
      </c>
      <c r="V68">
        <f t="shared" si="7"/>
        <v>0.12489422122473613</v>
      </c>
      <c r="W68" s="2">
        <v>6</v>
      </c>
      <c r="AA68">
        <f t="shared" si="8"/>
        <v>1.4023558333333332</v>
      </c>
      <c r="AB68">
        <f t="shared" si="9"/>
        <v>8.8208496571884898E-2</v>
      </c>
      <c r="AC68" s="2">
        <v>6</v>
      </c>
      <c r="AG68">
        <f t="shared" si="11"/>
        <v>1.0728031666666666</v>
      </c>
      <c r="AH68">
        <f t="shared" si="10"/>
        <v>5.3181408833089569E-2</v>
      </c>
      <c r="AI68" s="2">
        <v>6</v>
      </c>
      <c r="AO68" s="39">
        <v>4.13863</v>
      </c>
      <c r="AP68" s="2">
        <v>0.52963300000000002</v>
      </c>
      <c r="AQ68" s="2">
        <v>0.50397700000000001</v>
      </c>
      <c r="AR68" s="2">
        <v>0.48601699999999998</v>
      </c>
      <c r="AS68" s="10" t="s">
        <v>1057</v>
      </c>
      <c r="AT68" s="10" t="s">
        <v>1057</v>
      </c>
      <c r="AU68" s="44" t="s">
        <v>1058</v>
      </c>
    </row>
    <row r="69" spans="3:47">
      <c r="C69">
        <f t="shared" si="0"/>
        <v>1.6631796666666665</v>
      </c>
      <c r="D69">
        <f t="shared" si="1"/>
        <v>0.20211655400920586</v>
      </c>
      <c r="E69" s="2">
        <v>6</v>
      </c>
      <c r="I69">
        <f t="shared" si="2"/>
        <v>1.8169923333333331</v>
      </c>
      <c r="J69">
        <f t="shared" si="3"/>
        <v>0.27151351805675583</v>
      </c>
      <c r="K69" s="2">
        <v>6</v>
      </c>
      <c r="O69">
        <f t="shared" si="4"/>
        <v>1.5719986666666665</v>
      </c>
      <c r="P69">
        <f t="shared" si="5"/>
        <v>0.25602143317937814</v>
      </c>
      <c r="Q69" s="2">
        <v>6</v>
      </c>
      <c r="U69">
        <f t="shared" si="6"/>
        <v>0.98378183333333336</v>
      </c>
      <c r="V69">
        <f t="shared" si="7"/>
        <v>0.10001339048250173</v>
      </c>
      <c r="W69" s="2">
        <v>6</v>
      </c>
      <c r="AA69">
        <f t="shared" si="8"/>
        <v>0.44257249999999998</v>
      </c>
      <c r="AB69">
        <f t="shared" si="9"/>
        <v>3.3208040204896157E-2</v>
      </c>
      <c r="AC69" s="2">
        <v>6</v>
      </c>
      <c r="AG69">
        <f t="shared" si="11"/>
        <v>0.20854799999999998</v>
      </c>
      <c r="AH69">
        <f t="shared" si="10"/>
        <v>2.4474149212315149E-2</v>
      </c>
      <c r="AI69" s="2">
        <v>6</v>
      </c>
      <c r="AO69" s="39">
        <v>5.8909599999999998</v>
      </c>
      <c r="AP69" s="2">
        <v>0.52450200000000002</v>
      </c>
      <c r="AQ69" s="2">
        <v>0.50141100000000005</v>
      </c>
      <c r="AR69" s="2">
        <v>0.51937100000000003</v>
      </c>
      <c r="AS69" s="10" t="s">
        <v>1059</v>
      </c>
      <c r="AT69" s="10" t="s">
        <v>1057</v>
      </c>
      <c r="AU69" s="44" t="s">
        <v>1041</v>
      </c>
    </row>
    <row r="70" spans="3:47">
      <c r="C70">
        <f t="shared" si="0"/>
        <v>1.6943566666666665</v>
      </c>
      <c r="D70">
        <f t="shared" si="1"/>
        <v>0.26722344404303866</v>
      </c>
      <c r="E70" s="2">
        <v>6</v>
      </c>
      <c r="I70">
        <f t="shared" si="2"/>
        <v>1.8100803333333335</v>
      </c>
      <c r="J70">
        <f t="shared" si="3"/>
        <v>0.25632512258956264</v>
      </c>
      <c r="K70" s="2">
        <v>6</v>
      </c>
      <c r="O70">
        <f t="shared" si="4"/>
        <v>1.2589691666666667</v>
      </c>
      <c r="P70">
        <f t="shared" si="5"/>
        <v>0.19590851895414291</v>
      </c>
      <c r="Q70" s="2">
        <v>6</v>
      </c>
      <c r="U70">
        <f t="shared" si="6"/>
        <v>0.6346208333333333</v>
      </c>
      <c r="V70">
        <f t="shared" si="7"/>
        <v>8.8640473557355257E-2</v>
      </c>
      <c r="W70" s="2">
        <v>6</v>
      </c>
      <c r="AA70">
        <f t="shared" si="8"/>
        <v>0.22099983333333331</v>
      </c>
      <c r="AB70">
        <f t="shared" si="9"/>
        <v>1.5339459599528128E-2</v>
      </c>
      <c r="AC70" s="2">
        <v>6</v>
      </c>
      <c r="AG70">
        <f t="shared" si="11"/>
        <v>9.8911000000000013E-2</v>
      </c>
      <c r="AH70">
        <f t="shared" si="10"/>
        <v>1.2990269358254279E-2</v>
      </c>
      <c r="AI70" s="2">
        <v>6</v>
      </c>
      <c r="AO70" s="39">
        <v>7.0283930000000003</v>
      </c>
      <c r="AP70" s="2">
        <v>0.50654200000000005</v>
      </c>
      <c r="AQ70" s="2">
        <v>0.491149</v>
      </c>
      <c r="AR70" s="2">
        <v>0.45266400000000001</v>
      </c>
      <c r="AS70" s="10" t="s">
        <v>1060</v>
      </c>
      <c r="AT70" s="10" t="s">
        <v>1051</v>
      </c>
      <c r="AU70" s="44" t="s">
        <v>1054</v>
      </c>
    </row>
    <row r="71" spans="3:47" ht="15" thickBot="1">
      <c r="C71">
        <f t="shared" si="0"/>
        <v>1.7289876666666668</v>
      </c>
      <c r="D71">
        <f t="shared" si="1"/>
        <v>0.28639199050989811</v>
      </c>
      <c r="E71" s="2">
        <v>6</v>
      </c>
      <c r="I71">
        <f t="shared" si="2"/>
        <v>1.4143741666666667</v>
      </c>
      <c r="J71">
        <f t="shared" si="3"/>
        <v>0.25985088336352702</v>
      </c>
      <c r="K71" s="2">
        <v>6</v>
      </c>
      <c r="O71">
        <f t="shared" si="4"/>
        <v>0.44115266666666669</v>
      </c>
      <c r="P71">
        <f t="shared" si="5"/>
        <v>6.2579086447115448E-2</v>
      </c>
      <c r="Q71" s="2">
        <v>6</v>
      </c>
      <c r="U71">
        <f t="shared" si="6"/>
        <v>0.13043366666666664</v>
      </c>
      <c r="V71">
        <f t="shared" si="7"/>
        <v>9.3700013281156399E-3</v>
      </c>
      <c r="W71" s="2">
        <v>6</v>
      </c>
      <c r="AA71">
        <f t="shared" si="8"/>
        <v>4.8798833333333326E-2</v>
      </c>
      <c r="AB71">
        <f t="shared" si="9"/>
        <v>6.7658505357583998E-3</v>
      </c>
      <c r="AC71" s="2">
        <v>6</v>
      </c>
      <c r="AG71">
        <f t="shared" si="11"/>
        <v>2.9570166666666665E-2</v>
      </c>
      <c r="AH71">
        <f t="shared" si="10"/>
        <v>6.9969579441513273E-3</v>
      </c>
      <c r="AI71" s="2">
        <v>6</v>
      </c>
      <c r="AO71" s="43">
        <v>7.2182500000000003</v>
      </c>
      <c r="AP71" s="22">
        <v>0.49628</v>
      </c>
      <c r="AQ71" s="22">
        <v>0.47062300000000001</v>
      </c>
      <c r="AR71" s="22">
        <v>0.46805799999999997</v>
      </c>
      <c r="AS71" s="46" t="s">
        <v>1046</v>
      </c>
      <c r="AT71" s="46" t="s">
        <v>1057</v>
      </c>
      <c r="AU71" s="47" t="s">
        <v>1061</v>
      </c>
    </row>
    <row r="72" spans="3:47">
      <c r="C72">
        <f t="shared" si="0"/>
        <v>1.7609333333333332</v>
      </c>
      <c r="D72">
        <f t="shared" si="1"/>
        <v>0.29080956098431304</v>
      </c>
      <c r="E72" s="2">
        <v>6</v>
      </c>
      <c r="I72">
        <f t="shared" si="2"/>
        <v>1.1700178333333333</v>
      </c>
      <c r="J72">
        <f t="shared" si="3"/>
        <v>0.16675508040478362</v>
      </c>
      <c r="K72" s="2">
        <v>6</v>
      </c>
      <c r="O72">
        <f t="shared" si="4"/>
        <v>0.27050449999999998</v>
      </c>
      <c r="P72">
        <f t="shared" si="5"/>
        <v>3.1897532933598427E-2</v>
      </c>
      <c r="Q72" s="2">
        <v>6</v>
      </c>
      <c r="U72">
        <f t="shared" si="6"/>
        <v>8.9068333333333347E-2</v>
      </c>
      <c r="V72">
        <f t="shared" si="7"/>
        <v>1.5361692513811359E-2</v>
      </c>
      <c r="W72" s="2">
        <v>6</v>
      </c>
      <c r="AA72">
        <f t="shared" si="8"/>
        <v>3.8129000000000003E-2</v>
      </c>
      <c r="AB72">
        <f t="shared" si="9"/>
        <v>6.7440350186911777E-3</v>
      </c>
      <c r="AC72" s="2">
        <v>6</v>
      </c>
      <c r="AG72">
        <f t="shared" si="11"/>
        <v>2.8738166666666665E-2</v>
      </c>
      <c r="AH72">
        <f t="shared" si="10"/>
        <v>1.0100210037695045E-2</v>
      </c>
      <c r="AI72" s="2">
        <v>6</v>
      </c>
    </row>
    <row r="73" spans="3:47">
      <c r="C73">
        <f t="shared" si="0"/>
        <v>1.7938533333333335</v>
      </c>
      <c r="D73">
        <f t="shared" si="1"/>
        <v>0.26309842495706498</v>
      </c>
      <c r="E73" s="2">
        <v>6</v>
      </c>
      <c r="I73">
        <f t="shared" si="2"/>
        <v>0.61968049999999997</v>
      </c>
      <c r="J73">
        <f t="shared" si="3"/>
        <v>8.4631197795198704E-2</v>
      </c>
      <c r="K73" s="2">
        <v>6</v>
      </c>
      <c r="O73">
        <f t="shared" si="4"/>
        <v>0.11396483333333333</v>
      </c>
      <c r="P73">
        <f t="shared" si="5"/>
        <v>1.6039295666338403E-2</v>
      </c>
      <c r="Q73" s="2">
        <v>6</v>
      </c>
      <c r="U73">
        <f t="shared" si="6"/>
        <v>4.4999333333333336E-2</v>
      </c>
      <c r="V73">
        <f t="shared" si="7"/>
        <v>1.1092050827306705E-2</v>
      </c>
      <c r="W73" s="2">
        <v>6</v>
      </c>
      <c r="AA73">
        <f t="shared" si="8"/>
        <v>2.9715666666666665E-2</v>
      </c>
      <c r="AB73">
        <f t="shared" si="9"/>
        <v>9.1214691920886541E-3</v>
      </c>
      <c r="AC73" s="2">
        <v>6</v>
      </c>
      <c r="AG73">
        <f t="shared" si="11"/>
        <v>1.8919333333333333E-2</v>
      </c>
      <c r="AH73">
        <f t="shared" si="10"/>
        <v>1.0076931521494466E-2</v>
      </c>
      <c r="AI73" s="2">
        <v>6</v>
      </c>
    </row>
    <row r="75" spans="3:47">
      <c r="C75">
        <f t="shared" ref="C75:C82" si="12">AVERAGE(B20:G20)</f>
        <v>1.9634402000000002</v>
      </c>
      <c r="D75">
        <f t="shared" ref="D75:D82" si="13">_xlfn.STDEV.P(C20:H20)</f>
        <v>0.36788657516218298</v>
      </c>
      <c r="E75" s="2">
        <v>6</v>
      </c>
      <c r="I75">
        <f t="shared" ref="I75:I82" si="14">AVERAGE(H20:M20)</f>
        <v>2.0710411666666668</v>
      </c>
      <c r="J75">
        <f t="shared" ref="J75:J82" si="15">_xlfn.STDEV.P(I20:N20)</f>
        <v>0.25475566714577674</v>
      </c>
      <c r="K75" s="2">
        <v>6</v>
      </c>
      <c r="O75">
        <f t="shared" ref="O75:O82" si="16">AVERAGE(N20:S20)</f>
        <v>2.0961845000000001</v>
      </c>
      <c r="P75">
        <f t="shared" ref="P75:P82" si="17">_xlfn.STDEV.P(O20:T20)</f>
        <v>0.22934080635741036</v>
      </c>
      <c r="Q75" s="2">
        <v>6</v>
      </c>
      <c r="U75">
        <f t="shared" ref="U75:U82" si="18">AVERAGE(T20:Y20)</f>
        <v>2.0627188333333337</v>
      </c>
      <c r="V75">
        <f t="shared" ref="V75:V82" si="19">_xlfn.STDEV.P(U20:Z20)</f>
        <v>0.2089203364765454</v>
      </c>
      <c r="W75" s="2">
        <v>6</v>
      </c>
      <c r="AA75">
        <f t="shared" ref="AA75:AA82" si="20">AVERAGE(Z20:AE20)</f>
        <v>2.0502721666666663</v>
      </c>
      <c r="AB75">
        <f t="shared" ref="AB75:AB82" si="21">_xlfn.STDEV.P(AA20:AF20)</f>
        <v>0.22790115127427504</v>
      </c>
      <c r="AC75" s="2">
        <v>6</v>
      </c>
      <c r="AG75">
        <f t="shared" ref="AG75:AG82" si="22">AVERAGE(AF20:AK20)</f>
        <v>2.0049154999999996</v>
      </c>
      <c r="AH75" t="e">
        <f>_xlfn.STDEV.P(AH16:AM16)</f>
        <v>#DIV/0!</v>
      </c>
      <c r="AI75" s="2">
        <v>6</v>
      </c>
    </row>
    <row r="76" spans="3:47">
      <c r="C76">
        <f t="shared" si="12"/>
        <v>1.9524899999999998</v>
      </c>
      <c r="D76">
        <f t="shared" si="13"/>
        <v>0.36221575361320579</v>
      </c>
      <c r="E76" s="2">
        <v>6</v>
      </c>
      <c r="I76">
        <f t="shared" si="14"/>
        <v>2.025649833333333</v>
      </c>
      <c r="J76">
        <f t="shared" si="15"/>
        <v>0.4220564391426892</v>
      </c>
      <c r="K76" s="2">
        <v>6</v>
      </c>
      <c r="O76">
        <f t="shared" si="16"/>
        <v>2.1698538333333337</v>
      </c>
      <c r="P76">
        <f t="shared" si="17"/>
        <v>0.24952800114532658</v>
      </c>
      <c r="Q76" s="2">
        <v>6</v>
      </c>
      <c r="U76">
        <f t="shared" si="18"/>
        <v>2.1012845000000002</v>
      </c>
      <c r="V76">
        <f t="shared" si="19"/>
        <v>0.21684613212092688</v>
      </c>
      <c r="W76" s="2">
        <v>6</v>
      </c>
      <c r="AA76">
        <f t="shared" si="20"/>
        <v>2.1016778333333335</v>
      </c>
      <c r="AB76">
        <f t="shared" si="21"/>
        <v>0.24159214079478256</v>
      </c>
      <c r="AC76" s="2">
        <v>6</v>
      </c>
      <c r="AG76">
        <f t="shared" si="22"/>
        <v>2.0243714999999995</v>
      </c>
      <c r="AH76" t="e">
        <f>_xlfn.STDEV.P(AH17:AM17)</f>
        <v>#DIV/0!</v>
      </c>
      <c r="AI76" s="2">
        <v>6</v>
      </c>
    </row>
    <row r="77" spans="3:47">
      <c r="C77">
        <f t="shared" si="12"/>
        <v>1.9750253333333336</v>
      </c>
      <c r="D77">
        <f t="shared" si="13"/>
        <v>0.46649133126839071</v>
      </c>
      <c r="E77" s="2">
        <v>6</v>
      </c>
      <c r="I77">
        <f t="shared" si="14"/>
        <v>2.1579218333333334</v>
      </c>
      <c r="J77">
        <f t="shared" si="15"/>
        <v>0.55590155948955222</v>
      </c>
      <c r="K77" s="2">
        <v>6</v>
      </c>
      <c r="O77">
        <f t="shared" si="16"/>
        <v>2.306599666666667</v>
      </c>
      <c r="P77">
        <f t="shared" si="17"/>
        <v>0.30467909342969091</v>
      </c>
      <c r="Q77" s="2">
        <v>6</v>
      </c>
      <c r="U77">
        <f t="shared" si="18"/>
        <v>2.0696093333333332</v>
      </c>
      <c r="V77">
        <f t="shared" si="19"/>
        <v>0.20916307717617053</v>
      </c>
      <c r="W77" s="2">
        <v>6</v>
      </c>
      <c r="AA77">
        <f t="shared" si="20"/>
        <v>2.0702778333333334</v>
      </c>
      <c r="AB77">
        <f t="shared" si="21"/>
        <v>0.31305040584367116</v>
      </c>
      <c r="AC77" s="2">
        <v>6</v>
      </c>
      <c r="AG77">
        <f t="shared" si="22"/>
        <v>2.0099553333333335</v>
      </c>
      <c r="AH77" t="e">
        <f>_xlfn.STDEV.P(AH18:AM18)</f>
        <v>#DIV/0!</v>
      </c>
      <c r="AI77" s="2">
        <v>6</v>
      </c>
    </row>
    <row r="78" spans="3:47">
      <c r="C78">
        <f t="shared" si="12"/>
        <v>1.9945301666666666</v>
      </c>
      <c r="D78">
        <f t="shared" si="13"/>
        <v>0.53504305246514683</v>
      </c>
      <c r="E78" s="2">
        <v>6</v>
      </c>
      <c r="I78">
        <f t="shared" si="14"/>
        <v>2.2997781666666666</v>
      </c>
      <c r="J78">
        <f t="shared" si="15"/>
        <v>0.35321849980477033</v>
      </c>
      <c r="K78" s="2">
        <v>6</v>
      </c>
      <c r="O78">
        <f t="shared" si="16"/>
        <v>1.8919369999999998</v>
      </c>
      <c r="P78">
        <f t="shared" si="17"/>
        <v>0.27308269716984357</v>
      </c>
      <c r="Q78" s="2">
        <v>6</v>
      </c>
      <c r="U78">
        <f t="shared" si="18"/>
        <v>1.9012318333333331</v>
      </c>
      <c r="V78">
        <f t="shared" si="19"/>
        <v>0.15090124903438965</v>
      </c>
      <c r="W78" s="2">
        <v>6</v>
      </c>
      <c r="AA78">
        <f t="shared" si="20"/>
        <v>1.496605</v>
      </c>
      <c r="AB78">
        <f t="shared" si="21"/>
        <v>0.12819514387578546</v>
      </c>
      <c r="AC78" s="2">
        <v>6</v>
      </c>
      <c r="AG78">
        <f t="shared" si="22"/>
        <v>1.1487511666666668</v>
      </c>
      <c r="AH78" t="e">
        <f>_xlfn.STDEV.P(AL19:AM19)</f>
        <v>#DIV/0!</v>
      </c>
      <c r="AI78" s="2">
        <v>6</v>
      </c>
    </row>
    <row r="79" spans="3:47">
      <c r="C79">
        <f t="shared" si="12"/>
        <v>1.8308446666666665</v>
      </c>
      <c r="D79">
        <f t="shared" si="13"/>
        <v>0.23823713714379685</v>
      </c>
      <c r="E79" s="2">
        <v>6</v>
      </c>
      <c r="I79">
        <f t="shared" si="14"/>
        <v>2.0334836666666671</v>
      </c>
      <c r="J79">
        <f t="shared" si="15"/>
        <v>0.23011201836478751</v>
      </c>
      <c r="K79" s="2">
        <v>6</v>
      </c>
      <c r="O79">
        <f t="shared" si="16"/>
        <v>1.9279083333333336</v>
      </c>
      <c r="P79">
        <f t="shared" si="17"/>
        <v>0.16119929086175699</v>
      </c>
      <c r="Q79" s="2">
        <v>6</v>
      </c>
      <c r="U79">
        <f t="shared" si="18"/>
        <v>1.5415631666666665</v>
      </c>
      <c r="V79">
        <f t="shared" si="19"/>
        <v>0.17239037898368467</v>
      </c>
      <c r="W79" s="2">
        <v>6</v>
      </c>
      <c r="AA79">
        <f t="shared" si="20"/>
        <v>1.0772246666666667</v>
      </c>
      <c r="AB79">
        <f t="shared" si="21"/>
        <v>0.11412911965170135</v>
      </c>
      <c r="AC79" s="2">
        <v>6</v>
      </c>
      <c r="AG79">
        <f t="shared" si="22"/>
        <v>0.8031598333333333</v>
      </c>
      <c r="AH79">
        <f>_xlfn.STDEV.P(AH20:AM20)</f>
        <v>4.8221500896902823E-2</v>
      </c>
      <c r="AI79" s="2">
        <v>6</v>
      </c>
    </row>
    <row r="80" spans="3:47">
      <c r="C80">
        <f t="shared" si="12"/>
        <v>1.8260456666666665</v>
      </c>
      <c r="D80">
        <f t="shared" si="13"/>
        <v>0.20519122835520232</v>
      </c>
      <c r="E80" s="2">
        <v>6</v>
      </c>
      <c r="I80">
        <f t="shared" si="14"/>
        <v>1.8819178333333333</v>
      </c>
      <c r="J80">
        <f t="shared" si="15"/>
        <v>0.23221230839787879</v>
      </c>
      <c r="K80" s="2">
        <v>6</v>
      </c>
      <c r="O80">
        <f t="shared" si="16"/>
        <v>1.1780968333333333</v>
      </c>
      <c r="P80">
        <f t="shared" si="17"/>
        <v>0.15452801959020951</v>
      </c>
      <c r="Q80" s="2">
        <v>6</v>
      </c>
      <c r="U80">
        <f t="shared" si="18"/>
        <v>0.73625249999999998</v>
      </c>
      <c r="V80">
        <f t="shared" si="19"/>
        <v>6.9985588065805848E-2</v>
      </c>
      <c r="W80" s="2">
        <v>6</v>
      </c>
      <c r="AA80">
        <f t="shared" si="20"/>
        <v>0.50063616666666666</v>
      </c>
      <c r="AB80">
        <f t="shared" si="21"/>
        <v>3.0958010451882859E-2</v>
      </c>
      <c r="AC80" s="2">
        <v>6</v>
      </c>
      <c r="AG80">
        <f t="shared" si="22"/>
        <v>0.39837499999999998</v>
      </c>
      <c r="AH80">
        <f>_xlfn.STDEV.P(AH21:AM21)</f>
        <v>6.5785968939052641E-2</v>
      </c>
      <c r="AI80" s="2">
        <v>6</v>
      </c>
    </row>
    <row r="81" spans="3:35">
      <c r="C81">
        <f t="shared" si="12"/>
        <v>2.0349631666666665</v>
      </c>
      <c r="D81">
        <f t="shared" si="13"/>
        <v>0.44048074558540262</v>
      </c>
      <c r="E81" s="2">
        <v>6</v>
      </c>
      <c r="I81">
        <f t="shared" si="14"/>
        <v>1.9510549999999995</v>
      </c>
      <c r="J81">
        <f t="shared" si="15"/>
        <v>0.390544671205663</v>
      </c>
      <c r="K81" s="2">
        <v>6</v>
      </c>
      <c r="O81">
        <f t="shared" si="16"/>
        <v>1.0380710000000002</v>
      </c>
      <c r="P81">
        <f t="shared" si="17"/>
        <v>0.14180716280069633</v>
      </c>
      <c r="Q81" s="2">
        <v>6</v>
      </c>
      <c r="U81">
        <f t="shared" si="18"/>
        <v>0.63843716666666661</v>
      </c>
      <c r="V81">
        <f t="shared" si="19"/>
        <v>6.0554801369411645E-2</v>
      </c>
      <c r="W81" s="2">
        <v>6</v>
      </c>
      <c r="AA81">
        <f t="shared" si="20"/>
        <v>0.45411200000000002</v>
      </c>
      <c r="AB81">
        <f t="shared" si="21"/>
        <v>2.6630478906800672E-2</v>
      </c>
      <c r="AC81" s="2">
        <v>6</v>
      </c>
      <c r="AG81">
        <f t="shared" si="22"/>
        <v>0.37773416666666665</v>
      </c>
      <c r="AH81">
        <f>_xlfn.STDEV.P(AH22:AM22)</f>
        <v>3.5644199282632218E-2</v>
      </c>
      <c r="AI81" s="2">
        <v>6</v>
      </c>
    </row>
    <row r="82" spans="3:35">
      <c r="C82">
        <f t="shared" si="12"/>
        <v>2.1854473333333333</v>
      </c>
      <c r="D82">
        <f t="shared" si="13"/>
        <v>0.35010284943019043</v>
      </c>
      <c r="E82" s="2">
        <v>6</v>
      </c>
      <c r="I82">
        <f t="shared" si="14"/>
        <v>1.4696743333333335</v>
      </c>
      <c r="J82">
        <f t="shared" si="15"/>
        <v>0.26701693622752265</v>
      </c>
      <c r="K82" s="2">
        <v>6</v>
      </c>
      <c r="O82">
        <f t="shared" si="16"/>
        <v>0.67823616666666664</v>
      </c>
      <c r="P82">
        <f t="shared" si="17"/>
        <v>6.7394462956083021E-2</v>
      </c>
      <c r="Q82" s="2">
        <v>6</v>
      </c>
      <c r="U82">
        <f t="shared" si="18"/>
        <v>0.47278249999999994</v>
      </c>
      <c r="V82">
        <f t="shared" si="19"/>
        <v>3.2319200598612166E-2</v>
      </c>
      <c r="W82" s="2">
        <v>6</v>
      </c>
      <c r="AA82">
        <f t="shared" si="20"/>
        <v>0.38469916666666665</v>
      </c>
      <c r="AB82">
        <f t="shared" si="21"/>
        <v>2.9814832106781274E-2</v>
      </c>
      <c r="AC82" s="2">
        <v>6</v>
      </c>
      <c r="AG82">
        <f t="shared" si="22"/>
        <v>0.31378316666666667</v>
      </c>
      <c r="AH82">
        <f>_xlfn.STDEV.P(AH23:AM23)</f>
        <v>4.4521930761002457E-2</v>
      </c>
      <c r="AI82" s="2">
        <v>6</v>
      </c>
    </row>
    <row r="84" spans="3:35">
      <c r="C84">
        <f t="shared" ref="C84:C91" si="23">AVERAGE(B35:G35)</f>
        <v>1.0794495</v>
      </c>
      <c r="D84">
        <f t="shared" ref="D84:D91" si="24">_xlfn.STDEV.P(B35:G35)</f>
        <v>4.9989699988264219E-2</v>
      </c>
      <c r="E84" s="2">
        <v>6</v>
      </c>
      <c r="I84">
        <f t="shared" ref="I84:I91" si="25">AVERAGE(H35:M35)</f>
        <v>1.1471923333333334</v>
      </c>
      <c r="J84">
        <f t="shared" ref="J84:J91" si="26">_xlfn.STDEV.P(H35:M35)</f>
        <v>1.4790639141775501E-2</v>
      </c>
      <c r="K84" s="2">
        <v>6</v>
      </c>
      <c r="O84">
        <f t="shared" ref="O84:O91" si="27">AVERAGE(N35:S35)</f>
        <v>1.1460901666666665</v>
      </c>
      <c r="P84">
        <f t="shared" ref="P84:P91" si="28">_xlfn.STDEV.P(N35:S35)</f>
        <v>2.0237971122098436E-2</v>
      </c>
      <c r="Q84" s="2">
        <v>6</v>
      </c>
      <c r="U84">
        <f t="shared" ref="U84:U91" si="29">AVERAGE(T35:Y35)</f>
        <v>1.1627853333333333</v>
      </c>
      <c r="V84">
        <f t="shared" ref="V84:V91" si="30">_xlfn.STDEV.P(T35:Y35)</f>
        <v>3.6714259562494515E-2</v>
      </c>
      <c r="W84" s="2">
        <v>6</v>
      </c>
      <c r="AA84">
        <f t="shared" ref="AA84:AA91" si="31">AVERAGE(Z35:AE35)</f>
        <v>1.1219606666666666</v>
      </c>
      <c r="AB84">
        <f t="shared" ref="AB84:AB91" si="32">_xlfn.STDEV.P(Z35:AE35)</f>
        <v>1.9151518735831052E-2</v>
      </c>
      <c r="AC84" s="2">
        <v>6</v>
      </c>
      <c r="AG84">
        <f t="shared" ref="AG84:AG91" si="33">AVERAGE(AF35:AK35)</f>
        <v>1.0862018333333332</v>
      </c>
      <c r="AH84">
        <f t="shared" ref="AH84:AH91" si="34">_xlfn.STDEV.P(AF35:AK35)</f>
        <v>5.2819008145479428E-2</v>
      </c>
      <c r="AI84" s="2">
        <v>6</v>
      </c>
    </row>
    <row r="85" spans="3:35">
      <c r="C85">
        <f t="shared" si="23"/>
        <v>1.1420028333333334</v>
      </c>
      <c r="D85">
        <f t="shared" si="24"/>
        <v>6.3670125766633223E-2</v>
      </c>
      <c r="E85" s="2">
        <v>6</v>
      </c>
      <c r="I85">
        <f t="shared" si="25"/>
        <v>1.1903934999999999</v>
      </c>
      <c r="J85">
        <f t="shared" si="26"/>
        <v>7.4648710421435449E-2</v>
      </c>
      <c r="K85" s="2">
        <v>6</v>
      </c>
      <c r="O85">
        <f t="shared" si="27"/>
        <v>1.2021600000000001</v>
      </c>
      <c r="P85">
        <f t="shared" si="28"/>
        <v>7.2736320924739264E-2</v>
      </c>
      <c r="Q85" s="2">
        <v>6</v>
      </c>
      <c r="U85">
        <f t="shared" si="29"/>
        <v>1.1897396666666666</v>
      </c>
      <c r="V85">
        <f t="shared" si="30"/>
        <v>3.6246971917971577E-2</v>
      </c>
      <c r="W85" s="2">
        <v>6</v>
      </c>
      <c r="AA85">
        <f t="shared" si="31"/>
        <v>1.1676715000000002</v>
      </c>
      <c r="AB85">
        <f t="shared" si="32"/>
        <v>3.3066014792381616E-2</v>
      </c>
      <c r="AC85" s="2">
        <v>6</v>
      </c>
      <c r="AG85">
        <f t="shared" si="33"/>
        <v>1.1094983333333333</v>
      </c>
      <c r="AH85">
        <f t="shared" si="34"/>
        <v>4.9018579785854881E-2</v>
      </c>
      <c r="AI85" s="2">
        <v>6</v>
      </c>
    </row>
    <row r="86" spans="3:35">
      <c r="C86">
        <f t="shared" si="23"/>
        <v>1.1451356666666668</v>
      </c>
      <c r="D86">
        <f t="shared" si="24"/>
        <v>5.5590939542538929E-2</v>
      </c>
      <c r="E86" s="2">
        <v>6</v>
      </c>
      <c r="I86">
        <f t="shared" si="25"/>
        <v>1.2516049999999999</v>
      </c>
      <c r="J86">
        <f t="shared" si="26"/>
        <v>9.7827814291233148E-2</v>
      </c>
      <c r="K86" s="2">
        <v>6</v>
      </c>
      <c r="O86">
        <f t="shared" si="27"/>
        <v>1.2134308333333335</v>
      </c>
      <c r="P86">
        <f t="shared" si="28"/>
        <v>0.11035941541378433</v>
      </c>
      <c r="Q86" s="2">
        <v>6</v>
      </c>
      <c r="U86">
        <f t="shared" si="29"/>
        <v>1.1816116666666667</v>
      </c>
      <c r="V86">
        <f t="shared" si="30"/>
        <v>4.039026481578066E-2</v>
      </c>
      <c r="W86" s="2">
        <v>6</v>
      </c>
      <c r="AA86">
        <f t="shared" si="31"/>
        <v>1.1759776666666666</v>
      </c>
      <c r="AB86">
        <f t="shared" si="32"/>
        <v>2.6900321483002552E-2</v>
      </c>
      <c r="AC86" s="2">
        <v>6</v>
      </c>
      <c r="AG86">
        <f t="shared" si="33"/>
        <v>1.0949461666666667</v>
      </c>
      <c r="AH86">
        <f t="shared" si="34"/>
        <v>4.3115627010078657E-2</v>
      </c>
      <c r="AI86" s="2">
        <v>6</v>
      </c>
    </row>
    <row r="87" spans="3:35">
      <c r="C87">
        <f t="shared" si="23"/>
        <v>1.1549241666666668</v>
      </c>
      <c r="D87">
        <f t="shared" si="24"/>
        <v>7.7498225470902751E-2</v>
      </c>
      <c r="E87" s="2">
        <v>6</v>
      </c>
      <c r="I87">
        <f t="shared" si="25"/>
        <v>1.2547416666666666</v>
      </c>
      <c r="J87">
        <f t="shared" si="26"/>
        <v>0.13956477848495752</v>
      </c>
      <c r="K87" s="2">
        <v>6</v>
      </c>
      <c r="O87">
        <f t="shared" si="27"/>
        <v>1.2108206666666665</v>
      </c>
      <c r="P87">
        <f t="shared" si="28"/>
        <v>0.16661305722008249</v>
      </c>
      <c r="Q87" s="2">
        <v>6</v>
      </c>
      <c r="U87">
        <f t="shared" si="29"/>
        <v>1.0820348333333334</v>
      </c>
      <c r="V87">
        <f t="shared" si="30"/>
        <v>4.5393861440421901E-2</v>
      </c>
      <c r="W87" s="2">
        <v>6</v>
      </c>
      <c r="AA87">
        <f t="shared" si="31"/>
        <v>0.92849733333333317</v>
      </c>
      <c r="AB87">
        <f t="shared" si="32"/>
        <v>2.8767572314828526E-2</v>
      </c>
      <c r="AC87" s="2">
        <v>6</v>
      </c>
      <c r="AG87">
        <f t="shared" si="33"/>
        <v>0.78705250000000004</v>
      </c>
      <c r="AH87">
        <f t="shared" si="34"/>
        <v>2.1744210055016158E-2</v>
      </c>
      <c r="AI87" s="2">
        <v>6</v>
      </c>
    </row>
    <row r="88" spans="3:35">
      <c r="C88">
        <f t="shared" si="23"/>
        <v>1.1706741666666667</v>
      </c>
      <c r="D88">
        <f t="shared" si="24"/>
        <v>0.13187788780334861</v>
      </c>
      <c r="E88" s="2">
        <v>6</v>
      </c>
      <c r="I88">
        <f t="shared" si="25"/>
        <v>1.2597553333333333</v>
      </c>
      <c r="J88">
        <f t="shared" si="26"/>
        <v>0.14078198115012858</v>
      </c>
      <c r="K88" s="2">
        <v>6</v>
      </c>
      <c r="O88">
        <f t="shared" si="27"/>
        <v>1.1522315000000001</v>
      </c>
      <c r="P88">
        <f t="shared" si="28"/>
        <v>0.12208673301762288</v>
      </c>
      <c r="Q88" s="2">
        <v>6</v>
      </c>
      <c r="U88">
        <f t="shared" si="29"/>
        <v>1.0006238333333333</v>
      </c>
      <c r="V88">
        <f t="shared" si="30"/>
        <v>5.1394037006306029E-2</v>
      </c>
      <c r="W88" s="2">
        <v>6</v>
      </c>
      <c r="AA88">
        <f t="shared" si="31"/>
        <v>0.85561849999999995</v>
      </c>
      <c r="AB88">
        <f t="shared" si="32"/>
        <v>6.0887300511546172E-2</v>
      </c>
      <c r="AC88" s="2">
        <v>6</v>
      </c>
      <c r="AG88">
        <f t="shared" si="33"/>
        <v>0.66508616666666664</v>
      </c>
      <c r="AH88">
        <f t="shared" si="34"/>
        <v>2.0492973295064387E-2</v>
      </c>
      <c r="AI88" s="2">
        <v>6</v>
      </c>
    </row>
    <row r="89" spans="3:35">
      <c r="C89">
        <f t="shared" si="23"/>
        <v>1.1030420000000001</v>
      </c>
      <c r="D89">
        <f t="shared" si="24"/>
        <v>3.9501962529305594E-2</v>
      </c>
      <c r="E89" s="2">
        <v>6</v>
      </c>
      <c r="I89">
        <f t="shared" si="25"/>
        <v>1.1236561666666667</v>
      </c>
      <c r="J89">
        <f t="shared" si="26"/>
        <v>3.5055931772985598E-2</v>
      </c>
      <c r="K89" s="2">
        <v>6</v>
      </c>
      <c r="O89">
        <f t="shared" si="27"/>
        <v>0.93182799999999999</v>
      </c>
      <c r="P89">
        <f t="shared" si="28"/>
        <v>5.3725634582881709E-2</v>
      </c>
      <c r="Q89" s="2">
        <v>6</v>
      </c>
      <c r="U89">
        <f t="shared" si="29"/>
        <v>0.74252566666666675</v>
      </c>
      <c r="V89">
        <f t="shared" si="30"/>
        <v>3.1098803801575543E-2</v>
      </c>
      <c r="W89" s="2">
        <v>6</v>
      </c>
      <c r="AA89">
        <f t="shared" si="31"/>
        <v>0.56481349999999997</v>
      </c>
      <c r="AB89">
        <f t="shared" si="32"/>
        <v>1.3349450759613062E-2</v>
      </c>
      <c r="AC89" s="2">
        <v>6</v>
      </c>
      <c r="AG89">
        <f t="shared" si="33"/>
        <v>0.45830500000000002</v>
      </c>
      <c r="AH89">
        <f t="shared" si="34"/>
        <v>8.2706416679723185E-3</v>
      </c>
      <c r="AI89" s="2">
        <v>6</v>
      </c>
    </row>
    <row r="90" spans="3:35">
      <c r="C90">
        <f t="shared" si="23"/>
        <v>1.2225016666666668</v>
      </c>
      <c r="D90">
        <f t="shared" si="24"/>
        <v>0.13359739321142725</v>
      </c>
      <c r="E90" s="2">
        <v>6</v>
      </c>
      <c r="I90">
        <f t="shared" si="25"/>
        <v>1.1754428333333333</v>
      </c>
      <c r="J90">
        <f t="shared" si="26"/>
        <v>9.3014574978721593E-2</v>
      </c>
      <c r="K90" s="2">
        <v>6</v>
      </c>
      <c r="O90">
        <f t="shared" si="27"/>
        <v>0.93777866666666665</v>
      </c>
      <c r="P90">
        <f t="shared" si="28"/>
        <v>8.3272959822234968E-2</v>
      </c>
      <c r="Q90" s="2">
        <v>6</v>
      </c>
      <c r="U90">
        <f t="shared" si="29"/>
        <v>0.73037450000000004</v>
      </c>
      <c r="V90">
        <f t="shared" si="30"/>
        <v>6.6273614221020599E-2</v>
      </c>
      <c r="W90" s="2">
        <v>6</v>
      </c>
      <c r="AA90">
        <f t="shared" si="31"/>
        <v>0.53906699999999996</v>
      </c>
      <c r="AB90">
        <f t="shared" si="32"/>
        <v>4.3637467639632797E-2</v>
      </c>
      <c r="AC90" s="2">
        <v>6</v>
      </c>
      <c r="AG90">
        <f t="shared" si="33"/>
        <v>0.4518065</v>
      </c>
      <c r="AH90">
        <f t="shared" si="34"/>
        <v>3.4269287609315711E-2</v>
      </c>
      <c r="AI90" s="2">
        <v>6</v>
      </c>
    </row>
    <row r="91" spans="3:35">
      <c r="C91">
        <f t="shared" si="23"/>
        <v>1.2640141666666667</v>
      </c>
      <c r="D91">
        <f t="shared" si="24"/>
        <v>0.10287022757405999</v>
      </c>
      <c r="E91" s="2">
        <v>6</v>
      </c>
      <c r="I91">
        <f t="shared" si="25"/>
        <v>1.214742</v>
      </c>
      <c r="J91">
        <f t="shared" si="26"/>
        <v>0.12176975150257964</v>
      </c>
      <c r="K91" s="2">
        <v>6</v>
      </c>
      <c r="O91">
        <f t="shared" si="27"/>
        <v>0.92892900000000012</v>
      </c>
      <c r="P91">
        <f t="shared" si="28"/>
        <v>8.40275351001087E-2</v>
      </c>
      <c r="Q91" s="2">
        <v>6</v>
      </c>
      <c r="U91">
        <f t="shared" si="29"/>
        <v>0.69618783333333345</v>
      </c>
      <c r="V91">
        <f t="shared" si="30"/>
        <v>5.221353697850354E-2</v>
      </c>
      <c r="W91" s="2">
        <v>6</v>
      </c>
      <c r="AA91">
        <f t="shared" si="31"/>
        <v>0.51003600000000004</v>
      </c>
      <c r="AB91">
        <f t="shared" si="32"/>
        <v>2.2761866267949134E-2</v>
      </c>
      <c r="AC91" s="2">
        <v>6</v>
      </c>
      <c r="AG91">
        <f t="shared" si="33"/>
        <v>0.38461000000000006</v>
      </c>
      <c r="AH91">
        <f t="shared" si="34"/>
        <v>3.0412957737341723E-2</v>
      </c>
      <c r="AI91" s="2">
        <v>6</v>
      </c>
    </row>
    <row r="93" spans="3:35">
      <c r="C93">
        <f t="shared" ref="C93:C100" si="35">AVERAGE(B52:G52)</f>
        <v>0.66581760000000001</v>
      </c>
      <c r="D93">
        <f t="shared" ref="D93:D100" si="36">_xlfn.STDEV.P(B52:G52)</f>
        <v>2.9856963988992572E-2</v>
      </c>
      <c r="E93" s="2">
        <v>6</v>
      </c>
      <c r="I93">
        <f t="shared" ref="I93:I100" si="37">AVERAGE(H52:M52)</f>
        <v>0.67947099999999994</v>
      </c>
      <c r="J93">
        <f t="shared" ref="J93:J100" si="38">_xlfn.STDEV.P(H52:M52)</f>
        <v>1.8601880962239633E-2</v>
      </c>
      <c r="K93" s="2">
        <v>6</v>
      </c>
      <c r="O93">
        <f t="shared" ref="O93:O100" si="39">AVERAGE(N52:S52)</f>
        <v>0.66624183333333331</v>
      </c>
      <c r="P93">
        <f t="shared" ref="P93:P100" si="40">_xlfn.STDEV.P(N52:S52)</f>
        <v>1.4543878361893548E-2</v>
      </c>
      <c r="Q93" s="2">
        <v>6</v>
      </c>
      <c r="U93">
        <f t="shared" ref="U93:U100" si="41">AVERAGE(T52:Y52)</f>
        <v>0.65275250000000007</v>
      </c>
      <c r="V93">
        <f t="shared" ref="V93:V100" si="42">_xlfn.STDEV.P(T52:Y52)</f>
        <v>1.5992237708234162E-2</v>
      </c>
      <c r="W93" s="2">
        <v>6</v>
      </c>
      <c r="AA93">
        <f t="shared" ref="AA93:AA100" si="43">AVERAGE(Z52:AE52)</f>
        <v>0.63503616666666673</v>
      </c>
      <c r="AB93">
        <f t="shared" ref="AB93:AB100" si="44">_xlfn.STDEV.P(Z52:AE52)</f>
        <v>1.6148366237452288E-2</v>
      </c>
      <c r="AC93" s="2">
        <v>6</v>
      </c>
      <c r="AG93">
        <f t="shared" ref="AG93:AG100" si="45">AVERAGE(AF52:AK52)</f>
        <v>0.55890383333333327</v>
      </c>
      <c r="AH93">
        <f t="shared" ref="AH93:AH100" si="46">_xlfn.STDEV.P(AF52:AK52)</f>
        <v>3.0248317206177863E-2</v>
      </c>
      <c r="AI93" s="2">
        <v>6</v>
      </c>
    </row>
    <row r="94" spans="3:35">
      <c r="C94">
        <f t="shared" si="35"/>
        <v>0.64889666666666668</v>
      </c>
      <c r="D94">
        <f t="shared" si="36"/>
        <v>2.4189451500372851E-2</v>
      </c>
      <c r="E94" s="2">
        <v>6</v>
      </c>
      <c r="I94">
        <f t="shared" si="37"/>
        <v>0.6698573333333333</v>
      </c>
      <c r="J94">
        <f t="shared" si="38"/>
        <v>1.5330619118468626E-2</v>
      </c>
      <c r="K94" s="2">
        <v>6</v>
      </c>
      <c r="O94">
        <f t="shared" si="39"/>
        <v>0.68539283333333323</v>
      </c>
      <c r="P94">
        <f t="shared" si="40"/>
        <v>7.7081414192325844E-3</v>
      </c>
      <c r="Q94" s="2">
        <v>6</v>
      </c>
      <c r="U94">
        <f t="shared" si="41"/>
        <v>0.6524416666666667</v>
      </c>
      <c r="V94">
        <f t="shared" si="42"/>
        <v>1.3547901678447796E-2</v>
      </c>
      <c r="W94" s="2">
        <v>6</v>
      </c>
      <c r="AA94">
        <f t="shared" si="43"/>
        <v>0.6138325</v>
      </c>
      <c r="AB94">
        <f t="shared" si="44"/>
        <v>1.1942781484366762E-2</v>
      </c>
      <c r="AC94" s="2">
        <v>6</v>
      </c>
      <c r="AG94">
        <f t="shared" si="45"/>
        <v>0.52804066666666671</v>
      </c>
      <c r="AH94">
        <f t="shared" si="46"/>
        <v>2.0692414114570807E-2</v>
      </c>
      <c r="AI94" s="2">
        <v>6</v>
      </c>
    </row>
    <row r="95" spans="3:35">
      <c r="C95">
        <f t="shared" si="35"/>
        <v>0.6535116666666666</v>
      </c>
      <c r="D95">
        <f t="shared" si="36"/>
        <v>1.5966802076670047E-2</v>
      </c>
      <c r="E95" s="2">
        <v>6</v>
      </c>
      <c r="I95">
        <f t="shared" si="37"/>
        <v>0.66121883333333331</v>
      </c>
      <c r="J95">
        <f t="shared" si="38"/>
        <v>1.6619028726299116E-2</v>
      </c>
      <c r="K95" s="2">
        <v>6</v>
      </c>
      <c r="O95">
        <f t="shared" si="39"/>
        <v>0.58507483333333343</v>
      </c>
      <c r="P95">
        <f t="shared" si="40"/>
        <v>3.5004250058227056E-2</v>
      </c>
      <c r="Q95" s="2">
        <v>6</v>
      </c>
      <c r="U95">
        <f t="shared" si="41"/>
        <v>0.37566083333333328</v>
      </c>
      <c r="V95">
        <f t="shared" si="42"/>
        <v>1.530774182580682E-2</v>
      </c>
      <c r="W95" s="2">
        <v>6</v>
      </c>
      <c r="AA95">
        <f t="shared" si="43"/>
        <v>0.18538033333333334</v>
      </c>
      <c r="AB95">
        <f t="shared" si="44"/>
        <v>1.4819966944032703E-2</v>
      </c>
      <c r="AC95" s="2">
        <v>6</v>
      </c>
      <c r="AG95">
        <f t="shared" si="45"/>
        <v>0.1001355</v>
      </c>
      <c r="AH95">
        <f t="shared" si="46"/>
        <v>1.0828746661086802E-2</v>
      </c>
      <c r="AI95" s="2">
        <v>6</v>
      </c>
    </row>
    <row r="96" spans="3:35">
      <c r="C96">
        <f t="shared" si="35"/>
        <v>0.68005116666666676</v>
      </c>
      <c r="D96">
        <f t="shared" si="36"/>
        <v>4.2657178436212709E-2</v>
      </c>
      <c r="E96" s="2">
        <v>6</v>
      </c>
      <c r="I96">
        <f t="shared" si="37"/>
        <v>0.50761566666666669</v>
      </c>
      <c r="J96">
        <f t="shared" si="38"/>
        <v>6.5358146130038874E-2</v>
      </c>
      <c r="K96" s="2">
        <v>6</v>
      </c>
      <c r="O96">
        <f t="shared" si="39"/>
        <v>0.14857850000000003</v>
      </c>
      <c r="P96">
        <f t="shared" si="40"/>
        <v>1.4020524048099395E-2</v>
      </c>
      <c r="Q96" s="2">
        <v>6</v>
      </c>
      <c r="U96">
        <f t="shared" si="41"/>
        <v>4.7202166666666663E-2</v>
      </c>
      <c r="V96">
        <f t="shared" si="42"/>
        <v>7.3283775243152436E-3</v>
      </c>
      <c r="W96" s="2">
        <v>6</v>
      </c>
      <c r="AA96">
        <f t="shared" si="43"/>
        <v>2.507216666666667E-2</v>
      </c>
      <c r="AB96">
        <f t="shared" si="44"/>
        <v>3.512717011880627E-3</v>
      </c>
      <c r="AC96" s="2">
        <v>6</v>
      </c>
      <c r="AG96">
        <f t="shared" si="45"/>
        <v>1.6208500000000001E-2</v>
      </c>
      <c r="AH96">
        <f t="shared" si="46"/>
        <v>3.7881187393392695E-3</v>
      </c>
      <c r="AI96" s="2">
        <v>6</v>
      </c>
    </row>
    <row r="97" spans="3:35">
      <c r="C97">
        <f t="shared" si="35"/>
        <v>0.66820516666666663</v>
      </c>
      <c r="D97">
        <f t="shared" si="36"/>
        <v>4.2513755524601168E-2</v>
      </c>
      <c r="E97" s="2">
        <v>6</v>
      </c>
      <c r="I97">
        <f t="shared" si="37"/>
        <v>0.35410433333333335</v>
      </c>
      <c r="J97">
        <f t="shared" si="38"/>
        <v>4.6390579872306541E-2</v>
      </c>
      <c r="K97" s="2">
        <v>6</v>
      </c>
      <c r="O97">
        <f t="shared" si="39"/>
        <v>8.3759166666666676E-2</v>
      </c>
      <c r="P97">
        <f t="shared" si="40"/>
        <v>1.0748289079611084E-2</v>
      </c>
      <c r="Q97" s="2">
        <v>6</v>
      </c>
      <c r="U97">
        <f t="shared" si="41"/>
        <v>2.7645833333333331E-2</v>
      </c>
      <c r="V97">
        <f t="shared" si="42"/>
        <v>2.7198277161532784E-3</v>
      </c>
      <c r="W97" s="2">
        <v>6</v>
      </c>
      <c r="AA97">
        <f t="shared" si="43"/>
        <v>1.719533333333333E-2</v>
      </c>
      <c r="AB97">
        <f t="shared" si="44"/>
        <v>2.6318571178711222E-3</v>
      </c>
      <c r="AC97" s="2">
        <v>6</v>
      </c>
      <c r="AG97">
        <f t="shared" si="45"/>
        <v>1.3770666666666667E-2</v>
      </c>
      <c r="AH97">
        <f t="shared" si="46"/>
        <v>2.7358621229066999E-3</v>
      </c>
      <c r="AI97" s="2">
        <v>6</v>
      </c>
    </row>
    <row r="98" spans="3:35">
      <c r="C98">
        <f t="shared" si="35"/>
        <v>0.58345249999999993</v>
      </c>
      <c r="D98">
        <f t="shared" si="36"/>
        <v>7.1418086973236566E-2</v>
      </c>
      <c r="E98" s="2">
        <v>6</v>
      </c>
      <c r="I98">
        <f t="shared" si="37"/>
        <v>0.12964833333333334</v>
      </c>
      <c r="J98">
        <f t="shared" si="38"/>
        <v>2.068928890889082E-2</v>
      </c>
      <c r="K98" s="2">
        <v>6</v>
      </c>
      <c r="O98">
        <f t="shared" si="39"/>
        <v>2.8017500000000001E-2</v>
      </c>
      <c r="P98">
        <f t="shared" si="40"/>
        <v>7.226185133480419E-3</v>
      </c>
      <c r="Q98" s="2">
        <v>6</v>
      </c>
      <c r="U98">
        <f t="shared" si="41"/>
        <v>1.6362999999999999E-2</v>
      </c>
      <c r="V98">
        <f t="shared" si="42"/>
        <v>5.8402400207525802E-3</v>
      </c>
      <c r="W98" s="2">
        <v>6</v>
      </c>
      <c r="AA98">
        <f t="shared" si="43"/>
        <v>1.5693499999999999E-2</v>
      </c>
      <c r="AB98">
        <f t="shared" si="44"/>
        <v>2.9456233211325577E-3</v>
      </c>
      <c r="AC98" s="2">
        <v>6</v>
      </c>
      <c r="AG98">
        <f t="shared" si="45"/>
        <v>2.092625E-2</v>
      </c>
      <c r="AH98">
        <f t="shared" si="46"/>
        <v>6.6556238015305453E-3</v>
      </c>
      <c r="AI98" s="2">
        <v>6</v>
      </c>
    </row>
    <row r="99" spans="3:35">
      <c r="C99">
        <f t="shared" si="35"/>
        <v>0.64265216666666669</v>
      </c>
      <c r="D99">
        <f t="shared" si="36"/>
        <v>6.0220928661102159E-2</v>
      </c>
      <c r="E99" s="2">
        <v>6</v>
      </c>
      <c r="I99">
        <f t="shared" si="37"/>
        <v>8.2924333333333336E-2</v>
      </c>
      <c r="J99">
        <f t="shared" si="38"/>
        <v>9.0954415078226009E-3</v>
      </c>
      <c r="K99" s="2">
        <v>6</v>
      </c>
      <c r="O99">
        <f t="shared" si="39"/>
        <v>2.4132833333333336E-2</v>
      </c>
      <c r="P99">
        <f t="shared" si="40"/>
        <v>3.5681999858316366E-3</v>
      </c>
      <c r="Q99" s="2">
        <v>6</v>
      </c>
      <c r="U99">
        <f t="shared" si="41"/>
        <v>2.0866833333333334E-2</v>
      </c>
      <c r="V99">
        <f t="shared" si="42"/>
        <v>4.1955018538376975E-3</v>
      </c>
      <c r="W99" s="2">
        <v>6</v>
      </c>
      <c r="AA99">
        <f t="shared" si="43"/>
        <v>2.2378666666666668E-2</v>
      </c>
      <c r="AB99">
        <f t="shared" si="44"/>
        <v>7.3502103295680441E-3</v>
      </c>
      <c r="AC99" s="2">
        <v>6</v>
      </c>
      <c r="AG99">
        <f t="shared" si="45"/>
        <v>2.4453666666666669E-2</v>
      </c>
      <c r="AH99">
        <f t="shared" si="46"/>
        <v>7.3103406365382208E-3</v>
      </c>
      <c r="AI99" s="2">
        <v>6</v>
      </c>
    </row>
    <row r="100" spans="3:35">
      <c r="C100">
        <f t="shared" si="35"/>
        <v>0.59565533333333331</v>
      </c>
      <c r="D100">
        <f t="shared" si="36"/>
        <v>3.1234949888795323E-2</v>
      </c>
      <c r="E100" s="2">
        <v>6</v>
      </c>
      <c r="I100">
        <f t="shared" si="37"/>
        <v>4.9855666666666666E-2</v>
      </c>
      <c r="J100">
        <f t="shared" si="38"/>
        <v>4.4973602504382749E-3</v>
      </c>
      <c r="K100" s="2">
        <v>6</v>
      </c>
      <c r="O100">
        <f t="shared" si="39"/>
        <v>2.5835833333333332E-2</v>
      </c>
      <c r="P100">
        <f t="shared" si="40"/>
        <v>3.1146098962077993E-3</v>
      </c>
      <c r="Q100" s="2">
        <v>6</v>
      </c>
      <c r="U100">
        <f t="shared" si="41"/>
        <v>2.408716666666667E-2</v>
      </c>
      <c r="V100">
        <f t="shared" si="42"/>
        <v>3.277869146090016E-3</v>
      </c>
      <c r="W100" s="2">
        <v>6</v>
      </c>
      <c r="AA100">
        <f t="shared" si="43"/>
        <v>2.7655333333333334E-2</v>
      </c>
      <c r="AB100">
        <f t="shared" si="44"/>
        <v>4.0830806452427006E-3</v>
      </c>
      <c r="AC100" s="2">
        <v>6</v>
      </c>
      <c r="AG100">
        <f t="shared" si="45"/>
        <v>3.1988999999999997E-2</v>
      </c>
      <c r="AH100">
        <f t="shared" si="46"/>
        <v>1.2171228546590248E-2</v>
      </c>
      <c r="AI100" s="2">
        <v>6</v>
      </c>
    </row>
  </sheetData>
  <mergeCells count="36">
    <mergeCell ref="AF3:AK3"/>
    <mergeCell ref="AP2:AR2"/>
    <mergeCell ref="AS2:AU2"/>
    <mergeCell ref="B19:G19"/>
    <mergeCell ref="H19:M19"/>
    <mergeCell ref="N19:S19"/>
    <mergeCell ref="T19:Y19"/>
    <mergeCell ref="Z19:AE19"/>
    <mergeCell ref="B3:G3"/>
    <mergeCell ref="H3:M3"/>
    <mergeCell ref="N3:S3"/>
    <mergeCell ref="T3:Y3"/>
    <mergeCell ref="Z3:AE3"/>
    <mergeCell ref="AF19:AK19"/>
    <mergeCell ref="AO19:AU19"/>
    <mergeCell ref="AF51:AK51"/>
    <mergeCell ref="B34:G34"/>
    <mergeCell ref="H34:M34"/>
    <mergeCell ref="N34:S34"/>
    <mergeCell ref="T34:Y34"/>
    <mergeCell ref="Z34:AE34"/>
    <mergeCell ref="AF34:AK34"/>
    <mergeCell ref="B51:G51"/>
    <mergeCell ref="H51:M51"/>
    <mergeCell ref="N51:S51"/>
    <mergeCell ref="T51:Y51"/>
    <mergeCell ref="Z51:AE51"/>
    <mergeCell ref="AO1:AU1"/>
    <mergeCell ref="AP38:AR38"/>
    <mergeCell ref="AS38:AU38"/>
    <mergeCell ref="AO37:AU37"/>
    <mergeCell ref="AP56:AR56"/>
    <mergeCell ref="AS56:AU56"/>
    <mergeCell ref="AO55:AU55"/>
    <mergeCell ref="AP20:AR20"/>
    <mergeCell ref="AS20:AU20"/>
  </mergeCells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E78A-8760-4827-8008-AB621609C29F}">
  <dimension ref="A1:AD76"/>
  <sheetViews>
    <sheetView topLeftCell="A31" zoomScale="80" zoomScaleNormal="80" workbookViewId="0">
      <selection activeCell="Q23" sqref="Q23"/>
    </sheetView>
  </sheetViews>
  <sheetFormatPr defaultColWidth="8.625" defaultRowHeight="14.25"/>
  <cols>
    <col min="1" max="8" width="8.625" style="4"/>
    <col min="9" max="9" width="13.125" style="4" customWidth="1"/>
    <col min="10" max="22" width="8.625" style="4"/>
    <col min="23" max="23" width="12.625" style="4" customWidth="1"/>
    <col min="24" max="16384" width="8.625" style="4"/>
  </cols>
  <sheetData>
    <row r="1" spans="1:30">
      <c r="A1" s="16"/>
      <c r="B1" s="34"/>
      <c r="C1" s="34"/>
      <c r="D1" s="34"/>
      <c r="E1" s="34"/>
      <c r="F1" s="34"/>
      <c r="G1" s="35"/>
      <c r="I1" s="16"/>
      <c r="J1" s="34"/>
      <c r="K1" s="34"/>
      <c r="L1" s="34"/>
      <c r="M1" s="34"/>
      <c r="N1" s="34"/>
      <c r="O1" s="35"/>
      <c r="Q1" s="16"/>
      <c r="R1" s="34"/>
      <c r="S1" s="34"/>
      <c r="T1" s="34"/>
      <c r="U1" s="34"/>
      <c r="V1" s="34"/>
      <c r="W1" s="35"/>
    </row>
    <row r="2" spans="1:30">
      <c r="A2" s="29" t="s">
        <v>762</v>
      </c>
      <c r="G2" s="30"/>
      <c r="I2" s="29" t="s">
        <v>774</v>
      </c>
      <c r="O2" s="30"/>
      <c r="Q2" s="29" t="s">
        <v>778</v>
      </c>
      <c r="W2" s="30"/>
    </row>
    <row r="3" spans="1:30">
      <c r="A3" s="29" t="s">
        <v>1194</v>
      </c>
      <c r="B3" s="4" t="s">
        <v>1195</v>
      </c>
      <c r="G3" s="30"/>
      <c r="I3" s="29" t="s">
        <v>1192</v>
      </c>
      <c r="J3" s="4" t="s">
        <v>1193</v>
      </c>
      <c r="O3" s="30"/>
      <c r="Q3" s="4" t="s">
        <v>1186</v>
      </c>
      <c r="R3" s="4" t="s">
        <v>1185</v>
      </c>
      <c r="W3" s="30"/>
    </row>
    <row r="4" spans="1:30" ht="18.75">
      <c r="A4" s="4" t="s">
        <v>1200</v>
      </c>
      <c r="B4" s="4" t="s">
        <v>1201</v>
      </c>
      <c r="G4" s="30"/>
      <c r="I4" s="4" t="s">
        <v>1196</v>
      </c>
      <c r="J4" s="4" t="s">
        <v>1197</v>
      </c>
      <c r="O4" s="30"/>
      <c r="Q4" s="4" t="s">
        <v>1198</v>
      </c>
      <c r="R4" s="4" t="s">
        <v>1199</v>
      </c>
      <c r="W4" s="30"/>
      <c r="AC4" s="178" t="s">
        <v>2245</v>
      </c>
      <c r="AD4" s="78">
        <v>35.85</v>
      </c>
    </row>
    <row r="5" spans="1:30" ht="18.75">
      <c r="A5" s="29"/>
      <c r="B5" s="218" t="s">
        <v>730</v>
      </c>
      <c r="C5" s="218"/>
      <c r="D5" s="218"/>
      <c r="E5" s="218"/>
      <c r="F5" s="218"/>
      <c r="G5" s="275"/>
      <c r="I5" s="29"/>
      <c r="J5" s="218" t="s">
        <v>730</v>
      </c>
      <c r="K5" s="218"/>
      <c r="L5" s="218"/>
      <c r="M5" s="218"/>
      <c r="N5" s="218"/>
      <c r="O5" s="275"/>
      <c r="Q5" s="29"/>
      <c r="R5" s="218" t="s">
        <v>730</v>
      </c>
      <c r="S5" s="218"/>
      <c r="T5" s="218"/>
      <c r="U5" s="218"/>
      <c r="V5" s="218"/>
      <c r="W5" s="275"/>
      <c r="AC5" s="178" t="s">
        <v>2246</v>
      </c>
      <c r="AD5" s="78">
        <v>0.01</v>
      </c>
    </row>
    <row r="6" spans="1:30">
      <c r="A6" s="38" t="s">
        <v>761</v>
      </c>
      <c r="B6" s="235" t="s">
        <v>758</v>
      </c>
      <c r="C6" s="235"/>
      <c r="D6" s="235" t="s">
        <v>759</v>
      </c>
      <c r="E6" s="235"/>
      <c r="F6" s="235" t="s">
        <v>760</v>
      </c>
      <c r="G6" s="236"/>
      <c r="I6" s="38" t="s">
        <v>768</v>
      </c>
      <c r="J6" s="235" t="s">
        <v>758</v>
      </c>
      <c r="K6" s="235"/>
      <c r="L6" s="235" t="s">
        <v>759</v>
      </c>
      <c r="M6" s="235"/>
      <c r="N6" s="235" t="s">
        <v>760</v>
      </c>
      <c r="O6" s="236"/>
      <c r="Q6" s="38" t="s">
        <v>768</v>
      </c>
      <c r="R6" s="235" t="s">
        <v>758</v>
      </c>
      <c r="S6" s="235"/>
      <c r="T6" s="235" t="s">
        <v>759</v>
      </c>
      <c r="U6" s="235"/>
      <c r="V6" s="235" t="s">
        <v>760</v>
      </c>
      <c r="W6" s="236"/>
    </row>
    <row r="7" spans="1:30">
      <c r="A7" s="39">
        <v>0</v>
      </c>
      <c r="B7" s="2">
        <v>2.4444E-2</v>
      </c>
      <c r="C7" s="2">
        <v>2.1971999999999998E-2</v>
      </c>
      <c r="D7" s="2">
        <v>1.3183E-2</v>
      </c>
      <c r="E7" s="2">
        <v>1.2359E-2</v>
      </c>
      <c r="F7" s="2">
        <v>6.5919999999999998E-3</v>
      </c>
      <c r="G7" s="20">
        <v>2.1970000000000002E-3</v>
      </c>
      <c r="I7" s="39">
        <v>0</v>
      </c>
      <c r="J7" s="2">
        <v>2.9113E-2</v>
      </c>
      <c r="K7" s="2">
        <v>3.3232999999999999E-2</v>
      </c>
      <c r="L7" s="2">
        <v>2.4444E-2</v>
      </c>
      <c r="M7" s="2">
        <v>2.6092000000000001E-2</v>
      </c>
      <c r="N7" s="2">
        <v>1.4555999999999999E-2</v>
      </c>
      <c r="O7" s="20">
        <v>1.2085E-2</v>
      </c>
      <c r="Q7" s="39">
        <v>0</v>
      </c>
      <c r="R7" s="69">
        <v>1E-3</v>
      </c>
      <c r="S7" s="2">
        <v>2.1970000000000002E-3</v>
      </c>
      <c r="T7" s="69">
        <v>1E-3</v>
      </c>
      <c r="U7" s="69">
        <v>1E-3</v>
      </c>
      <c r="V7" s="10" t="s">
        <v>773</v>
      </c>
      <c r="W7" s="20">
        <v>4.1200000000000004E-3</v>
      </c>
    </row>
    <row r="8" spans="1:30">
      <c r="A8" s="39">
        <v>1</v>
      </c>
      <c r="B8" s="2">
        <v>1.9775000000000001E-2</v>
      </c>
      <c r="C8" s="2">
        <v>2.4444E-2</v>
      </c>
      <c r="D8" s="2">
        <v>1.9224999999999999E-2</v>
      </c>
      <c r="E8" s="2">
        <v>1.2909E-2</v>
      </c>
      <c r="F8" s="2">
        <v>1.0989999999999999E-3</v>
      </c>
      <c r="G8" s="20">
        <v>1.923E-3</v>
      </c>
      <c r="I8" s="39">
        <v>10</v>
      </c>
      <c r="J8" s="2">
        <v>6.7289000000000002E-2</v>
      </c>
      <c r="K8" s="2">
        <v>7.7726000000000003E-2</v>
      </c>
      <c r="L8" s="2">
        <v>3.7078E-2</v>
      </c>
      <c r="M8" s="2">
        <v>4.6965E-2</v>
      </c>
      <c r="N8" s="2">
        <v>2.0872999999999999E-2</v>
      </c>
      <c r="O8" s="20">
        <v>2.3345000000000001E-2</v>
      </c>
      <c r="Q8" s="39">
        <v>10</v>
      </c>
      <c r="R8" s="2">
        <v>1.1809999999999999E-2</v>
      </c>
      <c r="S8" s="2">
        <v>1.8676000000000002E-2</v>
      </c>
      <c r="T8" s="2">
        <v>1.7852E-2</v>
      </c>
      <c r="U8" s="2">
        <v>2.8837999999999999E-2</v>
      </c>
      <c r="V8" s="2">
        <v>1.7302999999999999E-2</v>
      </c>
      <c r="W8" s="20">
        <v>2.0872999999999999E-2</v>
      </c>
    </row>
    <row r="9" spans="1:30">
      <c r="A9" s="39">
        <v>5</v>
      </c>
      <c r="B9" s="2">
        <v>5.1084999999999998E-2</v>
      </c>
      <c r="C9" s="2">
        <v>4.4492999999999998E-2</v>
      </c>
      <c r="D9" s="2">
        <v>1.6479000000000001E-2</v>
      </c>
      <c r="E9" s="2">
        <v>1.8127000000000001E-2</v>
      </c>
      <c r="F9" s="2">
        <v>7.6899999999999998E-3</v>
      </c>
      <c r="G9" s="20">
        <v>4.1200000000000004E-3</v>
      </c>
      <c r="I9" s="39">
        <v>50</v>
      </c>
      <c r="J9" s="2">
        <v>0.34358699999999998</v>
      </c>
      <c r="K9" s="2">
        <v>0.32161499999999998</v>
      </c>
      <c r="L9" s="2">
        <v>0.10766299999999999</v>
      </c>
      <c r="M9" s="2">
        <v>0.103543</v>
      </c>
      <c r="N9" s="2">
        <v>6.4268000000000006E-2</v>
      </c>
      <c r="O9" s="20">
        <v>6.1522E-2</v>
      </c>
      <c r="Q9" s="39">
        <v>50</v>
      </c>
      <c r="R9" s="2">
        <v>0.12881100000000001</v>
      </c>
      <c r="S9" s="2">
        <v>9.6950999999999996E-2</v>
      </c>
      <c r="T9" s="2">
        <v>0.148036</v>
      </c>
      <c r="U9" s="2">
        <v>0.15160699999999999</v>
      </c>
      <c r="V9" s="2">
        <v>0.17330400000000001</v>
      </c>
      <c r="W9" s="20">
        <v>0.161494</v>
      </c>
    </row>
    <row r="10" spans="1:30">
      <c r="A10" s="39">
        <v>10</v>
      </c>
      <c r="B10" s="2">
        <v>5.1908999999999997E-2</v>
      </c>
      <c r="C10" s="2">
        <v>7.1134000000000003E-2</v>
      </c>
      <c r="D10" s="2">
        <v>2.5817E-2</v>
      </c>
      <c r="E10" s="2">
        <v>2.2796E-2</v>
      </c>
      <c r="F10" s="2">
        <v>7.4159999999999998E-3</v>
      </c>
      <c r="G10" s="20">
        <v>7.4159999999999998E-3</v>
      </c>
      <c r="I10" s="39">
        <v>100</v>
      </c>
      <c r="J10" s="2">
        <v>0.66218100000000002</v>
      </c>
      <c r="K10" s="2">
        <v>0.73084300000000002</v>
      </c>
      <c r="L10" s="2">
        <v>0.171931</v>
      </c>
      <c r="M10" s="2">
        <v>0.18429000000000001</v>
      </c>
      <c r="N10" s="2">
        <v>9.4204999999999997E-2</v>
      </c>
      <c r="O10" s="20">
        <v>0.108212</v>
      </c>
      <c r="Q10" s="39">
        <v>100</v>
      </c>
      <c r="R10" s="2">
        <v>0.26119199999999998</v>
      </c>
      <c r="S10" s="2">
        <v>0.42323499999999997</v>
      </c>
      <c r="T10" s="2">
        <v>0.33534700000000001</v>
      </c>
      <c r="U10" s="2">
        <v>0.46992600000000001</v>
      </c>
      <c r="V10" s="2">
        <v>0.29689599999999999</v>
      </c>
      <c r="W10" s="20">
        <v>0.33809400000000001</v>
      </c>
    </row>
    <row r="11" spans="1:30">
      <c r="A11" s="39">
        <v>50</v>
      </c>
      <c r="B11" s="2">
        <v>0.40950300000000001</v>
      </c>
      <c r="C11" s="2">
        <v>0.51112299999999999</v>
      </c>
      <c r="D11" s="2">
        <v>8.8986999999999997E-2</v>
      </c>
      <c r="E11" s="2">
        <v>9.9973000000000006E-2</v>
      </c>
      <c r="F11" s="2">
        <v>5.8226E-2</v>
      </c>
      <c r="G11" s="20">
        <v>6.1522E-2</v>
      </c>
      <c r="I11" s="39">
        <v>500</v>
      </c>
      <c r="J11" s="2">
        <v>1.4916229999999999</v>
      </c>
      <c r="K11" s="2">
        <v>1.145564</v>
      </c>
      <c r="L11" s="2">
        <v>0.47541899999999998</v>
      </c>
      <c r="M11" s="2">
        <v>0.52760200000000002</v>
      </c>
      <c r="N11" s="2">
        <v>0.24196599999999999</v>
      </c>
      <c r="O11" s="20">
        <v>0.24196599999999999</v>
      </c>
      <c r="Q11" s="39">
        <v>500</v>
      </c>
      <c r="R11" s="2">
        <v>1.1290849999999999</v>
      </c>
      <c r="S11" s="2">
        <v>0.86816800000000005</v>
      </c>
      <c r="T11" s="2">
        <v>0.97802800000000001</v>
      </c>
      <c r="U11" s="2">
        <v>0.991761</v>
      </c>
      <c r="V11" s="2">
        <v>0.89288699999999999</v>
      </c>
      <c r="W11" s="20">
        <v>0.98352099999999998</v>
      </c>
    </row>
    <row r="12" spans="1:30">
      <c r="A12" s="39">
        <v>100</v>
      </c>
      <c r="B12" s="2">
        <v>0.94781700000000002</v>
      </c>
      <c r="C12" s="2">
        <v>0.96429600000000004</v>
      </c>
      <c r="D12" s="2">
        <v>0.14638799999999999</v>
      </c>
      <c r="E12" s="2">
        <v>0.13650100000000001</v>
      </c>
      <c r="F12" s="2">
        <v>9.7501000000000004E-2</v>
      </c>
      <c r="G12" s="20">
        <v>9.1184000000000001E-2</v>
      </c>
      <c r="I12" s="39">
        <v>1000</v>
      </c>
      <c r="J12" s="2">
        <v>1.755287</v>
      </c>
      <c r="K12" s="2">
        <v>1.964021</v>
      </c>
      <c r="L12" s="2">
        <v>0.54682799999999998</v>
      </c>
      <c r="M12" s="2">
        <v>0.62098299999999995</v>
      </c>
      <c r="N12" s="2">
        <v>0.274924</v>
      </c>
      <c r="O12" s="20">
        <v>0.28316400000000003</v>
      </c>
      <c r="Q12" s="39">
        <v>1000</v>
      </c>
      <c r="R12" s="2">
        <v>1.3652839999999999</v>
      </c>
      <c r="S12" s="2">
        <v>1.024718</v>
      </c>
      <c r="T12" s="2">
        <v>1.373524</v>
      </c>
      <c r="U12" s="2">
        <v>1.2307060000000001</v>
      </c>
      <c r="V12" s="2">
        <v>1.3076080000000001</v>
      </c>
      <c r="W12" s="20">
        <v>1.1043670000000001</v>
      </c>
      <c r="X12" s="4">
        <f>AVERAGE(R12:S12)/AVERAGE(R7:S7)</f>
        <v>747.57647794807622</v>
      </c>
      <c r="Z12" s="4">
        <f t="shared" ref="Z12" si="0">AVERAGE(T12:U12)/AVERAGE(T7:U7)</f>
        <v>1302.115</v>
      </c>
      <c r="AB12" s="4">
        <f t="shared" ref="AB12" si="1">AVERAGE(V12:W12)/AVERAGE(V7:W7)</f>
        <v>292.71541262135918</v>
      </c>
    </row>
    <row r="13" spans="1:30">
      <c r="A13" s="29"/>
      <c r="G13" s="30"/>
      <c r="I13" s="29"/>
      <c r="O13" s="30"/>
      <c r="Q13" s="29"/>
      <c r="W13" s="30"/>
    </row>
    <row r="14" spans="1:30">
      <c r="A14" s="29" t="s">
        <v>763</v>
      </c>
      <c r="G14" s="30"/>
      <c r="I14" s="29" t="s">
        <v>775</v>
      </c>
      <c r="O14" s="30"/>
      <c r="Q14" s="29" t="s">
        <v>779</v>
      </c>
      <c r="W14" s="30"/>
    </row>
    <row r="15" spans="1:30">
      <c r="A15" s="29"/>
      <c r="B15" s="218" t="s">
        <v>730</v>
      </c>
      <c r="C15" s="218"/>
      <c r="D15" s="218"/>
      <c r="E15" s="218"/>
      <c r="F15" s="218"/>
      <c r="G15" s="275"/>
      <c r="I15" s="29"/>
      <c r="J15" s="218" t="s">
        <v>730</v>
      </c>
      <c r="K15" s="218"/>
      <c r="L15" s="218"/>
      <c r="M15" s="218"/>
      <c r="N15" s="218"/>
      <c r="O15" s="275"/>
      <c r="Q15" s="29"/>
      <c r="R15" s="218" t="s">
        <v>730</v>
      </c>
      <c r="S15" s="218"/>
      <c r="T15" s="218"/>
      <c r="U15" s="218"/>
      <c r="V15" s="218"/>
      <c r="W15" s="275"/>
    </row>
    <row r="16" spans="1:30">
      <c r="A16" s="38" t="s">
        <v>757</v>
      </c>
      <c r="B16" s="235" t="s">
        <v>758</v>
      </c>
      <c r="C16" s="235"/>
      <c r="D16" s="235" t="s">
        <v>759</v>
      </c>
      <c r="E16" s="235"/>
      <c r="F16" s="235" t="s">
        <v>760</v>
      </c>
      <c r="G16" s="236"/>
      <c r="I16" s="38" t="s">
        <v>768</v>
      </c>
      <c r="J16" s="235" t="s">
        <v>758</v>
      </c>
      <c r="K16" s="235"/>
      <c r="L16" s="235" t="s">
        <v>759</v>
      </c>
      <c r="M16" s="235"/>
      <c r="N16" s="235" t="s">
        <v>760</v>
      </c>
      <c r="O16" s="236"/>
      <c r="Q16" s="38" t="s">
        <v>768</v>
      </c>
      <c r="R16" s="235" t="s">
        <v>758</v>
      </c>
      <c r="S16" s="235"/>
      <c r="T16" s="235" t="s">
        <v>759</v>
      </c>
      <c r="U16" s="235"/>
      <c r="V16" s="235" t="s">
        <v>760</v>
      </c>
      <c r="W16" s="236"/>
    </row>
    <row r="17" spans="1:28">
      <c r="A17" s="39">
        <v>0</v>
      </c>
      <c r="B17" s="2">
        <v>3.7135400000000001</v>
      </c>
      <c r="C17" s="2">
        <v>3.5789620000000002</v>
      </c>
      <c r="D17" s="2">
        <v>1.3378190000000001</v>
      </c>
      <c r="E17" s="2">
        <v>1.3652839999999999</v>
      </c>
      <c r="F17" s="2">
        <v>0.72260400000000002</v>
      </c>
      <c r="G17" s="20">
        <v>0.73633599999999999</v>
      </c>
      <c r="I17" s="39">
        <v>0</v>
      </c>
      <c r="J17" s="69">
        <v>4.2845000000000001E-2</v>
      </c>
      <c r="K17" s="2">
        <v>4.2021000000000003E-2</v>
      </c>
      <c r="L17" s="2">
        <v>3.2958000000000001E-2</v>
      </c>
      <c r="M17" s="2">
        <v>3.9274999999999997E-2</v>
      </c>
      <c r="N17" s="2">
        <v>2.3619999999999999E-2</v>
      </c>
      <c r="O17" s="20">
        <v>1.7302999999999999E-2</v>
      </c>
      <c r="Q17" s="39">
        <v>0</v>
      </c>
      <c r="R17" s="2">
        <v>4.1200000000000004E-3</v>
      </c>
      <c r="S17" s="2">
        <v>1.3183E-2</v>
      </c>
      <c r="T17" s="2">
        <v>7.4159999999999998E-3</v>
      </c>
      <c r="U17" s="2">
        <v>4.1200000000000004E-3</v>
      </c>
      <c r="V17" s="2">
        <v>4.3940000000000003E-3</v>
      </c>
      <c r="W17" s="20">
        <v>5.4900000000000001E-4</v>
      </c>
    </row>
    <row r="18" spans="1:28">
      <c r="A18" s="39">
        <v>1</v>
      </c>
      <c r="B18" s="2">
        <v>4.408404</v>
      </c>
      <c r="C18" s="2">
        <v>4.4770669999999999</v>
      </c>
      <c r="D18" s="2">
        <v>1.26641</v>
      </c>
      <c r="E18" s="2">
        <v>1.3076080000000001</v>
      </c>
      <c r="F18" s="2">
        <v>0.23921999999999999</v>
      </c>
      <c r="G18" s="20">
        <v>0.59351799999999999</v>
      </c>
      <c r="I18" s="39">
        <v>10</v>
      </c>
      <c r="J18" s="2">
        <v>2.6561379999999999</v>
      </c>
      <c r="K18" s="2">
        <v>2.793463</v>
      </c>
      <c r="L18" s="2">
        <v>0.55506699999999998</v>
      </c>
      <c r="M18" s="2">
        <v>0.45894000000000001</v>
      </c>
      <c r="N18" s="2">
        <v>0.19527600000000001</v>
      </c>
      <c r="O18" s="20">
        <v>0.211755</v>
      </c>
      <c r="Q18" s="39">
        <v>10</v>
      </c>
      <c r="R18" s="2">
        <v>1.538314</v>
      </c>
      <c r="S18" s="2">
        <v>1.4916229999999999</v>
      </c>
      <c r="T18" s="2">
        <v>1.233452</v>
      </c>
      <c r="U18" s="2">
        <v>1.2746500000000001</v>
      </c>
      <c r="V18" s="2">
        <v>1.0109859999999999</v>
      </c>
      <c r="W18" s="20">
        <v>0.87640799999999996</v>
      </c>
    </row>
    <row r="19" spans="1:28">
      <c r="A19" s="39">
        <v>5</v>
      </c>
      <c r="B19" s="2">
        <v>6.495743</v>
      </c>
      <c r="C19" s="2">
        <v>7.3032130000000004</v>
      </c>
      <c r="D19" s="2">
        <v>1.4202140000000001</v>
      </c>
      <c r="E19" s="2">
        <v>1.398242</v>
      </c>
      <c r="F19" s="2">
        <v>0.73633599999999999</v>
      </c>
      <c r="G19" s="20">
        <v>0.71711100000000005</v>
      </c>
      <c r="I19" s="39">
        <v>50</v>
      </c>
      <c r="J19" s="2">
        <v>8.8687170000000002</v>
      </c>
      <c r="K19" s="2">
        <v>9.0060420000000008</v>
      </c>
      <c r="L19" s="2">
        <v>2.2826149999999998</v>
      </c>
      <c r="M19" s="2">
        <v>2.167262</v>
      </c>
      <c r="N19" s="2">
        <v>1.1400710000000001</v>
      </c>
      <c r="O19" s="20">
        <v>0.90387300000000004</v>
      </c>
      <c r="Q19" s="39">
        <v>50</v>
      </c>
      <c r="R19" s="2">
        <v>6.8225759999999998</v>
      </c>
      <c r="S19" s="2">
        <v>6.907718</v>
      </c>
      <c r="T19" s="2">
        <v>6.259544</v>
      </c>
      <c r="U19" s="2">
        <v>5.8283440000000004</v>
      </c>
      <c r="V19" s="2">
        <v>4.916506</v>
      </c>
      <c r="W19" s="20">
        <v>4.3672069999999996</v>
      </c>
    </row>
    <row r="20" spans="1:28">
      <c r="A20" s="39">
        <v>10</v>
      </c>
      <c r="B20" s="2">
        <v>7.79209</v>
      </c>
      <c r="C20" s="2">
        <v>7.602582</v>
      </c>
      <c r="D20" s="2">
        <v>1.722329</v>
      </c>
      <c r="E20" s="2">
        <v>2.0162040000000001</v>
      </c>
      <c r="F20" s="2">
        <v>0.81873099999999999</v>
      </c>
      <c r="G20" s="20">
        <v>0.80499900000000002</v>
      </c>
      <c r="I20" s="39">
        <v>100</v>
      </c>
      <c r="J20" s="2">
        <v>16.844550000000002</v>
      </c>
      <c r="K20" s="2">
        <v>17.852509999999999</v>
      </c>
      <c r="L20" s="2">
        <v>3.257622</v>
      </c>
      <c r="M20" s="2">
        <v>3.010437</v>
      </c>
      <c r="N20" s="2">
        <v>1.48613</v>
      </c>
      <c r="O20" s="20">
        <v>1.7333149999999999</v>
      </c>
      <c r="Q20" s="39">
        <v>100</v>
      </c>
      <c r="R20" s="2">
        <v>9.9371050000000007</v>
      </c>
      <c r="S20" s="2">
        <v>10.373799999999999</v>
      </c>
      <c r="T20" s="2">
        <v>7.5778629999999998</v>
      </c>
      <c r="U20" s="2">
        <v>8.6270260000000007</v>
      </c>
      <c r="V20" s="2">
        <v>7.1686350000000001</v>
      </c>
      <c r="W20" s="20">
        <v>7.3938480000000002</v>
      </c>
    </row>
    <row r="21" spans="1:28">
      <c r="A21" s="39">
        <v>50</v>
      </c>
      <c r="B21" s="2">
        <v>11.65916</v>
      </c>
      <c r="C21" s="2">
        <v>12.549020000000001</v>
      </c>
      <c r="D21" s="2">
        <v>3.3290299999999999</v>
      </c>
      <c r="E21" s="2">
        <v>3.010437</v>
      </c>
      <c r="F21" s="2">
        <v>1.8321890000000001</v>
      </c>
      <c r="G21" s="20">
        <v>1.873386</v>
      </c>
      <c r="I21" s="39">
        <v>500</v>
      </c>
      <c r="J21" s="2">
        <v>16.844550000000002</v>
      </c>
      <c r="K21" s="2">
        <v>17.852509999999999</v>
      </c>
      <c r="L21" s="2">
        <v>6.5341940000000003</v>
      </c>
      <c r="M21" s="2">
        <v>6.4545450000000004</v>
      </c>
      <c r="N21" s="2">
        <v>3.205438</v>
      </c>
      <c r="O21" s="20">
        <v>3.3400159999999999</v>
      </c>
      <c r="Q21" s="39">
        <v>500</v>
      </c>
      <c r="R21" s="2">
        <v>15.55369</v>
      </c>
      <c r="S21" s="2">
        <v>14.674810000000001</v>
      </c>
      <c r="T21" s="2">
        <v>12.1343</v>
      </c>
      <c r="U21" s="2">
        <v>12.35952</v>
      </c>
      <c r="V21" s="2">
        <v>11.09887</v>
      </c>
      <c r="W21" s="20">
        <v>10.862679999999999</v>
      </c>
    </row>
    <row r="22" spans="1:28">
      <c r="A22" s="39">
        <v>100</v>
      </c>
      <c r="B22" s="2">
        <v>14.27657</v>
      </c>
      <c r="C22" s="2">
        <v>13.80143</v>
      </c>
      <c r="D22" s="2">
        <v>4.6912940000000001</v>
      </c>
      <c r="E22" s="2">
        <v>4.5210109999999997</v>
      </c>
      <c r="F22" s="2">
        <v>2.6643780000000001</v>
      </c>
      <c r="G22" s="20">
        <v>2.4611369999999999</v>
      </c>
      <c r="I22" s="39">
        <v>1000</v>
      </c>
      <c r="J22" s="2">
        <v>19.1571</v>
      </c>
      <c r="K22" s="2">
        <v>18.69294</v>
      </c>
      <c r="L22" s="2">
        <v>7.4844819999999999</v>
      </c>
      <c r="M22" s="2">
        <v>7.2592689999999997</v>
      </c>
      <c r="N22" s="2">
        <v>4.029388</v>
      </c>
      <c r="O22" s="20">
        <v>3.7025540000000001</v>
      </c>
      <c r="Q22" s="39">
        <v>1000</v>
      </c>
      <c r="R22" s="2">
        <v>15.89151</v>
      </c>
      <c r="S22" s="2">
        <v>15.64982</v>
      </c>
      <c r="T22" s="2">
        <v>13.10107</v>
      </c>
      <c r="U22" s="2">
        <v>14.23263</v>
      </c>
      <c r="V22" s="2">
        <v>12.980230000000001</v>
      </c>
      <c r="W22" s="20">
        <v>13.05987</v>
      </c>
      <c r="X22" s="4">
        <f>AVERAGE(R22:S22)/AVERAGE(R17:S17)</f>
        <v>1822.8821591631511</v>
      </c>
      <c r="Z22" s="4">
        <f t="shared" ref="Z22:AB22" si="2">AVERAGE(T22:U22)/AVERAGE(T17:U17)</f>
        <v>2369.4261442441052</v>
      </c>
      <c r="AB22" s="4">
        <f t="shared" si="2"/>
        <v>5268.076067165689</v>
      </c>
    </row>
    <row r="23" spans="1:28">
      <c r="A23" s="29"/>
      <c r="G23" s="30"/>
      <c r="I23" s="29"/>
      <c r="O23" s="30"/>
      <c r="Q23" s="29"/>
      <c r="W23" s="30"/>
    </row>
    <row r="24" spans="1:28">
      <c r="A24" s="29" t="s">
        <v>766</v>
      </c>
      <c r="G24" s="30"/>
      <c r="I24" s="29" t="s">
        <v>776</v>
      </c>
      <c r="O24" s="30"/>
      <c r="Q24" s="29" t="s">
        <v>780</v>
      </c>
      <c r="W24" s="30"/>
    </row>
    <row r="25" spans="1:28">
      <c r="A25" s="29"/>
      <c r="B25" s="218" t="s">
        <v>761</v>
      </c>
      <c r="C25" s="218"/>
      <c r="D25" s="218"/>
      <c r="E25" s="218"/>
      <c r="F25" s="218"/>
      <c r="G25" s="275"/>
      <c r="I25" s="29"/>
      <c r="J25" s="235" t="s">
        <v>772</v>
      </c>
      <c r="K25" s="235"/>
      <c r="L25" s="235"/>
      <c r="M25" s="235"/>
      <c r="N25" s="235"/>
      <c r="O25" s="236"/>
      <c r="Q25" s="29"/>
      <c r="R25" s="235" t="s">
        <v>772</v>
      </c>
      <c r="S25" s="235"/>
      <c r="T25" s="235"/>
      <c r="U25" s="235"/>
      <c r="V25" s="235"/>
      <c r="W25" s="236"/>
    </row>
    <row r="26" spans="1:28">
      <c r="A26" s="38" t="s">
        <v>765</v>
      </c>
      <c r="B26" s="235" t="s">
        <v>758</v>
      </c>
      <c r="C26" s="235"/>
      <c r="D26" s="235" t="s">
        <v>760</v>
      </c>
      <c r="E26" s="235"/>
      <c r="F26" s="235" t="s">
        <v>764</v>
      </c>
      <c r="G26" s="236"/>
      <c r="I26" s="38" t="s">
        <v>765</v>
      </c>
      <c r="J26" s="235" t="s">
        <v>758</v>
      </c>
      <c r="K26" s="235"/>
      <c r="L26" s="235" t="s">
        <v>764</v>
      </c>
      <c r="M26" s="235"/>
      <c r="N26" s="235" t="s">
        <v>769</v>
      </c>
      <c r="O26" s="236"/>
      <c r="Q26" s="38" t="s">
        <v>765</v>
      </c>
      <c r="R26" s="235" t="s">
        <v>758</v>
      </c>
      <c r="S26" s="235"/>
      <c r="T26" s="235" t="s">
        <v>764</v>
      </c>
      <c r="U26" s="235"/>
      <c r="V26" s="235" t="s">
        <v>769</v>
      </c>
      <c r="W26" s="236"/>
    </row>
    <row r="27" spans="1:28">
      <c r="A27" s="39">
        <v>0</v>
      </c>
      <c r="B27" s="2">
        <v>2.8289000000000002E-2</v>
      </c>
      <c r="C27" s="2">
        <v>2.8289000000000002E-2</v>
      </c>
      <c r="D27" s="2">
        <v>9.5302999999999999E-2</v>
      </c>
      <c r="E27" s="2">
        <v>9.0084999999999998E-2</v>
      </c>
      <c r="F27" s="2">
        <v>0.67042000000000002</v>
      </c>
      <c r="G27" s="20">
        <v>0.72260400000000002</v>
      </c>
      <c r="I27" s="39">
        <v>0</v>
      </c>
      <c r="J27" s="2">
        <v>2.9936999999999998E-2</v>
      </c>
      <c r="K27" s="2">
        <v>4.1746999999999999E-2</v>
      </c>
      <c r="L27" s="2">
        <v>0.73633599999999999</v>
      </c>
      <c r="M27" s="2">
        <v>0.79950600000000005</v>
      </c>
      <c r="N27" s="2">
        <v>1.480637</v>
      </c>
      <c r="O27" s="20">
        <v>1.4531719999999999</v>
      </c>
      <c r="Q27" s="39">
        <v>0</v>
      </c>
      <c r="R27" s="2">
        <v>0.01</v>
      </c>
      <c r="S27" s="2">
        <v>0.01</v>
      </c>
      <c r="T27" s="2">
        <v>0.31886799999999998</v>
      </c>
      <c r="U27" s="2">
        <v>0.40950300000000001</v>
      </c>
      <c r="V27" s="2">
        <v>0.84070299999999998</v>
      </c>
      <c r="W27" s="20">
        <v>1.0714090000000001</v>
      </c>
    </row>
    <row r="28" spans="1:28">
      <c r="A28" s="39">
        <v>10</v>
      </c>
      <c r="B28" s="2">
        <v>2.4993000000000001E-2</v>
      </c>
      <c r="C28" s="2">
        <v>2.6092000000000001E-2</v>
      </c>
      <c r="D28" s="2">
        <v>7.4704999999999994E-2</v>
      </c>
      <c r="E28" s="2">
        <v>7.5254000000000001E-2</v>
      </c>
      <c r="F28" s="2">
        <v>0.29689599999999999</v>
      </c>
      <c r="G28" s="20">
        <v>0.29140300000000002</v>
      </c>
      <c r="I28" s="39">
        <v>10</v>
      </c>
      <c r="J28" s="2">
        <v>3.8450999999999999E-2</v>
      </c>
      <c r="K28" s="2">
        <v>4.2021000000000003E-2</v>
      </c>
      <c r="L28" s="2">
        <v>0.48091200000000001</v>
      </c>
      <c r="M28" s="2">
        <v>0.43971399999999999</v>
      </c>
      <c r="N28" s="2">
        <v>0.71711100000000005</v>
      </c>
      <c r="O28" s="20">
        <v>0.70063200000000003</v>
      </c>
      <c r="Q28" s="39">
        <v>10</v>
      </c>
      <c r="R28" s="2">
        <v>0.01</v>
      </c>
      <c r="S28" s="2">
        <v>0.01</v>
      </c>
      <c r="T28" s="2">
        <v>0.288657</v>
      </c>
      <c r="U28" s="2">
        <v>0.30513600000000002</v>
      </c>
      <c r="V28" s="2">
        <v>0.82147800000000004</v>
      </c>
      <c r="W28" s="20">
        <v>0.81873099999999999</v>
      </c>
    </row>
    <row r="29" spans="1:28">
      <c r="A29" s="39">
        <v>50</v>
      </c>
      <c r="B29" s="69">
        <v>0.01</v>
      </c>
      <c r="C29" s="69">
        <v>0.01</v>
      </c>
      <c r="D29" s="69">
        <v>0.01</v>
      </c>
      <c r="E29" s="69">
        <v>0.01</v>
      </c>
      <c r="F29" s="69">
        <v>0.01</v>
      </c>
      <c r="G29" s="177">
        <v>0.01</v>
      </c>
      <c r="I29" s="39">
        <v>50</v>
      </c>
      <c r="J29" s="2">
        <v>2.4719999999999998E-3</v>
      </c>
      <c r="K29" s="10" t="s">
        <v>770</v>
      </c>
      <c r="L29" s="2">
        <v>3.7901999999999998E-2</v>
      </c>
      <c r="M29" s="2">
        <v>3.0485999999999999E-2</v>
      </c>
      <c r="N29" s="2">
        <v>5.5753999999999998E-2</v>
      </c>
      <c r="O29" s="20">
        <v>4.6690000000000002E-2</v>
      </c>
      <c r="Q29" s="39">
        <v>50</v>
      </c>
      <c r="R29" s="2">
        <v>0.01</v>
      </c>
      <c r="S29" s="2">
        <v>0.01</v>
      </c>
      <c r="T29" s="2">
        <v>0.17824799999999999</v>
      </c>
      <c r="U29" s="2">
        <v>0.148586</v>
      </c>
      <c r="V29" s="2">
        <v>0.43696800000000002</v>
      </c>
      <c r="W29" s="20">
        <v>0.34908</v>
      </c>
    </row>
    <row r="30" spans="1:28">
      <c r="A30" s="39">
        <v>100</v>
      </c>
      <c r="B30" s="69">
        <v>0.01</v>
      </c>
      <c r="C30" s="69">
        <v>0.01</v>
      </c>
      <c r="D30" s="69">
        <v>0.01</v>
      </c>
      <c r="E30" s="69">
        <v>0.01</v>
      </c>
      <c r="F30" s="69">
        <v>0.01</v>
      </c>
      <c r="G30" s="177">
        <v>0.01</v>
      </c>
      <c r="I30" s="39">
        <v>100</v>
      </c>
      <c r="J30" s="69">
        <v>0.01</v>
      </c>
      <c r="K30" s="69">
        <v>0.01</v>
      </c>
      <c r="L30" s="2">
        <v>1.3183E-2</v>
      </c>
      <c r="M30" s="2">
        <v>1.0161999999999999E-2</v>
      </c>
      <c r="N30" s="2">
        <v>2.1148E-2</v>
      </c>
      <c r="O30" s="20">
        <v>1.9224999999999999E-2</v>
      </c>
      <c r="Q30" s="39">
        <v>100</v>
      </c>
      <c r="R30" s="2">
        <v>0.01</v>
      </c>
      <c r="S30" s="2">
        <v>0.01</v>
      </c>
      <c r="T30" s="2">
        <v>6.8113000000000007E-2</v>
      </c>
      <c r="U30" s="2">
        <v>7.5802999999999995E-2</v>
      </c>
      <c r="V30" s="2">
        <v>0.16067000000000001</v>
      </c>
      <c r="W30" s="20">
        <v>0.209009</v>
      </c>
    </row>
    <row r="31" spans="1:28">
      <c r="A31" s="39">
        <v>500</v>
      </c>
      <c r="B31" s="69">
        <v>0.01</v>
      </c>
      <c r="C31" s="69">
        <v>0.01</v>
      </c>
      <c r="D31" s="69">
        <v>0.01</v>
      </c>
      <c r="E31" s="69">
        <v>0.01</v>
      </c>
      <c r="F31" s="69">
        <v>0.01</v>
      </c>
      <c r="G31" s="177">
        <v>0.01</v>
      </c>
      <c r="I31" s="39">
        <v>500</v>
      </c>
      <c r="J31" s="69">
        <v>0.01</v>
      </c>
      <c r="K31" s="69">
        <v>0.01</v>
      </c>
      <c r="L31" s="2">
        <v>2.4719999999999998E-3</v>
      </c>
      <c r="M31" s="2">
        <v>1.923E-3</v>
      </c>
      <c r="N31" s="69">
        <v>0.01</v>
      </c>
      <c r="O31" s="177">
        <v>0.01</v>
      </c>
      <c r="Q31" s="39">
        <v>500</v>
      </c>
      <c r="R31" s="2">
        <v>0.01</v>
      </c>
      <c r="S31" s="2">
        <v>0.01</v>
      </c>
      <c r="T31" s="2">
        <v>6.0419999999999996E-3</v>
      </c>
      <c r="U31" s="2">
        <v>7.1409999999999998E-3</v>
      </c>
      <c r="V31" s="2">
        <v>4.5866999999999998E-2</v>
      </c>
      <c r="W31" s="20">
        <v>4.0099000000000003E-2</v>
      </c>
    </row>
    <row r="32" spans="1:28">
      <c r="A32" s="39">
        <v>1000</v>
      </c>
      <c r="B32" s="69">
        <v>0.01</v>
      </c>
      <c r="C32" s="69">
        <v>0.01</v>
      </c>
      <c r="D32" s="69">
        <v>0.01</v>
      </c>
      <c r="E32" s="69">
        <v>0.01</v>
      </c>
      <c r="F32" s="69">
        <v>0.01</v>
      </c>
      <c r="G32" s="177">
        <v>0.01</v>
      </c>
      <c r="I32" s="39">
        <v>1000</v>
      </c>
      <c r="J32" s="69">
        <v>0.01</v>
      </c>
      <c r="K32" s="69">
        <v>0.01</v>
      </c>
      <c r="L32" s="2">
        <v>3.0209999999999998E-3</v>
      </c>
      <c r="M32" s="10" t="s">
        <v>771</v>
      </c>
      <c r="N32" s="69">
        <v>0.01</v>
      </c>
      <c r="O32" s="177">
        <v>0.01</v>
      </c>
      <c r="Q32" s="39">
        <v>1000</v>
      </c>
      <c r="R32" s="2">
        <v>0.01</v>
      </c>
      <c r="S32" s="2">
        <v>0.01</v>
      </c>
      <c r="T32" s="2">
        <v>2.7460000000000002E-3</v>
      </c>
      <c r="U32" s="2">
        <v>1E-3</v>
      </c>
      <c r="V32" s="2">
        <v>3.5154999999999999E-2</v>
      </c>
      <c r="W32" s="20">
        <v>3.2134000000000003E-2</v>
      </c>
      <c r="X32" s="4">
        <f>AVERAGE(R27:S27)/AVERAGE(R32:S32)</f>
        <v>1</v>
      </c>
      <c r="Z32" s="4">
        <f t="shared" ref="Z32:AB32" si="3">AVERAGE(T27:U27)/AVERAGE(T32:U32)</f>
        <v>194.43966898024559</v>
      </c>
      <c r="AB32" s="4">
        <f t="shared" si="3"/>
        <v>28.416412786636744</v>
      </c>
    </row>
    <row r="33" spans="1:28">
      <c r="A33" s="39"/>
      <c r="B33" s="2"/>
      <c r="C33" s="2"/>
      <c r="D33" s="2"/>
      <c r="E33" s="2"/>
      <c r="F33" s="2"/>
      <c r="G33" s="20"/>
      <c r="I33" s="29"/>
      <c r="O33" s="30"/>
      <c r="Q33" s="29"/>
      <c r="W33" s="30"/>
    </row>
    <row r="34" spans="1:28">
      <c r="A34" s="29" t="s">
        <v>767</v>
      </c>
      <c r="G34" s="30"/>
      <c r="I34" s="29" t="s">
        <v>777</v>
      </c>
      <c r="O34" s="30"/>
      <c r="Q34" s="29" t="s">
        <v>781</v>
      </c>
      <c r="W34" s="30"/>
    </row>
    <row r="35" spans="1:28">
      <c r="A35" s="29"/>
      <c r="B35" s="218" t="s">
        <v>761</v>
      </c>
      <c r="C35" s="218"/>
      <c r="D35" s="218"/>
      <c r="E35" s="218"/>
      <c r="F35" s="218"/>
      <c r="G35" s="275"/>
      <c r="I35" s="29"/>
      <c r="J35" s="235" t="s">
        <v>772</v>
      </c>
      <c r="K35" s="235"/>
      <c r="L35" s="235"/>
      <c r="M35" s="235"/>
      <c r="N35" s="235"/>
      <c r="O35" s="236"/>
      <c r="Q35" s="29"/>
      <c r="R35" s="235" t="s">
        <v>772</v>
      </c>
      <c r="S35" s="235"/>
      <c r="T35" s="235"/>
      <c r="U35" s="235"/>
      <c r="V35" s="235"/>
      <c r="W35" s="236"/>
    </row>
    <row r="36" spans="1:28">
      <c r="A36" s="38" t="s">
        <v>765</v>
      </c>
      <c r="B36" s="235" t="s">
        <v>758</v>
      </c>
      <c r="C36" s="235"/>
      <c r="D36" s="235" t="s">
        <v>760</v>
      </c>
      <c r="E36" s="235"/>
      <c r="F36" s="235" t="s">
        <v>764</v>
      </c>
      <c r="G36" s="236"/>
      <c r="I36" s="38" t="s">
        <v>765</v>
      </c>
      <c r="J36" s="235" t="s">
        <v>758</v>
      </c>
      <c r="K36" s="235"/>
      <c r="L36" s="235" t="s">
        <v>764</v>
      </c>
      <c r="M36" s="235"/>
      <c r="N36" s="235">
        <v>1000</v>
      </c>
      <c r="O36" s="236"/>
      <c r="Q36" s="38" t="s">
        <v>765</v>
      </c>
      <c r="R36" s="235" t="s">
        <v>758</v>
      </c>
      <c r="S36" s="235"/>
      <c r="T36" s="235" t="s">
        <v>764</v>
      </c>
      <c r="U36" s="235"/>
      <c r="V36" s="235">
        <v>1000</v>
      </c>
      <c r="W36" s="236"/>
    </row>
    <row r="37" spans="1:28">
      <c r="A37" s="39">
        <v>0</v>
      </c>
      <c r="B37" s="2">
        <v>2.7577590000000001</v>
      </c>
      <c r="C37" s="2">
        <v>2.8538860000000001</v>
      </c>
      <c r="D37" s="2">
        <v>5.7047509999999999</v>
      </c>
      <c r="E37" s="2">
        <v>5.8118650000000001</v>
      </c>
      <c r="F37" s="2">
        <v>9.6652020000000007</v>
      </c>
      <c r="G37" s="20">
        <v>9.5196369999999995</v>
      </c>
      <c r="I37" s="39">
        <v>0</v>
      </c>
      <c r="J37" s="2">
        <v>4.6965E-2</v>
      </c>
      <c r="K37" s="2">
        <v>4.0374E-2</v>
      </c>
      <c r="L37" s="2">
        <v>10.184290000000001</v>
      </c>
      <c r="M37" s="2">
        <v>11.41197</v>
      </c>
      <c r="N37" s="2">
        <v>18.297450000000001</v>
      </c>
      <c r="O37" s="20">
        <v>17.26202</v>
      </c>
      <c r="Q37" s="39">
        <v>0</v>
      </c>
      <c r="R37" s="2">
        <v>8.2399999999999997E-4</v>
      </c>
      <c r="S37" s="2">
        <v>7.9649999999999999E-3</v>
      </c>
      <c r="T37" s="2">
        <v>9.5196369999999995</v>
      </c>
      <c r="U37" s="2">
        <v>10.060700000000001</v>
      </c>
      <c r="V37" s="2">
        <v>15.040100000000001</v>
      </c>
      <c r="W37" s="20">
        <v>15.08404</v>
      </c>
    </row>
    <row r="38" spans="1:28">
      <c r="A38" s="39">
        <v>10</v>
      </c>
      <c r="B38" s="2">
        <v>1.49437</v>
      </c>
      <c r="C38" s="2">
        <v>1.4394400000000001</v>
      </c>
      <c r="D38" s="2">
        <v>2.3183189999999998</v>
      </c>
      <c r="E38" s="2">
        <v>2.4940950000000002</v>
      </c>
      <c r="F38" s="2">
        <v>5.6498210000000002</v>
      </c>
      <c r="G38" s="20">
        <v>4.7654490000000003</v>
      </c>
      <c r="I38" s="39">
        <v>10</v>
      </c>
      <c r="J38" s="2">
        <v>0.15682499999999999</v>
      </c>
      <c r="K38" s="2">
        <v>0.14226900000000001</v>
      </c>
      <c r="L38" s="2">
        <v>6.317221</v>
      </c>
      <c r="M38" s="2">
        <v>4.408404</v>
      </c>
      <c r="N38" s="2">
        <v>10.697889999999999</v>
      </c>
      <c r="O38" s="20">
        <v>10.060700000000001</v>
      </c>
      <c r="Q38" s="39">
        <v>10</v>
      </c>
      <c r="R38" s="2">
        <v>8.8437000000000002E-2</v>
      </c>
      <c r="S38" s="2">
        <v>9.3656000000000003E-2</v>
      </c>
      <c r="T38" s="2">
        <v>9.6954130000000003</v>
      </c>
      <c r="U38" s="2">
        <v>9.0060420000000008</v>
      </c>
      <c r="V38" s="2">
        <v>15.46031</v>
      </c>
      <c r="W38" s="20">
        <v>15.41362</v>
      </c>
    </row>
    <row r="39" spans="1:28">
      <c r="A39" s="39">
        <v>50</v>
      </c>
      <c r="B39" s="2">
        <v>0.11974700000000001</v>
      </c>
      <c r="C39" s="2">
        <v>0.10574</v>
      </c>
      <c r="D39" s="2">
        <v>0.13924700000000001</v>
      </c>
      <c r="E39" s="2">
        <v>0.12551499999999999</v>
      </c>
      <c r="F39" s="2">
        <v>0.18154400000000001</v>
      </c>
      <c r="G39" s="20">
        <v>0.18978300000000001</v>
      </c>
      <c r="I39" s="39">
        <v>50</v>
      </c>
      <c r="J39" s="2">
        <v>1.6479999999999999E-3</v>
      </c>
      <c r="K39" s="2">
        <v>2.1970000000000002E-3</v>
      </c>
      <c r="L39" s="2">
        <v>0.32436100000000001</v>
      </c>
      <c r="M39" s="2">
        <v>0.31886799999999998</v>
      </c>
      <c r="N39" s="2">
        <v>0.40401500000000001</v>
      </c>
      <c r="O39" s="20">
        <v>0.39577400000000001</v>
      </c>
      <c r="Q39" s="39">
        <v>50</v>
      </c>
      <c r="R39" s="2">
        <v>6.0419999999999996E-3</v>
      </c>
      <c r="S39" s="2">
        <v>1.923E-3</v>
      </c>
      <c r="T39" s="2">
        <v>3.5322710000000002</v>
      </c>
      <c r="U39" s="2">
        <v>3.5789620000000002</v>
      </c>
      <c r="V39" s="2">
        <v>7.5311729999999999</v>
      </c>
      <c r="W39" s="20">
        <v>7.6492719999999998</v>
      </c>
    </row>
    <row r="40" spans="1:28">
      <c r="A40" s="39">
        <v>100</v>
      </c>
      <c r="B40" s="2">
        <v>6.3169000000000003E-2</v>
      </c>
      <c r="C40" s="2">
        <v>6.0422999999999998E-2</v>
      </c>
      <c r="D40" s="2">
        <v>7.2508000000000003E-2</v>
      </c>
      <c r="E40" s="2">
        <v>6.6191E-2</v>
      </c>
      <c r="F40" s="2">
        <v>8.3493999999999999E-2</v>
      </c>
      <c r="G40" s="20">
        <v>8.4592000000000001E-2</v>
      </c>
      <c r="I40" s="39">
        <v>100</v>
      </c>
      <c r="J40" s="69">
        <v>1E-3</v>
      </c>
      <c r="K40" s="69">
        <v>1E-3</v>
      </c>
      <c r="L40" s="2">
        <v>0.16451499999999999</v>
      </c>
      <c r="M40" s="2">
        <v>0.14940999999999999</v>
      </c>
      <c r="N40" s="2">
        <v>0.40400999999999998</v>
      </c>
      <c r="O40" s="20">
        <v>0.39577000000000001</v>
      </c>
      <c r="Q40" s="39">
        <v>100</v>
      </c>
      <c r="R40" s="69">
        <v>1E-3</v>
      </c>
      <c r="S40" s="2">
        <v>3.8449999999999999E-3</v>
      </c>
      <c r="T40" s="2">
        <v>1.76902</v>
      </c>
      <c r="U40" s="2">
        <v>1.6646529999999999</v>
      </c>
      <c r="V40" s="2">
        <v>4.1172750000000002</v>
      </c>
      <c r="W40" s="20">
        <v>4.0156549999999998</v>
      </c>
    </row>
    <row r="41" spans="1:28">
      <c r="A41" s="39">
        <v>500</v>
      </c>
      <c r="B41" s="2">
        <v>3.2409E-2</v>
      </c>
      <c r="C41" s="2">
        <v>3.4331E-2</v>
      </c>
      <c r="D41" s="2">
        <v>4.0374E-2</v>
      </c>
      <c r="E41" s="2">
        <v>4.5043E-2</v>
      </c>
      <c r="F41" s="2">
        <v>3.8725999999999997E-2</v>
      </c>
      <c r="G41" s="20">
        <v>4.4219000000000001E-2</v>
      </c>
      <c r="I41" s="39">
        <v>500</v>
      </c>
      <c r="J41" s="69">
        <v>1E-3</v>
      </c>
      <c r="K41" s="69">
        <v>1E-3</v>
      </c>
      <c r="L41" s="2">
        <v>6.3718999999999998E-2</v>
      </c>
      <c r="M41" s="2">
        <v>6.8662000000000001E-2</v>
      </c>
      <c r="N41" s="2">
        <v>0.112057</v>
      </c>
      <c r="O41" s="20">
        <v>0.116452</v>
      </c>
      <c r="Q41" s="39">
        <v>500</v>
      </c>
      <c r="R41" s="69">
        <v>1E-3</v>
      </c>
      <c r="S41" s="69">
        <v>1E-3</v>
      </c>
      <c r="T41" s="2">
        <v>0.31337500000000001</v>
      </c>
      <c r="U41" s="2">
        <v>0.30788199999999999</v>
      </c>
      <c r="V41" s="2">
        <v>0.82697100000000001</v>
      </c>
      <c r="W41" s="20">
        <v>0.87091499999999999</v>
      </c>
    </row>
    <row r="42" spans="1:28" ht="15" thickBot="1">
      <c r="A42" s="43">
        <v>1000</v>
      </c>
      <c r="B42" s="22">
        <v>2.9936999999999998E-2</v>
      </c>
      <c r="C42" s="22">
        <v>2.1423000000000001E-2</v>
      </c>
      <c r="D42" s="22">
        <v>3.9274999999999997E-2</v>
      </c>
      <c r="E42" s="22">
        <v>4.8888000000000001E-2</v>
      </c>
      <c r="F42" s="22">
        <v>4.2021000000000003E-2</v>
      </c>
      <c r="G42" s="23">
        <v>4.5866999999999998E-2</v>
      </c>
      <c r="I42" s="43">
        <v>1000</v>
      </c>
      <c r="J42" s="176">
        <v>1E-3</v>
      </c>
      <c r="K42" s="176">
        <v>1E-3</v>
      </c>
      <c r="L42" s="22">
        <v>5.6302999999999999E-2</v>
      </c>
      <c r="M42" s="22">
        <v>5.3557E-2</v>
      </c>
      <c r="N42" s="22">
        <v>9.6950999999999996E-2</v>
      </c>
      <c r="O42" s="23">
        <v>9.2282000000000003E-2</v>
      </c>
      <c r="Q42" s="43">
        <v>1000</v>
      </c>
      <c r="R42" s="176">
        <v>1E-3</v>
      </c>
      <c r="S42" s="176">
        <v>1E-3</v>
      </c>
      <c r="T42" s="22">
        <v>0.200769</v>
      </c>
      <c r="U42" s="22">
        <v>0.19253000000000001</v>
      </c>
      <c r="V42" s="22">
        <v>0.54408100000000004</v>
      </c>
      <c r="W42" s="23">
        <v>0.52210900000000005</v>
      </c>
      <c r="X42" s="4">
        <f>AVERAGE(R37:S37)/AVERAGE(R42:S42)</f>
        <v>4.3944999999999999</v>
      </c>
      <c r="Z42" s="4">
        <f t="shared" ref="Z42" si="4">AVERAGE(T37:U37)/AVERAGE(T42:U42)</f>
        <v>49.784863424519259</v>
      </c>
      <c r="AB42" s="4">
        <f t="shared" ref="AB42" si="5">AVERAGE(V37:W37)/AVERAGE(V42:W42)</f>
        <v>28.254007259494081</v>
      </c>
    </row>
    <row r="45" spans="1:28">
      <c r="A45" s="4" t="s">
        <v>1189</v>
      </c>
      <c r="B45" s="4" t="s">
        <v>1190</v>
      </c>
      <c r="I45" s="4" t="s">
        <v>1191</v>
      </c>
      <c r="J45" s="4" t="s">
        <v>1190</v>
      </c>
    </row>
    <row r="46" spans="1:28">
      <c r="A46" s="218" t="s">
        <v>1187</v>
      </c>
      <c r="B46" s="4">
        <f>AVERAGE(C12:D12)/AVERAGE(C7:D7)</f>
        <v>31.593912672450578</v>
      </c>
      <c r="D46" s="4">
        <f t="shared" ref="D46" si="6">AVERAGE(E12:F12)/AVERAGE(E7:F7)</f>
        <v>12.34773890559865</v>
      </c>
      <c r="F46" s="4">
        <f t="shared" ref="F46" si="7">AVERAGE(G12:H12)/AVERAGE(G7:H7)</f>
        <v>41.503868912152932</v>
      </c>
      <c r="H46" s="218" t="s">
        <v>1187</v>
      </c>
      <c r="I46" s="4">
        <f>AVERAGE(J12:K12)/AVERAGE(J7:K7)</f>
        <v>59.655920187341607</v>
      </c>
      <c r="K46" s="4">
        <f t="shared" ref="K46:M46" si="8">AVERAGE(L12:M12)/AVERAGE(L7:M7)</f>
        <v>23.108496913091656</v>
      </c>
      <c r="M46" s="4">
        <f t="shared" si="8"/>
        <v>20.948462895536956</v>
      </c>
    </row>
    <row r="47" spans="1:28" ht="14.1" hidden="1" customHeight="1">
      <c r="A47" s="218"/>
      <c r="H47" s="218"/>
    </row>
    <row r="48" spans="1:28" ht="14.1" hidden="1" customHeight="1">
      <c r="A48" s="218"/>
      <c r="H48" s="218"/>
    </row>
    <row r="49" spans="1:13" ht="14.1" hidden="1" customHeight="1">
      <c r="A49" s="218"/>
      <c r="H49" s="218"/>
    </row>
    <row r="50" spans="1:13" ht="14.1" hidden="1" customHeight="1">
      <c r="A50" s="218"/>
      <c r="H50" s="218"/>
    </row>
    <row r="51" spans="1:13" ht="14.1" hidden="1" customHeight="1">
      <c r="A51" s="218"/>
      <c r="H51" s="218"/>
    </row>
    <row r="52" spans="1:13" ht="14.1" hidden="1" customHeight="1">
      <c r="A52" s="218"/>
      <c r="H52" s="218"/>
    </row>
    <row r="53" spans="1:13" ht="14.1" hidden="1" customHeight="1">
      <c r="A53" s="218"/>
      <c r="H53" s="218"/>
    </row>
    <row r="54" spans="1:13" ht="14.1" hidden="1" customHeight="1">
      <c r="A54" s="218"/>
      <c r="H54" s="218"/>
    </row>
    <row r="55" spans="1:13" ht="14.1" hidden="1" customHeight="1">
      <c r="A55" s="218"/>
      <c r="H55" s="218"/>
    </row>
    <row r="56" spans="1:13">
      <c r="A56" s="218"/>
      <c r="B56" s="4">
        <f>AVERAGE(C22:D22)/AVERAGE(C17:D17)</f>
        <v>3.7611445374524508</v>
      </c>
      <c r="D56" s="4">
        <f t="shared" ref="D56" si="9">AVERAGE(E22:F22)/AVERAGE(E17:F17)</f>
        <v>3.4414628562451623</v>
      </c>
      <c r="F56" s="4">
        <f t="shared" ref="F56" si="10">AVERAGE(G22:H22)/AVERAGE(G17:H17)</f>
        <v>3.3424102583603137</v>
      </c>
      <c r="H56" s="218"/>
      <c r="I56" s="4">
        <f>AVERAGE(J22:K22)/AVERAGE(J17:K17)</f>
        <v>445.99769047675159</v>
      </c>
      <c r="K56" s="4">
        <f t="shared" ref="K56" si="11">AVERAGE(L22:M22)/AVERAGE(L17:M17)</f>
        <v>204.11378455830439</v>
      </c>
      <c r="M56" s="4">
        <f t="shared" ref="M56" si="12">AVERAGE(N22:O22)/AVERAGE(N17:O17)</f>
        <v>188.93878747892384</v>
      </c>
    </row>
    <row r="57" spans="1:13" hidden="1"/>
    <row r="58" spans="1:13" hidden="1"/>
    <row r="59" spans="1:13" hidden="1"/>
    <row r="60" spans="1:13" hidden="1"/>
    <row r="61" spans="1:13" hidden="1"/>
    <row r="62" spans="1:13" hidden="1"/>
    <row r="63" spans="1:13" hidden="1"/>
    <row r="64" spans="1:13" hidden="1"/>
    <row r="65" spans="1:13" hidden="1"/>
    <row r="66" spans="1:13">
      <c r="A66" s="218" t="s">
        <v>1188</v>
      </c>
      <c r="B66" s="4">
        <f>AVERAGE(C27:D27)/AVERAGE(C32:D32)</f>
        <v>6.1796000000000006</v>
      </c>
      <c r="D66" s="4">
        <f t="shared" ref="D66" si="13">AVERAGE(E27:F27)/AVERAGE(E32:F32)</f>
        <v>38.02525</v>
      </c>
      <c r="F66" s="4">
        <f t="shared" ref="F66" si="14">AVERAGE(G27:H27)/AVERAGE(G32:H32)</f>
        <v>72.260400000000004</v>
      </c>
      <c r="H66" s="218" t="s">
        <v>1188</v>
      </c>
      <c r="I66" s="4">
        <f>AVERAGE(J27:K27)/AVERAGE(J32:K32)</f>
        <v>3.5841999999999996</v>
      </c>
      <c r="K66" s="4">
        <f t="shared" ref="K66:M66" si="15">AVERAGE(L27:M27)/AVERAGE(L32:M32)</f>
        <v>254.19430652101957</v>
      </c>
      <c r="M66" s="4">
        <f t="shared" si="15"/>
        <v>146.69045</v>
      </c>
    </row>
    <row r="67" spans="1:13" ht="14.1" hidden="1" customHeight="1">
      <c r="A67" s="218"/>
      <c r="H67" s="218"/>
    </row>
    <row r="68" spans="1:13" ht="14.1" hidden="1" customHeight="1">
      <c r="A68" s="218"/>
      <c r="H68" s="218"/>
    </row>
    <row r="69" spans="1:13" ht="14.1" hidden="1" customHeight="1">
      <c r="A69" s="218"/>
      <c r="H69" s="218"/>
    </row>
    <row r="70" spans="1:13" ht="14.1" hidden="1" customHeight="1">
      <c r="A70" s="218"/>
      <c r="H70" s="218"/>
    </row>
    <row r="71" spans="1:13" ht="14.1" hidden="1" customHeight="1">
      <c r="A71" s="218"/>
      <c r="H71" s="218"/>
    </row>
    <row r="72" spans="1:13" ht="14.1" hidden="1" customHeight="1">
      <c r="A72" s="218"/>
      <c r="H72" s="218"/>
    </row>
    <row r="73" spans="1:13" ht="14.1" hidden="1" customHeight="1">
      <c r="A73" s="218"/>
      <c r="H73" s="218"/>
    </row>
    <row r="74" spans="1:13" ht="14.1" hidden="1" customHeight="1">
      <c r="A74" s="218"/>
      <c r="H74" s="218"/>
    </row>
    <row r="75" spans="1:13" ht="14.1" hidden="1" customHeight="1">
      <c r="A75" s="218"/>
      <c r="H75" s="218"/>
    </row>
    <row r="76" spans="1:13">
      <c r="A76" s="218"/>
      <c r="B76" s="4">
        <f>AVERAGE(C37:D37)/AVERAGE(C42:D42)</f>
        <v>141.00360802662362</v>
      </c>
      <c r="D76" s="4">
        <f t="shared" ref="D76" si="16">AVERAGE(E37:F37)/AVERAGE(E42:F42)</f>
        <v>170.24790724790725</v>
      </c>
      <c r="F76" s="4">
        <f t="shared" ref="F76" si="17">AVERAGE(G37:H37)/AVERAGE(G42:H42)</f>
        <v>207.54871694246407</v>
      </c>
      <c r="H76" s="218"/>
      <c r="I76" s="4">
        <f>AVERAGE(J37:K37)/AVERAGE(J42:K42)</f>
        <v>43.669499999999999</v>
      </c>
      <c r="K76" s="4">
        <f t="shared" ref="K76" si="18">AVERAGE(L37:M37)/AVERAGE(L42:M42)</f>
        <v>196.57982887311124</v>
      </c>
      <c r="M76" s="4">
        <f t="shared" ref="M76" si="19">AVERAGE(N37:O37)/AVERAGE(N42:O42)</f>
        <v>187.91368313137775</v>
      </c>
    </row>
  </sheetData>
  <mergeCells count="52">
    <mergeCell ref="V36:W36"/>
    <mergeCell ref="R5:W5"/>
    <mergeCell ref="R15:W15"/>
    <mergeCell ref="R25:W25"/>
    <mergeCell ref="R35:W35"/>
    <mergeCell ref="V6:W6"/>
    <mergeCell ref="R16:S16"/>
    <mergeCell ref="T16:U16"/>
    <mergeCell ref="V16:W16"/>
    <mergeCell ref="R26:S26"/>
    <mergeCell ref="T26:U26"/>
    <mergeCell ref="V26:W26"/>
    <mergeCell ref="T6:U6"/>
    <mergeCell ref="T36:U36"/>
    <mergeCell ref="N36:O36"/>
    <mergeCell ref="J15:O15"/>
    <mergeCell ref="J25:O25"/>
    <mergeCell ref="J35:O35"/>
    <mergeCell ref="R6:S6"/>
    <mergeCell ref="R36:S36"/>
    <mergeCell ref="N6:O6"/>
    <mergeCell ref="L36:M36"/>
    <mergeCell ref="J36:K36"/>
    <mergeCell ref="F26:G26"/>
    <mergeCell ref="B6:C6"/>
    <mergeCell ref="D6:E6"/>
    <mergeCell ref="F6:G6"/>
    <mergeCell ref="J5:O5"/>
    <mergeCell ref="J16:K16"/>
    <mergeCell ref="L16:M16"/>
    <mergeCell ref="N16:O16"/>
    <mergeCell ref="J26:K26"/>
    <mergeCell ref="L26:M26"/>
    <mergeCell ref="N26:O26"/>
    <mergeCell ref="L6:M6"/>
    <mergeCell ref="J6:K6"/>
    <mergeCell ref="A46:A56"/>
    <mergeCell ref="A66:A76"/>
    <mergeCell ref="H46:H56"/>
    <mergeCell ref="H66:H76"/>
    <mergeCell ref="B5:G5"/>
    <mergeCell ref="B16:C16"/>
    <mergeCell ref="D16:E16"/>
    <mergeCell ref="F16:G16"/>
    <mergeCell ref="B15:G15"/>
    <mergeCell ref="B36:C36"/>
    <mergeCell ref="D36:E36"/>
    <mergeCell ref="F36:G36"/>
    <mergeCell ref="B35:G35"/>
    <mergeCell ref="B25:G25"/>
    <mergeCell ref="B26:C26"/>
    <mergeCell ref="D26:E26"/>
  </mergeCells>
  <phoneticPr fontId="3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8FCA-9AB0-4840-97DC-BDC7A5494E58}">
  <dimension ref="A1:Q77"/>
  <sheetViews>
    <sheetView workbookViewId="0">
      <selection activeCell="F61" sqref="F61"/>
    </sheetView>
  </sheetViews>
  <sheetFormatPr defaultRowHeight="14.25"/>
  <cols>
    <col min="1" max="1" width="11.25" customWidth="1"/>
  </cols>
  <sheetData>
    <row r="1" spans="1:17" s="60" customFormat="1" ht="18">
      <c r="A1" s="60" t="s">
        <v>2301</v>
      </c>
    </row>
    <row r="2" spans="1:17">
      <c r="A2" s="218" t="s">
        <v>1062</v>
      </c>
      <c r="B2" s="218"/>
      <c r="C2" s="218"/>
      <c r="D2" s="218"/>
      <c r="G2" s="218" t="s">
        <v>2310</v>
      </c>
      <c r="H2" s="218"/>
      <c r="I2" s="218"/>
      <c r="J2" s="218"/>
      <c r="M2" s="218" t="s">
        <v>2311</v>
      </c>
      <c r="N2" s="218"/>
      <c r="O2" s="218"/>
      <c r="P2" s="218"/>
    </row>
    <row r="3" spans="1:17">
      <c r="A3" s="4"/>
      <c r="B3" s="4">
        <v>20241025</v>
      </c>
      <c r="C3" s="4">
        <v>20250225</v>
      </c>
      <c r="D3" s="4">
        <v>20250226</v>
      </c>
      <c r="E3" s="4"/>
      <c r="F3" s="4"/>
      <c r="H3">
        <v>20241025</v>
      </c>
      <c r="I3">
        <v>20250225</v>
      </c>
      <c r="J3">
        <v>20250226</v>
      </c>
      <c r="K3" s="4"/>
      <c r="L3" s="4"/>
      <c r="N3">
        <v>20241025</v>
      </c>
      <c r="O3">
        <v>20250225</v>
      </c>
      <c r="P3">
        <v>20250226</v>
      </c>
      <c r="Q3" s="4"/>
    </row>
    <row r="4" spans="1:17">
      <c r="A4" s="4" t="s">
        <v>727</v>
      </c>
      <c r="B4" s="4"/>
      <c r="C4" s="4"/>
      <c r="D4" s="4"/>
      <c r="E4" s="4"/>
      <c r="F4" s="4"/>
      <c r="G4" t="s">
        <v>2296</v>
      </c>
      <c r="K4" s="4"/>
      <c r="L4" s="4"/>
      <c r="M4" t="s">
        <v>784</v>
      </c>
      <c r="Q4" s="4"/>
    </row>
    <row r="5" spans="1:17">
      <c r="A5">
        <v>0.01</v>
      </c>
      <c r="B5">
        <v>3.9426296666666666E-2</v>
      </c>
      <c r="C5">
        <v>3.8674289964207693E-2</v>
      </c>
      <c r="D5">
        <v>2.024633927155468E-2</v>
      </c>
      <c r="G5">
        <v>0</v>
      </c>
      <c r="H5">
        <v>0.39139507154213038</v>
      </c>
      <c r="I5">
        <v>0.43197136615069964</v>
      </c>
      <c r="J5">
        <v>0.42168419939736745</v>
      </c>
      <c r="M5">
        <v>0.01</v>
      </c>
      <c r="N5">
        <v>6.3688633333333328E-2</v>
      </c>
      <c r="O5">
        <v>2.5380002789011303E-2</v>
      </c>
      <c r="P5">
        <v>1.585875138764074E-2</v>
      </c>
    </row>
    <row r="6" spans="1:17">
      <c r="A6">
        <v>100</v>
      </c>
      <c r="B6">
        <v>3.4919441460000002</v>
      </c>
      <c r="C6">
        <v>3.044810114814299</v>
      </c>
      <c r="D6">
        <v>4.8013427076174873</v>
      </c>
      <c r="G6">
        <v>10</v>
      </c>
      <c r="H6">
        <v>12.192368839427663</v>
      </c>
      <c r="I6">
        <v>20.448240598707759</v>
      </c>
      <c r="J6">
        <v>17.769043717291328</v>
      </c>
      <c r="M6">
        <v>10</v>
      </c>
      <c r="N6">
        <v>0.32457193400000001</v>
      </c>
      <c r="O6">
        <v>0.2869427787849208</v>
      </c>
      <c r="P6">
        <v>0.31490194005391975</v>
      </c>
    </row>
    <row r="7" spans="1:17">
      <c r="A7">
        <v>1000</v>
      </c>
      <c r="B7">
        <v>11.499147026666668</v>
      </c>
      <c r="C7">
        <v>8.6939524938409338</v>
      </c>
      <c r="D7">
        <v>11.145371887720041</v>
      </c>
      <c r="G7">
        <v>25</v>
      </c>
      <c r="H7">
        <v>22.331478537360894</v>
      </c>
      <c r="I7">
        <v>24.289638823037237</v>
      </c>
      <c r="J7">
        <v>25.869693926098222</v>
      </c>
      <c r="M7">
        <v>100</v>
      </c>
      <c r="N7">
        <v>7.4029822456666663</v>
      </c>
      <c r="O7">
        <v>4.5927113838144384</v>
      </c>
      <c r="P7">
        <v>5.4954273933498969</v>
      </c>
    </row>
    <row r="8" spans="1:17">
      <c r="A8">
        <v>10000</v>
      </c>
      <c r="B8">
        <v>15.830353193333336</v>
      </c>
      <c r="C8">
        <v>12.449821038441874</v>
      </c>
      <c r="D8">
        <v>14.393772796955124</v>
      </c>
      <c r="G8">
        <v>50</v>
      </c>
      <c r="H8">
        <v>25.705385532591418</v>
      </c>
      <c r="I8">
        <v>24.463022358573891</v>
      </c>
      <c r="J8">
        <v>28.107363746894332</v>
      </c>
      <c r="M8">
        <v>1000</v>
      </c>
      <c r="N8">
        <v>9.641561888</v>
      </c>
      <c r="O8">
        <v>6.07367638172268</v>
      </c>
      <c r="P8">
        <v>7.5554791986044307</v>
      </c>
    </row>
    <row r="10" spans="1:17">
      <c r="A10" s="218" t="s">
        <v>2304</v>
      </c>
      <c r="B10" s="218"/>
      <c r="C10" s="218"/>
      <c r="D10" s="218"/>
      <c r="G10" s="218" t="s">
        <v>2305</v>
      </c>
      <c r="H10" s="218"/>
      <c r="I10" s="218"/>
      <c r="J10" s="218"/>
      <c r="M10" s="218" t="s">
        <v>2306</v>
      </c>
      <c r="N10" s="218"/>
      <c r="O10" s="218"/>
      <c r="P10" s="218"/>
    </row>
    <row r="11" spans="1:17">
      <c r="B11">
        <v>20241025</v>
      </c>
      <c r="C11">
        <v>20250225</v>
      </c>
      <c r="D11">
        <v>20250226</v>
      </c>
      <c r="H11">
        <v>20241025</v>
      </c>
      <c r="I11">
        <v>20250225</v>
      </c>
      <c r="J11">
        <v>20250226</v>
      </c>
      <c r="N11">
        <v>20241025</v>
      </c>
      <c r="O11">
        <v>20250225</v>
      </c>
      <c r="P11">
        <v>20250226</v>
      </c>
    </row>
    <row r="12" spans="1:17">
      <c r="A12" t="s">
        <v>2297</v>
      </c>
      <c r="G12" t="s">
        <v>2298</v>
      </c>
      <c r="M12" t="s">
        <v>728</v>
      </c>
    </row>
    <row r="13" spans="1:17">
      <c r="A13">
        <v>1E-3</v>
      </c>
      <c r="B13">
        <v>0.2784482213333333</v>
      </c>
      <c r="C13">
        <v>0.24696695021614842</v>
      </c>
      <c r="D13">
        <v>0.23719405825448012</v>
      </c>
      <c r="G13">
        <v>0.01</v>
      </c>
      <c r="H13">
        <v>0.20515574633333333</v>
      </c>
      <c r="I13">
        <v>0.11913726583926</v>
      </c>
      <c r="J13">
        <v>0.11983929798593858</v>
      </c>
      <c r="M13">
        <v>0.01</v>
      </c>
      <c r="N13">
        <v>1.2786377709999999</v>
      </c>
      <c r="O13">
        <v>1.0199879142843864</v>
      </c>
      <c r="P13">
        <v>1.0301316276365176</v>
      </c>
    </row>
    <row r="14" spans="1:17">
      <c r="A14">
        <v>1</v>
      </c>
      <c r="B14">
        <v>2.8809629116666673</v>
      </c>
      <c r="C14">
        <v>5.838934597685121</v>
      </c>
      <c r="D14">
        <v>6.0298673151133899</v>
      </c>
      <c r="G14">
        <v>10</v>
      </c>
      <c r="H14">
        <v>2.2352309343333334</v>
      </c>
      <c r="I14">
        <v>1.3978989448240602</v>
      </c>
      <c r="J14">
        <v>1.5841306761114342</v>
      </c>
      <c r="M14">
        <v>1</v>
      </c>
      <c r="N14">
        <v>1.7651481646666667</v>
      </c>
      <c r="O14">
        <v>1.2556593687537771</v>
      </c>
      <c r="P14">
        <v>1.3441349051118043</v>
      </c>
    </row>
    <row r="15" spans="1:17">
      <c r="A15">
        <v>5</v>
      </c>
      <c r="B15">
        <v>15.095532950000001</v>
      </c>
      <c r="C15">
        <v>10.952121972760658</v>
      </c>
      <c r="D15">
        <v>14.841518211132845</v>
      </c>
      <c r="G15">
        <v>100</v>
      </c>
      <c r="H15">
        <v>6.6346749226666661</v>
      </c>
      <c r="I15">
        <v>3.6267838051410783</v>
      </c>
      <c r="J15">
        <v>4.8901517153882752</v>
      </c>
      <c r="M15">
        <v>10</v>
      </c>
      <c r="N15">
        <v>7.0636886333333324</v>
      </c>
      <c r="O15">
        <v>5.1309905638451179</v>
      </c>
      <c r="P15">
        <v>5.5884654014907227</v>
      </c>
    </row>
    <row r="16" spans="1:17">
      <c r="A16">
        <v>10</v>
      </c>
      <c r="B16">
        <v>16.427434133333332</v>
      </c>
      <c r="C16">
        <v>13.652814577232371</v>
      </c>
      <c r="D16">
        <v>19.41412486123593</v>
      </c>
      <c r="G16">
        <v>1000</v>
      </c>
      <c r="H16">
        <v>9.4223162949999999</v>
      </c>
      <c r="I16">
        <v>5.1021707804583274</v>
      </c>
      <c r="J16">
        <v>6.9512607707353178</v>
      </c>
      <c r="M16">
        <v>1000</v>
      </c>
      <c r="N16">
        <v>13.298603653333332</v>
      </c>
      <c r="O16">
        <v>1.0436945102961002</v>
      </c>
      <c r="P16">
        <v>12.3125759898504</v>
      </c>
    </row>
    <row r="18" spans="1:17" ht="16.5">
      <c r="A18" s="218" t="s">
        <v>2307</v>
      </c>
      <c r="B18" s="218"/>
      <c r="C18" s="218"/>
      <c r="D18" s="218"/>
      <c r="G18" s="218" t="s">
        <v>2308</v>
      </c>
      <c r="H18" s="218"/>
      <c r="I18" s="218"/>
      <c r="J18" s="218"/>
      <c r="M18" s="218" t="s">
        <v>2309</v>
      </c>
      <c r="N18" s="218"/>
      <c r="O18" s="218"/>
      <c r="P18" s="218"/>
    </row>
    <row r="19" spans="1:17">
      <c r="B19">
        <v>20241025</v>
      </c>
      <c r="C19">
        <v>20250225</v>
      </c>
      <c r="D19">
        <v>20250226</v>
      </c>
      <c r="H19">
        <v>20250225</v>
      </c>
      <c r="I19">
        <v>20250226</v>
      </c>
      <c r="J19">
        <v>20250227</v>
      </c>
      <c r="N19">
        <v>20250227</v>
      </c>
      <c r="O19">
        <v>20250225</v>
      </c>
      <c r="P19">
        <v>20250226</v>
      </c>
      <c r="Q19">
        <v>20250304</v>
      </c>
    </row>
    <row r="20" spans="1:17">
      <c r="A20" t="s">
        <v>2299</v>
      </c>
      <c r="G20" t="s">
        <v>2300</v>
      </c>
      <c r="M20" t="s">
        <v>1090</v>
      </c>
    </row>
    <row r="21" spans="1:17">
      <c r="A21">
        <v>1E-3</v>
      </c>
      <c r="B21">
        <v>0.32753596766666665</v>
      </c>
      <c r="C21">
        <v>0.31948124389903781</v>
      </c>
      <c r="D21">
        <v>0.28741343764867583</v>
      </c>
      <c r="E21">
        <v>0.30603174603174604</v>
      </c>
      <c r="G21">
        <v>0</v>
      </c>
      <c r="H21">
        <v>0.27485706317110586</v>
      </c>
      <c r="I21">
        <v>0.26309668552096005</v>
      </c>
      <c r="J21">
        <v>0.24284578696343409</v>
      </c>
      <c r="K21">
        <v>0.2958730158730159</v>
      </c>
      <c r="M21">
        <v>0</v>
      </c>
      <c r="N21">
        <v>1.8481717011128791E-2</v>
      </c>
      <c r="O21">
        <v>7.809231627388097E-3</v>
      </c>
      <c r="P21">
        <v>4.2818628746629983E-3</v>
      </c>
      <c r="Q21">
        <v>3.4793650793650814E-2</v>
      </c>
    </row>
    <row r="22" spans="1:17">
      <c r="A22">
        <v>0.1</v>
      </c>
      <c r="B22">
        <v>4.9241486070000002</v>
      </c>
      <c r="C22">
        <v>0.40733509970715387</v>
      </c>
      <c r="D22">
        <v>4.8848654649257286</v>
      </c>
      <c r="E22">
        <v>6.0393650793650799</v>
      </c>
      <c r="G22">
        <v>10</v>
      </c>
      <c r="H22">
        <v>2.0900385813229216</v>
      </c>
      <c r="I22">
        <v>0.93656499444943708</v>
      </c>
      <c r="J22">
        <v>0.54193163751987283</v>
      </c>
      <c r="K22">
        <v>0.51365079365079369</v>
      </c>
      <c r="M22">
        <v>10</v>
      </c>
      <c r="N22">
        <v>2.5735294117647065E-2</v>
      </c>
      <c r="O22">
        <v>0.12564495886208341</v>
      </c>
      <c r="P22">
        <v>3.2193265316910705E-2</v>
      </c>
      <c r="Q22">
        <v>4.6031746031746035E-2</v>
      </c>
    </row>
    <row r="23" spans="1:17">
      <c r="A23">
        <v>1</v>
      </c>
      <c r="B23">
        <v>18.34929885</v>
      </c>
      <c r="C23">
        <v>14.4983498349835</v>
      </c>
      <c r="D23">
        <v>20.118253422847179</v>
      </c>
      <c r="E23">
        <v>20.822857142857142</v>
      </c>
      <c r="G23">
        <v>100</v>
      </c>
      <c r="H23">
        <v>12.726397991911867</v>
      </c>
      <c r="I23">
        <v>11.401226410107311</v>
      </c>
      <c r="J23">
        <v>7.2902424483306838</v>
      </c>
      <c r="K23">
        <v>7.6698412698412701</v>
      </c>
      <c r="M23">
        <v>100</v>
      </c>
      <c r="N23">
        <v>0.49175278219395863</v>
      </c>
      <c r="O23">
        <v>2.7054804071956498</v>
      </c>
      <c r="P23">
        <v>1.3732092826558124</v>
      </c>
      <c r="Q23">
        <v>0.74285714285714288</v>
      </c>
    </row>
    <row r="24" spans="1:17">
      <c r="A24">
        <v>10</v>
      </c>
      <c r="B24">
        <v>20.806046256666665</v>
      </c>
      <c r="C24">
        <v>19.392134988146704</v>
      </c>
      <c r="D24">
        <v>22.900935666331875</v>
      </c>
      <c r="E24">
        <v>23.988571428571429</v>
      </c>
      <c r="G24">
        <v>1000</v>
      </c>
      <c r="H24">
        <v>17.122809464044995</v>
      </c>
      <c r="I24">
        <v>20.367764444679391</v>
      </c>
      <c r="J24">
        <v>19.009240858505564</v>
      </c>
      <c r="K24">
        <v>21.206984126984128</v>
      </c>
      <c r="M24">
        <v>1000</v>
      </c>
      <c r="N24">
        <v>3.9839030206677268</v>
      </c>
      <c r="O24">
        <v>6.7727885464602808</v>
      </c>
      <c r="P24">
        <v>6.4083628482317501</v>
      </c>
      <c r="Q24">
        <v>4.4971428571428573</v>
      </c>
    </row>
    <row r="26" spans="1:17" ht="18">
      <c r="A26" s="60" t="s">
        <v>2303</v>
      </c>
    </row>
    <row r="28" spans="1:17" ht="16.5">
      <c r="A28" s="276" t="s">
        <v>2312</v>
      </c>
      <c r="B28" s="276"/>
      <c r="C28" s="276"/>
      <c r="D28" s="276"/>
      <c r="G28" s="276" t="s">
        <v>2313</v>
      </c>
      <c r="H28" s="276"/>
      <c r="I28" s="276"/>
      <c r="J28" s="276"/>
      <c r="M28" s="276" t="s">
        <v>2314</v>
      </c>
      <c r="N28" s="276"/>
      <c r="O28" s="276"/>
      <c r="P28" s="276"/>
    </row>
    <row r="29" spans="1:17">
      <c r="A29" s="175"/>
      <c r="B29" s="175"/>
      <c r="C29" s="175"/>
      <c r="D29" s="175"/>
      <c r="G29" s="175"/>
      <c r="H29" s="175"/>
      <c r="I29" s="175"/>
      <c r="J29" s="175"/>
      <c r="M29" s="175"/>
      <c r="N29" s="175"/>
      <c r="O29" s="175"/>
      <c r="P29" s="175"/>
    </row>
    <row r="30" spans="1:17">
      <c r="B30" s="2">
        <v>6.2142517000000001E-2</v>
      </c>
      <c r="C30" s="2">
        <v>5.9282649999999999E-2</v>
      </c>
      <c r="D30" s="2">
        <v>6.2142517000000001E-2</v>
      </c>
      <c r="H30">
        <v>0.16110581499999999</v>
      </c>
      <c r="I30">
        <v>0.10831509846827135</v>
      </c>
      <c r="J30">
        <v>6.7672025418504297E-2</v>
      </c>
      <c r="N30">
        <v>7.2867016000000007E-2</v>
      </c>
      <c r="O30">
        <v>4.6150785756912678E-2</v>
      </c>
      <c r="P30">
        <v>4.9177218191302698E-2</v>
      </c>
    </row>
    <row r="31" spans="1:17">
      <c r="B31" s="2">
        <v>0.55672068600000002</v>
      </c>
      <c r="C31" s="2">
        <v>0.65502859899999999</v>
      </c>
      <c r="D31" s="2">
        <v>0.71401334599999999</v>
      </c>
      <c r="H31">
        <v>2.6932793136666668</v>
      </c>
      <c r="I31">
        <v>3.8864133678138053</v>
      </c>
      <c r="J31">
        <v>2.8945321762223171</v>
      </c>
      <c r="N31">
        <v>0.96782650133333326</v>
      </c>
      <c r="O31">
        <v>0.71255221802267765</v>
      </c>
      <c r="P31">
        <v>1.4718546972068101</v>
      </c>
    </row>
    <row r="32" spans="1:17">
      <c r="B32" s="2">
        <v>15.98570067</v>
      </c>
      <c r="C32" s="2">
        <v>15.839132510000001</v>
      </c>
      <c r="D32" s="2">
        <v>15.889180169999999</v>
      </c>
      <c r="H32">
        <v>36.994995233333334</v>
      </c>
      <c r="I32">
        <v>34.146508852198131</v>
      </c>
      <c r="J32">
        <v>31.747379902309479</v>
      </c>
      <c r="N32">
        <v>5.3708293613333327</v>
      </c>
      <c r="O32">
        <v>4.9800079570320275</v>
      </c>
      <c r="P32">
        <v>4.3271683975909321</v>
      </c>
    </row>
    <row r="33" spans="1:16">
      <c r="B33" s="2">
        <v>16.28241182</v>
      </c>
      <c r="C33" s="2">
        <v>16.232364159999999</v>
      </c>
      <c r="D33" s="2">
        <v>16.382507149999999</v>
      </c>
      <c r="H33">
        <v>40.749761676666665</v>
      </c>
      <c r="I33">
        <v>36.969763278297194</v>
      </c>
      <c r="J33">
        <v>33.85389102290511</v>
      </c>
      <c r="N33">
        <v>5.974380362333334</v>
      </c>
      <c r="O33">
        <v>5.7473642331410382</v>
      </c>
      <c r="P33">
        <v>4.9692701664532644</v>
      </c>
    </row>
    <row r="35" spans="1:16">
      <c r="G35" t="s">
        <v>2296</v>
      </c>
      <c r="H35" s="4" t="s">
        <v>2310</v>
      </c>
      <c r="I35" s="4"/>
      <c r="J35" s="4"/>
      <c r="M35" t="s">
        <v>784</v>
      </c>
      <c r="N35" s="4" t="s">
        <v>2311</v>
      </c>
      <c r="O35" s="4"/>
      <c r="P35" s="4"/>
    </row>
    <row r="36" spans="1:16">
      <c r="A36" s="4" t="s">
        <v>727</v>
      </c>
      <c r="B36" s="218" t="s">
        <v>1062</v>
      </c>
      <c r="C36" s="218"/>
      <c r="D36" s="218"/>
      <c r="G36">
        <v>0</v>
      </c>
      <c r="H36">
        <v>6.0396409872849673E-2</v>
      </c>
      <c r="I36">
        <v>7.9968171871891799E-2</v>
      </c>
      <c r="J36">
        <v>6.7197799592165791E-2</v>
      </c>
      <c r="M36">
        <v>0.01</v>
      </c>
      <c r="N36">
        <v>6.2797902666666669E-2</v>
      </c>
      <c r="O36">
        <v>2.3900981647460528E-2</v>
      </c>
      <c r="P36">
        <v>2.1334792122538308E-2</v>
      </c>
    </row>
    <row r="37" spans="1:16">
      <c r="A37">
        <v>0.01</v>
      </c>
      <c r="B37">
        <v>0.11820781699999999</v>
      </c>
      <c r="C37">
        <v>7.3836961160904824E-2</v>
      </c>
      <c r="D37">
        <v>8.7925203898945717E-2</v>
      </c>
      <c r="G37">
        <v>10</v>
      </c>
      <c r="H37">
        <v>5.388089005235603</v>
      </c>
      <c r="I37">
        <v>17.02347324447981</v>
      </c>
      <c r="J37">
        <v>7.8625219329444684</v>
      </c>
      <c r="M37">
        <v>10</v>
      </c>
      <c r="N37">
        <v>3.1520495709999996</v>
      </c>
      <c r="O37">
        <v>1.7326789016929862</v>
      </c>
      <c r="P37">
        <v>2.6167694449970158</v>
      </c>
    </row>
    <row r="38" spans="1:16">
      <c r="A38">
        <v>100</v>
      </c>
      <c r="B38">
        <v>19.77919447333333</v>
      </c>
      <c r="C38">
        <v>14.972589747237635</v>
      </c>
      <c r="D38">
        <v>18.855579868708972</v>
      </c>
      <c r="G38">
        <v>25</v>
      </c>
      <c r="H38">
        <v>17.177543006731486</v>
      </c>
      <c r="I38">
        <v>29.306146807240896</v>
      </c>
      <c r="J38">
        <v>19.94958979466022</v>
      </c>
      <c r="M38">
        <v>100</v>
      </c>
      <c r="N38">
        <v>14.127979026666665</v>
      </c>
      <c r="O38">
        <v>12.498079385403329</v>
      </c>
      <c r="P38">
        <v>12.860453550825545</v>
      </c>
    </row>
    <row r="39" spans="1:16">
      <c r="A39">
        <v>1000</v>
      </c>
      <c r="B39">
        <v>25.913608196666669</v>
      </c>
      <c r="C39">
        <v>23.771375729122209</v>
      </c>
      <c r="D39">
        <v>23.235925999602149</v>
      </c>
      <c r="G39">
        <v>50</v>
      </c>
      <c r="H39">
        <v>20.712509349289459</v>
      </c>
      <c r="I39">
        <v>31.762383131092104</v>
      </c>
      <c r="J39">
        <v>26.53658652250202</v>
      </c>
      <c r="M39">
        <v>1000</v>
      </c>
      <c r="N39">
        <v>16.637511916666664</v>
      </c>
      <c r="O39">
        <v>14.541518471095936</v>
      </c>
      <c r="P39">
        <v>14.529938333001789</v>
      </c>
    </row>
    <row r="40" spans="1:16">
      <c r="A40">
        <v>10000</v>
      </c>
      <c r="B40">
        <v>39.854265966666667</v>
      </c>
      <c r="C40">
        <v>29.661734718072751</v>
      </c>
      <c r="D40">
        <v>33.389596180624629</v>
      </c>
    </row>
    <row r="42" spans="1:16">
      <c r="A42" t="s">
        <v>2297</v>
      </c>
      <c r="B42" s="4" t="s">
        <v>2304</v>
      </c>
      <c r="C42" s="4"/>
      <c r="D42" s="4"/>
      <c r="G42" t="s">
        <v>2298</v>
      </c>
      <c r="H42" s="4" t="s">
        <v>2305</v>
      </c>
      <c r="I42" s="4"/>
      <c r="J42" s="4"/>
      <c r="M42" t="s">
        <v>728</v>
      </c>
      <c r="N42" s="4" t="s">
        <v>2306</v>
      </c>
      <c r="O42" s="4"/>
      <c r="P42" s="4"/>
    </row>
    <row r="43" spans="1:16">
      <c r="A43">
        <v>1E-3</v>
      </c>
      <c r="B43">
        <v>7.2926596999999996E-2</v>
      </c>
      <c r="C43">
        <v>4.2172269743385726E-2</v>
      </c>
      <c r="D43">
        <v>4.3012282448902171E-2</v>
      </c>
      <c r="G43">
        <v>0.01</v>
      </c>
      <c r="H43">
        <v>0.13786939933333334</v>
      </c>
      <c r="I43">
        <v>7.2508454346528764E-2</v>
      </c>
      <c r="J43">
        <v>5.8187508891734241E-2</v>
      </c>
      <c r="M43">
        <v>0.01</v>
      </c>
      <c r="N43">
        <v>4.1428344666666665E-2</v>
      </c>
      <c r="O43">
        <v>2.2478615476427304E-2</v>
      </c>
      <c r="P43">
        <v>3.7321572532840144E-2</v>
      </c>
    </row>
    <row r="44" spans="1:16">
      <c r="A44">
        <v>1</v>
      </c>
      <c r="B44">
        <v>23.05969971333333</v>
      </c>
      <c r="C44">
        <v>24.540381937537301</v>
      </c>
      <c r="D44">
        <v>20.730165504813389</v>
      </c>
      <c r="G44">
        <v>10</v>
      </c>
      <c r="H44">
        <v>1.2740705433333332</v>
      </c>
      <c r="I44">
        <v>0.70409787149393288</v>
      </c>
      <c r="J44">
        <v>0.66140275999430942</v>
      </c>
      <c r="M44">
        <v>1</v>
      </c>
      <c r="N44">
        <v>7.4118207999999991E-2</v>
      </c>
      <c r="O44">
        <v>4.5653471255221817E-2</v>
      </c>
      <c r="P44">
        <v>3.5898895053824632E-2</v>
      </c>
    </row>
    <row r="45" spans="1:16">
      <c r="A45">
        <v>5</v>
      </c>
      <c r="B45">
        <v>33.107959963333336</v>
      </c>
      <c r="C45">
        <v>32.316888800477422</v>
      </c>
      <c r="D45">
        <v>27.081471996964954</v>
      </c>
      <c r="G45">
        <v>100</v>
      </c>
      <c r="H45">
        <v>3.7049571019999998</v>
      </c>
      <c r="I45">
        <v>2.5173065446588421</v>
      </c>
      <c r="J45">
        <v>2.4212548015364916</v>
      </c>
      <c r="M45">
        <v>10</v>
      </c>
      <c r="N45">
        <v>1.7873570065</v>
      </c>
      <c r="O45">
        <v>1.7248358862144419</v>
      </c>
      <c r="P45">
        <v>0.87598994641248162</v>
      </c>
    </row>
    <row r="46" spans="1:16">
      <c r="A46">
        <v>10</v>
      </c>
      <c r="B46">
        <v>33.483317446666668</v>
      </c>
      <c r="C46">
        <v>29.847722299582255</v>
      </c>
      <c r="D46">
        <v>29.50286906624935</v>
      </c>
      <c r="G46">
        <v>1000</v>
      </c>
      <c r="H46">
        <v>5.114632984</v>
      </c>
      <c r="I46">
        <v>3.5492341356673962</v>
      </c>
      <c r="J46">
        <v>3.7718499549485465</v>
      </c>
      <c r="M46">
        <v>1000</v>
      </c>
      <c r="N46">
        <v>6.1307793134999997</v>
      </c>
      <c r="O46">
        <v>3.4463894967177257E-2</v>
      </c>
      <c r="P46">
        <v>4.5472091810119979</v>
      </c>
    </row>
    <row r="48" spans="1:16" ht="16.5">
      <c r="B48" s="4" t="s">
        <v>2307</v>
      </c>
      <c r="C48" s="4"/>
      <c r="D48" s="4"/>
      <c r="H48" s="4" t="s">
        <v>2308</v>
      </c>
      <c r="I48" s="4"/>
      <c r="J48" s="4"/>
      <c r="M48" t="s">
        <v>1090</v>
      </c>
      <c r="N48" s="4" t="s">
        <v>2309</v>
      </c>
      <c r="O48" s="4"/>
      <c r="P48" s="4"/>
    </row>
    <row r="49" spans="1:16">
      <c r="A49" t="s">
        <v>2299</v>
      </c>
      <c r="B49" s="9"/>
      <c r="C49" s="9"/>
      <c r="D49" s="9"/>
      <c r="G49" t="s">
        <v>2300</v>
      </c>
      <c r="H49" s="9"/>
      <c r="I49" s="9"/>
      <c r="J49" s="9"/>
      <c r="M49">
        <v>0</v>
      </c>
      <c r="N49">
        <v>1.5396531828456711E-2</v>
      </c>
      <c r="O49">
        <v>6.1705310396409961E-3</v>
      </c>
      <c r="P49">
        <v>4.8526022079340057E-2</v>
      </c>
    </row>
    <row r="50" spans="1:16">
      <c r="A50">
        <v>1E-3</v>
      </c>
      <c r="B50">
        <v>8.4132967499999989E-2</v>
      </c>
      <c r="C50">
        <v>6.814625124484279E-2</v>
      </c>
      <c r="D50">
        <v>6.5538519072550497E-2</v>
      </c>
      <c r="G50">
        <v>0</v>
      </c>
      <c r="H50">
        <v>7.6208090292597341E-2</v>
      </c>
      <c r="I50">
        <v>6.2733732236350051E-2</v>
      </c>
      <c r="J50">
        <v>0.11440009705204417</v>
      </c>
      <c r="M50">
        <v>10</v>
      </c>
      <c r="N50">
        <v>3.163086261677811E-2</v>
      </c>
      <c r="O50">
        <v>1.9773747195213166E-2</v>
      </c>
      <c r="P50">
        <v>5.6168870556836094E-2</v>
      </c>
    </row>
    <row r="51" spans="1:16">
      <c r="A51">
        <v>0.1</v>
      </c>
      <c r="B51">
        <v>5.7104180944999996</v>
      </c>
      <c r="C51">
        <v>5.3486508275240672</v>
      </c>
      <c r="D51">
        <v>2.8866866118175025</v>
      </c>
      <c r="G51">
        <v>10</v>
      </c>
      <c r="H51">
        <v>0.16488831981789728</v>
      </c>
      <c r="I51">
        <v>0.12584143605086015</v>
      </c>
      <c r="J51">
        <v>0.14351571029964819</v>
      </c>
      <c r="M51">
        <v>100</v>
      </c>
      <c r="N51">
        <v>0.49755773699435679</v>
      </c>
      <c r="O51">
        <v>0.21162116679132389</v>
      </c>
      <c r="P51">
        <v>0.27635569574184154</v>
      </c>
    </row>
    <row r="52" spans="1:16">
      <c r="A52">
        <v>1</v>
      </c>
      <c r="B52">
        <v>16.425805345000001</v>
      </c>
      <c r="C52">
        <v>16.339782804571538</v>
      </c>
      <c r="D52">
        <v>15.393698578908003</v>
      </c>
      <c r="G52">
        <v>100</v>
      </c>
      <c r="H52">
        <v>5.2239294351970402</v>
      </c>
      <c r="I52">
        <v>3.3167539267015713</v>
      </c>
      <c r="J52">
        <v>4.6655343928181496</v>
      </c>
      <c r="M52">
        <v>1000</v>
      </c>
      <c r="N52">
        <v>3.6430976430976427</v>
      </c>
      <c r="O52">
        <v>2.7057778608825731</v>
      </c>
      <c r="P52">
        <v>3.1691131869464999</v>
      </c>
    </row>
    <row r="53" spans="1:16">
      <c r="A53">
        <v>10</v>
      </c>
      <c r="B53">
        <v>18.286668949999999</v>
      </c>
      <c r="C53">
        <v>19.123488405178545</v>
      </c>
      <c r="D53">
        <v>18.616398653702319</v>
      </c>
      <c r="G53">
        <v>1000</v>
      </c>
      <c r="H53">
        <v>16.797884952814528</v>
      </c>
      <c r="I53">
        <v>14.43352655198205</v>
      </c>
      <c r="J53">
        <v>15.748877835739416</v>
      </c>
    </row>
    <row r="59" spans="1:16" ht="18">
      <c r="A59" s="60" t="s">
        <v>2302</v>
      </c>
    </row>
    <row r="61" spans="1:16">
      <c r="A61" s="218" t="s">
        <v>1062</v>
      </c>
      <c r="B61" s="218"/>
      <c r="C61" s="218"/>
      <c r="D61" s="218"/>
      <c r="G61" s="218" t="s">
        <v>2310</v>
      </c>
      <c r="H61" s="218"/>
      <c r="I61" s="218"/>
      <c r="J61" s="218"/>
      <c r="M61" s="218" t="s">
        <v>2311</v>
      </c>
      <c r="N61" s="218"/>
      <c r="O61" s="218"/>
      <c r="P61" s="218"/>
    </row>
    <row r="62" spans="1:16">
      <c r="B62">
        <v>6.1665872000000004E-2</v>
      </c>
      <c r="C62">
        <v>3.6204495723095302E-2</v>
      </c>
      <c r="D62">
        <v>2.9354578650353302E-2</v>
      </c>
      <c r="H62">
        <v>0.11649214659685865</v>
      </c>
      <c r="I62">
        <v>0.18390690272528346</v>
      </c>
      <c r="J62">
        <v>0.15255844833309626</v>
      </c>
      <c r="N62">
        <v>4.3374642333333331E-2</v>
      </c>
      <c r="O62">
        <v>1.6063258404615092E-2</v>
      </c>
      <c r="P62">
        <v>2.1245317019964915E-2</v>
      </c>
    </row>
    <row r="63" spans="1:16">
      <c r="B63">
        <v>8.616777883666666</v>
      </c>
      <c r="C63">
        <v>8.624825939924408</v>
      </c>
      <c r="D63">
        <v>5.6327120975008294</v>
      </c>
      <c r="H63">
        <v>7.4640987284966345</v>
      </c>
      <c r="I63">
        <v>20.248557787945099</v>
      </c>
      <c r="J63">
        <v>12.340636411058947</v>
      </c>
      <c r="N63">
        <v>2.5633937083333334</v>
      </c>
      <c r="O63">
        <v>2.1159737417943107</v>
      </c>
      <c r="P63">
        <v>1.4139991463935127</v>
      </c>
    </row>
    <row r="64" spans="1:16">
      <c r="B64">
        <v>15.205791230000001</v>
      </c>
      <c r="C64">
        <v>14.25442609906505</v>
      </c>
      <c r="D64">
        <v>14.952198036705079</v>
      </c>
      <c r="H64">
        <v>15.393698578908003</v>
      </c>
      <c r="I64">
        <v>26.38243485180028</v>
      </c>
      <c r="J64">
        <v>21.288803528240148</v>
      </c>
      <c r="N64">
        <v>11.993803623333333</v>
      </c>
      <c r="O64">
        <v>10.410682315496322</v>
      </c>
      <c r="P64">
        <v>10.254991226822215</v>
      </c>
    </row>
    <row r="65" spans="1:16">
      <c r="B65">
        <v>27.595567206666669</v>
      </c>
      <c r="C65">
        <v>23.017107618858166</v>
      </c>
      <c r="D65">
        <v>21.114288424147578</v>
      </c>
      <c r="H65">
        <v>18.367707554225881</v>
      </c>
      <c r="I65">
        <v>27.595384921424309</v>
      </c>
      <c r="J65">
        <v>24.330962204201644</v>
      </c>
      <c r="N65">
        <v>14.137511916666668</v>
      </c>
      <c r="O65">
        <v>11.8225581857967</v>
      </c>
      <c r="P65">
        <v>12.209275857163183</v>
      </c>
    </row>
    <row r="67" spans="1:16">
      <c r="A67" s="218" t="s">
        <v>2304</v>
      </c>
      <c r="B67" s="218"/>
      <c r="C67" s="218"/>
      <c r="D67" s="218"/>
      <c r="G67" s="218" t="s">
        <v>2305</v>
      </c>
      <c r="H67" s="218"/>
      <c r="I67" s="218"/>
      <c r="J67" s="218"/>
      <c r="M67" s="218" t="s">
        <v>2306</v>
      </c>
      <c r="N67" s="218"/>
      <c r="O67" s="218"/>
      <c r="P67" s="218"/>
    </row>
    <row r="68" spans="1:16">
      <c r="B68">
        <v>0.23856053399999999</v>
      </c>
      <c r="C68">
        <v>0.18042570121344739</v>
      </c>
      <c r="D68">
        <v>0.16062028738085077</v>
      </c>
      <c r="H68" s="2">
        <v>0.129528122</v>
      </c>
      <c r="I68" s="2">
        <v>0.129528122</v>
      </c>
      <c r="J68" s="2">
        <v>0.188512869</v>
      </c>
      <c r="N68">
        <v>0.32705751499999997</v>
      </c>
      <c r="O68">
        <v>0.32037000198925808</v>
      </c>
      <c r="P68">
        <v>0.3922796035472092</v>
      </c>
    </row>
    <row r="69" spans="1:16">
      <c r="B69">
        <v>6.2055529076666671</v>
      </c>
      <c r="C69">
        <v>9.7383131092102655</v>
      </c>
      <c r="D69">
        <v>7.7050789586000858</v>
      </c>
      <c r="H69" s="2">
        <v>1.936606292</v>
      </c>
      <c r="I69" s="2">
        <v>1.936606292</v>
      </c>
      <c r="J69" s="2">
        <v>1.639895138</v>
      </c>
      <c r="N69">
        <v>0.93029075299999997</v>
      </c>
      <c r="O69">
        <v>0.71851999204296801</v>
      </c>
      <c r="P69">
        <v>0.57224830464267096</v>
      </c>
    </row>
    <row r="70" spans="1:16">
      <c r="B70">
        <v>22.05517159</v>
      </c>
      <c r="C70">
        <v>23.062860553013724</v>
      </c>
      <c r="D70">
        <v>18.775406648646086</v>
      </c>
      <c r="H70" s="2">
        <v>5.0663727359999999</v>
      </c>
      <c r="I70" s="2">
        <v>5.0038131549999996</v>
      </c>
      <c r="J70" s="2">
        <v>4.6749285030000003</v>
      </c>
      <c r="N70">
        <v>8.9933269779999989</v>
      </c>
      <c r="O70">
        <v>6.0238710960811614</v>
      </c>
      <c r="P70">
        <v>5.8318869445630011</v>
      </c>
    </row>
    <row r="71" spans="1:16">
      <c r="B71">
        <v>23.756196380000002</v>
      </c>
      <c r="C71">
        <v>19.864630992639746</v>
      </c>
      <c r="D71">
        <v>23.867643571868925</v>
      </c>
      <c r="H71" s="2">
        <v>6.7572688269999999</v>
      </c>
      <c r="I71" s="2">
        <v>6.5320543369999999</v>
      </c>
      <c r="J71" s="2">
        <v>6.0458770260000003</v>
      </c>
      <c r="N71">
        <v>13.630779310000001</v>
      </c>
      <c r="O71">
        <v>0.51859956236323856</v>
      </c>
      <c r="P71">
        <v>10.296248873713663</v>
      </c>
    </row>
    <row r="73" spans="1:16" ht="16.5">
      <c r="A73" s="218" t="s">
        <v>2307</v>
      </c>
      <c r="B73" s="218"/>
      <c r="C73" s="218"/>
      <c r="D73" s="218"/>
      <c r="G73" s="218" t="s">
        <v>2308</v>
      </c>
      <c r="H73" s="218"/>
      <c r="I73" s="218"/>
      <c r="J73" s="218"/>
      <c r="M73" s="218" t="s">
        <v>2309</v>
      </c>
      <c r="N73" s="218"/>
      <c r="O73" s="218"/>
      <c r="P73" s="218"/>
    </row>
    <row r="74" spans="1:16">
      <c r="B74">
        <v>0.29635367033333332</v>
      </c>
      <c r="C74">
        <v>0.16583677147057427</v>
      </c>
      <c r="D74">
        <v>0.14781226626776367</v>
      </c>
      <c r="H74">
        <v>0.12457912457912461</v>
      </c>
      <c r="I74">
        <v>0.12256918474195962</v>
      </c>
      <c r="J74">
        <v>0.18779570544704602</v>
      </c>
      <c r="N74">
        <v>2.1324354657687991E-2</v>
      </c>
      <c r="O74">
        <v>8.8350785340314177E-3</v>
      </c>
      <c r="P74">
        <v>5.0163775324517768E-2</v>
      </c>
    </row>
    <row r="75" spans="1:16">
      <c r="B75">
        <v>4.965085795666667</v>
      </c>
      <c r="C75">
        <v>9.0860245648978051</v>
      </c>
      <c r="D75">
        <v>5.1660433807030666</v>
      </c>
      <c r="H75">
        <v>0.27016645326504479</v>
      </c>
      <c r="I75">
        <v>0.20624532535527304</v>
      </c>
      <c r="J75">
        <v>0.22904282421448505</v>
      </c>
      <c r="N75">
        <v>3.9455588751363402E-2</v>
      </c>
      <c r="O75">
        <v>2.3069371727748696E-2</v>
      </c>
      <c r="P75">
        <v>5.3317966759674873E-2</v>
      </c>
    </row>
    <row r="76" spans="1:16">
      <c r="B76">
        <v>18.169327929999998</v>
      </c>
      <c r="C76">
        <v>18.910561009152559</v>
      </c>
      <c r="D76">
        <v>17.405198204936429</v>
      </c>
      <c r="H76">
        <v>3.7429221795418974</v>
      </c>
      <c r="I76">
        <v>2.4374532535527305</v>
      </c>
      <c r="J76">
        <v>3.2789033119010074</v>
      </c>
      <c r="N76">
        <v>0.17034191682079008</v>
      </c>
      <c r="O76">
        <v>0.11836200448765896</v>
      </c>
      <c r="P76">
        <v>0.13805653281572247</v>
      </c>
    </row>
    <row r="77" spans="1:16">
      <c r="B77">
        <v>23.131792180000001</v>
      </c>
      <c r="C77">
        <v>20.878598188457342</v>
      </c>
      <c r="D77">
        <v>21.047681376215408</v>
      </c>
      <c r="H77">
        <v>14.276426234172716</v>
      </c>
      <c r="I77">
        <v>11.950355272999252</v>
      </c>
      <c r="J77">
        <v>12.278660681790612</v>
      </c>
      <c r="N77">
        <v>2.0290700431545501</v>
      </c>
      <c r="O77">
        <v>1.6308433059087513</v>
      </c>
      <c r="P77">
        <v>1.9966031784544462</v>
      </c>
    </row>
  </sheetData>
  <mergeCells count="22">
    <mergeCell ref="M2:P2"/>
    <mergeCell ref="M10:P10"/>
    <mergeCell ref="G10:J10"/>
    <mergeCell ref="A10:D10"/>
    <mergeCell ref="A18:D18"/>
    <mergeCell ref="G18:J18"/>
    <mergeCell ref="M18:P18"/>
    <mergeCell ref="A2:D2"/>
    <mergeCell ref="G2:J2"/>
    <mergeCell ref="A73:D73"/>
    <mergeCell ref="G73:J73"/>
    <mergeCell ref="M73:P73"/>
    <mergeCell ref="A28:D28"/>
    <mergeCell ref="G28:J28"/>
    <mergeCell ref="M28:P28"/>
    <mergeCell ref="B36:D36"/>
    <mergeCell ref="A67:D67"/>
    <mergeCell ref="G67:J67"/>
    <mergeCell ref="M67:P67"/>
    <mergeCell ref="A61:D61"/>
    <mergeCell ref="G61:J61"/>
    <mergeCell ref="M61:P6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Figure 2</vt:lpstr>
      <vt:lpstr>Figure 3</vt:lpstr>
      <vt:lpstr>Figure 4</vt:lpstr>
      <vt:lpstr>Figure 5</vt:lpstr>
      <vt:lpstr>Figure 6</vt:lpstr>
      <vt:lpstr>Figure 7</vt:lpstr>
      <vt:lpstr>Supplementary figure 2</vt:lpstr>
      <vt:lpstr>Supplementary Figure 3</vt:lpstr>
      <vt:lpstr>Supplementary Figure 4</vt:lpstr>
      <vt:lpstr>Supplementary Figure 5</vt:lpstr>
      <vt:lpstr>Supplementary Figure 6</vt:lpstr>
      <vt:lpstr>Supplementary Figure 7</vt:lpstr>
      <vt:lpstr>Supplementary Figure 8</vt:lpstr>
      <vt:lpstr>Supplementary Figure 11</vt:lpstr>
      <vt:lpstr>Supplementary Figure 13</vt:lpstr>
      <vt:lpstr>Supplementary Figure 14</vt:lpstr>
      <vt:lpstr>Supplementary Figure 15</vt:lpstr>
      <vt:lpstr>SI-note activator</vt:lpstr>
      <vt:lpstr>SI-note repressor</vt:lpstr>
      <vt:lpstr>SI-note-hybrid</vt:lpstr>
      <vt:lpstr>SI-note-12sensor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zhan</dc:creator>
  <cp:lastModifiedBy>Yi Zhan</cp:lastModifiedBy>
  <dcterms:created xsi:type="dcterms:W3CDTF">2025-05-29T13:31:06Z</dcterms:created>
  <dcterms:modified xsi:type="dcterms:W3CDTF">2026-10-13T07:36:36Z</dcterms:modified>
</cp:coreProperties>
</file>